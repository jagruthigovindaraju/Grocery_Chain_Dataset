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tables/table1.xml" ContentType="application/vnd.openxmlformats-officedocument.spreadsheetml.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7BB3B48-D385-4ECE-95F5-F2E9950AA583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Sheet1" sheetId="1" r:id="rId1"/>
    <sheet name="Sheet2" sheetId="6" r:id="rId2"/>
    <sheet name="sales_dashborad" sheetId="4" r:id="rId3"/>
  </sheets>
  <definedNames>
    <definedName name="chain">Sheet1!$A$1980:$U$1981,Sheet1!$C$1979:$U$1979,Sheet1!$A$1979,Sheet1!$A$1:$U$1978</definedName>
    <definedName name="gc">Sheet1!$A$1980:$U$1981,Sheet1!$C$1979:$U$1979,Sheet1!$A$1979,Sheet1!$A$1:$U$1978</definedName>
    <definedName name="gcd">Sheet1!$A$1:$T$1981</definedName>
    <definedName name="gcds">Sheet1!$A$1:$U$1981</definedName>
    <definedName name="grocery">Sheet1!$A$1:$P$1981</definedName>
    <definedName name="j">Sheet1!$A$1:$T$1981</definedName>
    <definedName name="Sale">Sheet1!$A$1:$P$1981</definedName>
  </definedNames>
  <calcPr calcId="191029"/>
  <pivotCaches>
    <pivotCache cacheId="1" r:id="rId4"/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O2" i="1"/>
  <c r="N3" i="1" l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N170" i="1"/>
  <c r="O170" i="1"/>
  <c r="N171" i="1"/>
  <c r="O171" i="1"/>
  <c r="N172" i="1"/>
  <c r="O172" i="1"/>
  <c r="N173" i="1"/>
  <c r="O173" i="1"/>
  <c r="N174" i="1"/>
  <c r="O174" i="1"/>
  <c r="N175" i="1"/>
  <c r="O175" i="1"/>
  <c r="N176" i="1"/>
  <c r="O176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N304" i="1"/>
  <c r="O304" i="1"/>
  <c r="N305" i="1"/>
  <c r="O305" i="1"/>
  <c r="N306" i="1"/>
  <c r="O306" i="1"/>
  <c r="N307" i="1"/>
  <c r="O307" i="1"/>
  <c r="N308" i="1"/>
  <c r="O308" i="1"/>
  <c r="N309" i="1"/>
  <c r="O309" i="1"/>
  <c r="N310" i="1"/>
  <c r="O310" i="1"/>
  <c r="N311" i="1"/>
  <c r="O311" i="1"/>
  <c r="N312" i="1"/>
  <c r="O312" i="1"/>
  <c r="N313" i="1"/>
  <c r="O313" i="1"/>
  <c r="N314" i="1"/>
  <c r="O314" i="1"/>
  <c r="N315" i="1"/>
  <c r="O315" i="1"/>
  <c r="N316" i="1"/>
  <c r="O316" i="1"/>
  <c r="N317" i="1"/>
  <c r="O317" i="1"/>
  <c r="N318" i="1"/>
  <c r="O318" i="1"/>
  <c r="N319" i="1"/>
  <c r="O319" i="1"/>
  <c r="N320" i="1"/>
  <c r="O320" i="1"/>
  <c r="N321" i="1"/>
  <c r="O321" i="1"/>
  <c r="N322" i="1"/>
  <c r="O322" i="1"/>
  <c r="N323" i="1"/>
  <c r="O323" i="1"/>
  <c r="N324" i="1"/>
  <c r="O324" i="1"/>
  <c r="N325" i="1"/>
  <c r="O325" i="1"/>
  <c r="N326" i="1"/>
  <c r="O326" i="1"/>
  <c r="N327" i="1"/>
  <c r="O327" i="1"/>
  <c r="N328" i="1"/>
  <c r="O328" i="1"/>
  <c r="N329" i="1"/>
  <c r="O329" i="1"/>
  <c r="N330" i="1"/>
  <c r="O330" i="1"/>
  <c r="N331" i="1"/>
  <c r="O331" i="1"/>
  <c r="N332" i="1"/>
  <c r="O332" i="1"/>
  <c r="N333" i="1"/>
  <c r="O333" i="1"/>
  <c r="N334" i="1"/>
  <c r="O334" i="1"/>
  <c r="N335" i="1"/>
  <c r="O335" i="1"/>
  <c r="N336" i="1"/>
  <c r="O336" i="1"/>
  <c r="N337" i="1"/>
  <c r="O337" i="1"/>
  <c r="N338" i="1"/>
  <c r="O338" i="1"/>
  <c r="N339" i="1"/>
  <c r="O339" i="1"/>
  <c r="N340" i="1"/>
  <c r="O340" i="1"/>
  <c r="N341" i="1"/>
  <c r="O341" i="1"/>
  <c r="N342" i="1"/>
  <c r="O342" i="1"/>
  <c r="N343" i="1"/>
  <c r="O343" i="1"/>
  <c r="N344" i="1"/>
  <c r="O344" i="1"/>
  <c r="N345" i="1"/>
  <c r="O345" i="1"/>
  <c r="N346" i="1"/>
  <c r="O346" i="1"/>
  <c r="N347" i="1"/>
  <c r="O347" i="1"/>
  <c r="N348" i="1"/>
  <c r="O348" i="1"/>
  <c r="N349" i="1"/>
  <c r="O349" i="1"/>
  <c r="N350" i="1"/>
  <c r="O350" i="1"/>
  <c r="N351" i="1"/>
  <c r="O351" i="1"/>
  <c r="N352" i="1"/>
  <c r="O352" i="1"/>
  <c r="N353" i="1"/>
  <c r="O353" i="1"/>
  <c r="N354" i="1"/>
  <c r="O354" i="1"/>
  <c r="N355" i="1"/>
  <c r="O355" i="1"/>
  <c r="N356" i="1"/>
  <c r="O356" i="1"/>
  <c r="N357" i="1"/>
  <c r="O357" i="1"/>
  <c r="N358" i="1"/>
  <c r="O358" i="1"/>
  <c r="N359" i="1"/>
  <c r="O359" i="1"/>
  <c r="N360" i="1"/>
  <c r="O360" i="1"/>
  <c r="N361" i="1"/>
  <c r="O361" i="1"/>
  <c r="N362" i="1"/>
  <c r="O362" i="1"/>
  <c r="N363" i="1"/>
  <c r="O363" i="1"/>
  <c r="N364" i="1"/>
  <c r="O364" i="1"/>
  <c r="N365" i="1"/>
  <c r="O365" i="1"/>
  <c r="N366" i="1"/>
  <c r="O366" i="1"/>
  <c r="N367" i="1"/>
  <c r="O367" i="1"/>
  <c r="N368" i="1"/>
  <c r="O368" i="1"/>
  <c r="N369" i="1"/>
  <c r="O369" i="1"/>
  <c r="N370" i="1"/>
  <c r="O370" i="1"/>
  <c r="N371" i="1"/>
  <c r="O371" i="1"/>
  <c r="N372" i="1"/>
  <c r="O372" i="1"/>
  <c r="N373" i="1"/>
  <c r="O373" i="1"/>
  <c r="N374" i="1"/>
  <c r="O374" i="1"/>
  <c r="N375" i="1"/>
  <c r="O375" i="1"/>
  <c r="N376" i="1"/>
  <c r="O376" i="1"/>
  <c r="N377" i="1"/>
  <c r="O377" i="1"/>
  <c r="N378" i="1"/>
  <c r="O378" i="1"/>
  <c r="N379" i="1"/>
  <c r="O379" i="1"/>
  <c r="N380" i="1"/>
  <c r="O380" i="1"/>
  <c r="N381" i="1"/>
  <c r="O381" i="1"/>
  <c r="N382" i="1"/>
  <c r="O382" i="1"/>
  <c r="N383" i="1"/>
  <c r="O383" i="1"/>
  <c r="N384" i="1"/>
  <c r="O384" i="1"/>
  <c r="N385" i="1"/>
  <c r="O385" i="1"/>
  <c r="N386" i="1"/>
  <c r="O386" i="1"/>
  <c r="N387" i="1"/>
  <c r="O387" i="1"/>
  <c r="N388" i="1"/>
  <c r="O388" i="1"/>
  <c r="N389" i="1"/>
  <c r="O389" i="1"/>
  <c r="N390" i="1"/>
  <c r="O390" i="1"/>
  <c r="N391" i="1"/>
  <c r="O391" i="1"/>
  <c r="N392" i="1"/>
  <c r="O392" i="1"/>
  <c r="N393" i="1"/>
  <c r="O393" i="1"/>
  <c r="N394" i="1"/>
  <c r="O394" i="1"/>
  <c r="N395" i="1"/>
  <c r="O395" i="1"/>
  <c r="N396" i="1"/>
  <c r="O396" i="1"/>
  <c r="N397" i="1"/>
  <c r="O397" i="1"/>
  <c r="N398" i="1"/>
  <c r="O398" i="1"/>
  <c r="N399" i="1"/>
  <c r="O399" i="1"/>
  <c r="N400" i="1"/>
  <c r="O400" i="1"/>
  <c r="N401" i="1"/>
  <c r="O401" i="1"/>
  <c r="N402" i="1"/>
  <c r="O402" i="1"/>
  <c r="N403" i="1"/>
  <c r="O403" i="1"/>
  <c r="N404" i="1"/>
  <c r="O404" i="1"/>
  <c r="N405" i="1"/>
  <c r="O405" i="1"/>
  <c r="N406" i="1"/>
  <c r="O406" i="1"/>
  <c r="N407" i="1"/>
  <c r="O407" i="1"/>
  <c r="N408" i="1"/>
  <c r="O408" i="1"/>
  <c r="N409" i="1"/>
  <c r="O409" i="1"/>
  <c r="N410" i="1"/>
  <c r="O410" i="1"/>
  <c r="N411" i="1"/>
  <c r="O411" i="1"/>
  <c r="N412" i="1"/>
  <c r="O412" i="1"/>
  <c r="N413" i="1"/>
  <c r="O413" i="1"/>
  <c r="N414" i="1"/>
  <c r="O414" i="1"/>
  <c r="N415" i="1"/>
  <c r="O415" i="1"/>
  <c r="N416" i="1"/>
  <c r="O416" i="1"/>
  <c r="N417" i="1"/>
  <c r="O417" i="1"/>
  <c r="N418" i="1"/>
  <c r="O418" i="1"/>
  <c r="N419" i="1"/>
  <c r="O419" i="1"/>
  <c r="N420" i="1"/>
  <c r="O420" i="1"/>
  <c r="N421" i="1"/>
  <c r="O421" i="1"/>
  <c r="N422" i="1"/>
  <c r="O422" i="1"/>
  <c r="N423" i="1"/>
  <c r="O423" i="1"/>
  <c r="N424" i="1"/>
  <c r="O424" i="1"/>
  <c r="N425" i="1"/>
  <c r="O425" i="1"/>
  <c r="N426" i="1"/>
  <c r="O426" i="1"/>
  <c r="N427" i="1"/>
  <c r="O427" i="1"/>
  <c r="N428" i="1"/>
  <c r="O428" i="1"/>
  <c r="N429" i="1"/>
  <c r="O429" i="1"/>
  <c r="N430" i="1"/>
  <c r="O430" i="1"/>
  <c r="N431" i="1"/>
  <c r="O431" i="1"/>
  <c r="N432" i="1"/>
  <c r="O432" i="1"/>
  <c r="N433" i="1"/>
  <c r="O433" i="1"/>
  <c r="N434" i="1"/>
  <c r="O434" i="1"/>
  <c r="N435" i="1"/>
  <c r="O435" i="1"/>
  <c r="N436" i="1"/>
  <c r="O436" i="1"/>
  <c r="N437" i="1"/>
  <c r="O437" i="1"/>
  <c r="N438" i="1"/>
  <c r="O438" i="1"/>
  <c r="N439" i="1"/>
  <c r="O439" i="1"/>
  <c r="N440" i="1"/>
  <c r="O440" i="1"/>
  <c r="N441" i="1"/>
  <c r="O441" i="1"/>
  <c r="N442" i="1"/>
  <c r="O442" i="1"/>
  <c r="N443" i="1"/>
  <c r="O443" i="1"/>
  <c r="N444" i="1"/>
  <c r="O444" i="1"/>
  <c r="N445" i="1"/>
  <c r="O445" i="1"/>
  <c r="N446" i="1"/>
  <c r="O446" i="1"/>
  <c r="N447" i="1"/>
  <c r="O447" i="1"/>
  <c r="N448" i="1"/>
  <c r="O448" i="1"/>
  <c r="N449" i="1"/>
  <c r="O449" i="1"/>
  <c r="N450" i="1"/>
  <c r="O450" i="1"/>
  <c r="N451" i="1"/>
  <c r="O451" i="1"/>
  <c r="N452" i="1"/>
  <c r="O452" i="1"/>
  <c r="N453" i="1"/>
  <c r="O453" i="1"/>
  <c r="N454" i="1"/>
  <c r="O454" i="1"/>
  <c r="N455" i="1"/>
  <c r="O455" i="1"/>
  <c r="N456" i="1"/>
  <c r="O456" i="1"/>
  <c r="N457" i="1"/>
  <c r="O457" i="1"/>
  <c r="N458" i="1"/>
  <c r="O458" i="1"/>
  <c r="N459" i="1"/>
  <c r="O459" i="1"/>
  <c r="N460" i="1"/>
  <c r="O460" i="1"/>
  <c r="N461" i="1"/>
  <c r="O461" i="1"/>
  <c r="N462" i="1"/>
  <c r="O462" i="1"/>
  <c r="N463" i="1"/>
  <c r="O463" i="1"/>
  <c r="N464" i="1"/>
  <c r="O464" i="1"/>
  <c r="N465" i="1"/>
  <c r="O465" i="1"/>
  <c r="N466" i="1"/>
  <c r="O466" i="1"/>
  <c r="N467" i="1"/>
  <c r="O467" i="1"/>
  <c r="N468" i="1"/>
  <c r="O468" i="1"/>
  <c r="N469" i="1"/>
  <c r="O469" i="1"/>
  <c r="N470" i="1"/>
  <c r="O470" i="1"/>
  <c r="N471" i="1"/>
  <c r="O471" i="1"/>
  <c r="N472" i="1"/>
  <c r="O472" i="1"/>
  <c r="N473" i="1"/>
  <c r="O473" i="1"/>
  <c r="N474" i="1"/>
  <c r="O474" i="1"/>
  <c r="N475" i="1"/>
  <c r="O475" i="1"/>
  <c r="N476" i="1"/>
  <c r="O476" i="1"/>
  <c r="N477" i="1"/>
  <c r="O477" i="1"/>
  <c r="N478" i="1"/>
  <c r="O478" i="1"/>
  <c r="N479" i="1"/>
  <c r="O479" i="1"/>
  <c r="N480" i="1"/>
  <c r="O480" i="1"/>
  <c r="N481" i="1"/>
  <c r="O481" i="1"/>
  <c r="N482" i="1"/>
  <c r="O482" i="1"/>
  <c r="N483" i="1"/>
  <c r="O483" i="1"/>
  <c r="N484" i="1"/>
  <c r="O484" i="1"/>
  <c r="N485" i="1"/>
  <c r="O485" i="1"/>
  <c r="N486" i="1"/>
  <c r="O486" i="1"/>
  <c r="N487" i="1"/>
  <c r="O487" i="1"/>
  <c r="N488" i="1"/>
  <c r="O488" i="1"/>
  <c r="N489" i="1"/>
  <c r="O489" i="1"/>
  <c r="N490" i="1"/>
  <c r="O490" i="1"/>
  <c r="N491" i="1"/>
  <c r="O491" i="1"/>
  <c r="N492" i="1"/>
  <c r="O492" i="1"/>
  <c r="N493" i="1"/>
  <c r="O493" i="1"/>
  <c r="N494" i="1"/>
  <c r="O494" i="1"/>
  <c r="N495" i="1"/>
  <c r="O495" i="1"/>
  <c r="N496" i="1"/>
  <c r="O496" i="1"/>
  <c r="N497" i="1"/>
  <c r="O497" i="1"/>
  <c r="N498" i="1"/>
  <c r="O498" i="1"/>
  <c r="N499" i="1"/>
  <c r="O499" i="1"/>
  <c r="N500" i="1"/>
  <c r="O500" i="1"/>
  <c r="N501" i="1"/>
  <c r="O501" i="1"/>
  <c r="N502" i="1"/>
  <c r="O502" i="1"/>
  <c r="N503" i="1"/>
  <c r="O503" i="1"/>
  <c r="N504" i="1"/>
  <c r="O504" i="1"/>
  <c r="N505" i="1"/>
  <c r="O505" i="1"/>
  <c r="N506" i="1"/>
  <c r="O506" i="1"/>
  <c r="N507" i="1"/>
  <c r="O507" i="1"/>
  <c r="N508" i="1"/>
  <c r="O508" i="1"/>
  <c r="N509" i="1"/>
  <c r="O509" i="1"/>
  <c r="N510" i="1"/>
  <c r="O510" i="1"/>
  <c r="N511" i="1"/>
  <c r="O511" i="1"/>
  <c r="N512" i="1"/>
  <c r="O512" i="1"/>
  <c r="N513" i="1"/>
  <c r="O513" i="1"/>
  <c r="N514" i="1"/>
  <c r="O514" i="1"/>
  <c r="N515" i="1"/>
  <c r="O515" i="1"/>
  <c r="N516" i="1"/>
  <c r="O516" i="1"/>
  <c r="N517" i="1"/>
  <c r="O517" i="1"/>
  <c r="N518" i="1"/>
  <c r="O518" i="1"/>
  <c r="N519" i="1"/>
  <c r="O519" i="1"/>
  <c r="N520" i="1"/>
  <c r="O520" i="1"/>
  <c r="N521" i="1"/>
  <c r="O521" i="1"/>
  <c r="N522" i="1"/>
  <c r="O522" i="1"/>
  <c r="N523" i="1"/>
  <c r="O523" i="1"/>
  <c r="N524" i="1"/>
  <c r="O524" i="1"/>
  <c r="N525" i="1"/>
  <c r="O525" i="1"/>
  <c r="N526" i="1"/>
  <c r="O526" i="1"/>
  <c r="N527" i="1"/>
  <c r="O527" i="1"/>
  <c r="N528" i="1"/>
  <c r="O528" i="1"/>
  <c r="N529" i="1"/>
  <c r="O529" i="1"/>
  <c r="N530" i="1"/>
  <c r="O530" i="1"/>
  <c r="N531" i="1"/>
  <c r="O531" i="1"/>
  <c r="N532" i="1"/>
  <c r="O532" i="1"/>
  <c r="N533" i="1"/>
  <c r="O533" i="1"/>
  <c r="N534" i="1"/>
  <c r="O534" i="1"/>
  <c r="N535" i="1"/>
  <c r="O535" i="1"/>
  <c r="N536" i="1"/>
  <c r="O536" i="1"/>
  <c r="N537" i="1"/>
  <c r="O537" i="1"/>
  <c r="N538" i="1"/>
  <c r="O538" i="1"/>
  <c r="N539" i="1"/>
  <c r="O539" i="1"/>
  <c r="N540" i="1"/>
  <c r="O540" i="1"/>
  <c r="N541" i="1"/>
  <c r="O541" i="1"/>
  <c r="N542" i="1"/>
  <c r="O542" i="1"/>
  <c r="N543" i="1"/>
  <c r="O543" i="1"/>
  <c r="N544" i="1"/>
  <c r="O544" i="1"/>
  <c r="N545" i="1"/>
  <c r="O545" i="1"/>
  <c r="N546" i="1"/>
  <c r="O546" i="1"/>
  <c r="N547" i="1"/>
  <c r="O547" i="1"/>
  <c r="N548" i="1"/>
  <c r="O548" i="1"/>
  <c r="N549" i="1"/>
  <c r="O549" i="1"/>
  <c r="N550" i="1"/>
  <c r="O550" i="1"/>
  <c r="N551" i="1"/>
  <c r="O551" i="1"/>
  <c r="N552" i="1"/>
  <c r="O552" i="1"/>
  <c r="N553" i="1"/>
  <c r="O553" i="1"/>
  <c r="N554" i="1"/>
  <c r="O554" i="1"/>
  <c r="N555" i="1"/>
  <c r="O555" i="1"/>
  <c r="N556" i="1"/>
  <c r="O556" i="1"/>
  <c r="N557" i="1"/>
  <c r="O557" i="1"/>
  <c r="N558" i="1"/>
  <c r="O558" i="1"/>
  <c r="N559" i="1"/>
  <c r="O559" i="1"/>
  <c r="N560" i="1"/>
  <c r="O560" i="1"/>
  <c r="N561" i="1"/>
  <c r="O561" i="1"/>
  <c r="N562" i="1"/>
  <c r="O562" i="1"/>
  <c r="N563" i="1"/>
  <c r="O563" i="1"/>
  <c r="N564" i="1"/>
  <c r="O564" i="1"/>
  <c r="N565" i="1"/>
  <c r="O565" i="1"/>
  <c r="N566" i="1"/>
  <c r="O566" i="1"/>
  <c r="N567" i="1"/>
  <c r="O567" i="1"/>
  <c r="N568" i="1"/>
  <c r="O568" i="1"/>
  <c r="N569" i="1"/>
  <c r="O569" i="1"/>
  <c r="N570" i="1"/>
  <c r="O570" i="1"/>
  <c r="N571" i="1"/>
  <c r="O571" i="1"/>
  <c r="N572" i="1"/>
  <c r="O572" i="1"/>
  <c r="N573" i="1"/>
  <c r="O573" i="1"/>
  <c r="N574" i="1"/>
  <c r="O574" i="1"/>
  <c r="N575" i="1"/>
  <c r="O575" i="1"/>
  <c r="N576" i="1"/>
  <c r="O576" i="1"/>
  <c r="N577" i="1"/>
  <c r="O577" i="1"/>
  <c r="N578" i="1"/>
  <c r="O578" i="1"/>
  <c r="N579" i="1"/>
  <c r="O579" i="1"/>
  <c r="N580" i="1"/>
  <c r="O580" i="1"/>
  <c r="N581" i="1"/>
  <c r="O581" i="1"/>
  <c r="N582" i="1"/>
  <c r="O582" i="1"/>
  <c r="N583" i="1"/>
  <c r="O583" i="1"/>
  <c r="N584" i="1"/>
  <c r="O584" i="1"/>
  <c r="N585" i="1"/>
  <c r="O585" i="1"/>
  <c r="N586" i="1"/>
  <c r="O586" i="1"/>
  <c r="N587" i="1"/>
  <c r="O587" i="1"/>
  <c r="N588" i="1"/>
  <c r="O588" i="1"/>
  <c r="N589" i="1"/>
  <c r="O589" i="1"/>
  <c r="N590" i="1"/>
  <c r="O590" i="1"/>
  <c r="N591" i="1"/>
  <c r="O591" i="1"/>
  <c r="N592" i="1"/>
  <c r="O592" i="1"/>
  <c r="N593" i="1"/>
  <c r="O593" i="1"/>
  <c r="N594" i="1"/>
  <c r="O594" i="1"/>
  <c r="N595" i="1"/>
  <c r="O595" i="1"/>
  <c r="N596" i="1"/>
  <c r="O596" i="1"/>
  <c r="N597" i="1"/>
  <c r="O597" i="1"/>
  <c r="N598" i="1"/>
  <c r="O598" i="1"/>
  <c r="N599" i="1"/>
  <c r="O599" i="1"/>
  <c r="N600" i="1"/>
  <c r="O600" i="1"/>
  <c r="N601" i="1"/>
  <c r="O601" i="1"/>
  <c r="N602" i="1"/>
  <c r="O602" i="1"/>
  <c r="N603" i="1"/>
  <c r="O603" i="1"/>
  <c r="N604" i="1"/>
  <c r="O604" i="1"/>
  <c r="N605" i="1"/>
  <c r="O605" i="1"/>
  <c r="N606" i="1"/>
  <c r="O606" i="1"/>
  <c r="N607" i="1"/>
  <c r="O607" i="1"/>
  <c r="N608" i="1"/>
  <c r="O608" i="1"/>
  <c r="N609" i="1"/>
  <c r="O609" i="1"/>
  <c r="N610" i="1"/>
  <c r="O610" i="1"/>
  <c r="N611" i="1"/>
  <c r="O611" i="1"/>
  <c r="N612" i="1"/>
  <c r="O612" i="1"/>
  <c r="N613" i="1"/>
  <c r="O613" i="1"/>
  <c r="N614" i="1"/>
  <c r="O614" i="1"/>
  <c r="N615" i="1"/>
  <c r="O615" i="1"/>
  <c r="N616" i="1"/>
  <c r="O616" i="1"/>
  <c r="N617" i="1"/>
  <c r="O617" i="1"/>
  <c r="N618" i="1"/>
  <c r="O618" i="1"/>
  <c r="N619" i="1"/>
  <c r="O619" i="1"/>
  <c r="N620" i="1"/>
  <c r="O620" i="1"/>
  <c r="N621" i="1"/>
  <c r="O621" i="1"/>
  <c r="N622" i="1"/>
  <c r="O622" i="1"/>
  <c r="N623" i="1"/>
  <c r="O623" i="1"/>
  <c r="N624" i="1"/>
  <c r="O624" i="1"/>
  <c r="N625" i="1"/>
  <c r="O625" i="1"/>
  <c r="N626" i="1"/>
  <c r="O626" i="1"/>
  <c r="N627" i="1"/>
  <c r="O627" i="1"/>
  <c r="N628" i="1"/>
  <c r="O628" i="1"/>
  <c r="N629" i="1"/>
  <c r="O629" i="1"/>
  <c r="N630" i="1"/>
  <c r="O630" i="1"/>
  <c r="N631" i="1"/>
  <c r="O631" i="1"/>
  <c r="N632" i="1"/>
  <c r="O632" i="1"/>
  <c r="N633" i="1"/>
  <c r="O633" i="1"/>
  <c r="N634" i="1"/>
  <c r="O634" i="1"/>
  <c r="N635" i="1"/>
  <c r="O635" i="1"/>
  <c r="N636" i="1"/>
  <c r="O636" i="1"/>
  <c r="N637" i="1"/>
  <c r="O637" i="1"/>
  <c r="N638" i="1"/>
  <c r="O638" i="1"/>
  <c r="N639" i="1"/>
  <c r="O639" i="1"/>
  <c r="N640" i="1"/>
  <c r="O640" i="1"/>
  <c r="N641" i="1"/>
  <c r="O641" i="1"/>
  <c r="N642" i="1"/>
  <c r="O642" i="1"/>
  <c r="N643" i="1"/>
  <c r="O643" i="1"/>
  <c r="N644" i="1"/>
  <c r="O644" i="1"/>
  <c r="N645" i="1"/>
  <c r="O645" i="1"/>
  <c r="N646" i="1"/>
  <c r="O646" i="1"/>
  <c r="N647" i="1"/>
  <c r="O647" i="1"/>
  <c r="N648" i="1"/>
  <c r="O648" i="1"/>
  <c r="N649" i="1"/>
  <c r="O649" i="1"/>
  <c r="N650" i="1"/>
  <c r="O650" i="1"/>
  <c r="N651" i="1"/>
  <c r="O651" i="1"/>
  <c r="N652" i="1"/>
  <c r="O652" i="1"/>
  <c r="N653" i="1"/>
  <c r="O653" i="1"/>
  <c r="N654" i="1"/>
  <c r="O654" i="1"/>
  <c r="N655" i="1"/>
  <c r="O655" i="1"/>
  <c r="N656" i="1"/>
  <c r="O656" i="1"/>
  <c r="N657" i="1"/>
  <c r="O657" i="1"/>
  <c r="N658" i="1"/>
  <c r="O658" i="1"/>
  <c r="N659" i="1"/>
  <c r="O659" i="1"/>
  <c r="N660" i="1"/>
  <c r="O660" i="1"/>
  <c r="N661" i="1"/>
  <c r="O661" i="1"/>
  <c r="N662" i="1"/>
  <c r="O662" i="1"/>
  <c r="N663" i="1"/>
  <c r="O663" i="1"/>
  <c r="N664" i="1"/>
  <c r="O664" i="1"/>
  <c r="N665" i="1"/>
  <c r="O665" i="1"/>
  <c r="N666" i="1"/>
  <c r="O666" i="1"/>
  <c r="N667" i="1"/>
  <c r="O667" i="1"/>
  <c r="N668" i="1"/>
  <c r="O668" i="1"/>
  <c r="N669" i="1"/>
  <c r="O669" i="1"/>
  <c r="N670" i="1"/>
  <c r="O670" i="1"/>
  <c r="N671" i="1"/>
  <c r="O671" i="1"/>
  <c r="N672" i="1"/>
  <c r="O672" i="1"/>
  <c r="N673" i="1"/>
  <c r="O673" i="1"/>
  <c r="N674" i="1"/>
  <c r="O674" i="1"/>
  <c r="N675" i="1"/>
  <c r="O675" i="1"/>
  <c r="N676" i="1"/>
  <c r="O676" i="1"/>
  <c r="N677" i="1"/>
  <c r="O677" i="1"/>
  <c r="N678" i="1"/>
  <c r="O678" i="1"/>
  <c r="N679" i="1"/>
  <c r="O679" i="1"/>
  <c r="N680" i="1"/>
  <c r="O680" i="1"/>
  <c r="N681" i="1"/>
  <c r="O681" i="1"/>
  <c r="N682" i="1"/>
  <c r="O682" i="1"/>
  <c r="N683" i="1"/>
  <c r="O683" i="1"/>
  <c r="N684" i="1"/>
  <c r="O684" i="1"/>
  <c r="N685" i="1"/>
  <c r="O685" i="1"/>
  <c r="N686" i="1"/>
  <c r="O686" i="1"/>
  <c r="N687" i="1"/>
  <c r="O687" i="1"/>
  <c r="N688" i="1"/>
  <c r="O688" i="1"/>
  <c r="N689" i="1"/>
  <c r="O689" i="1"/>
  <c r="N690" i="1"/>
  <c r="O690" i="1"/>
  <c r="N691" i="1"/>
  <c r="O691" i="1"/>
  <c r="N692" i="1"/>
  <c r="O692" i="1"/>
  <c r="N693" i="1"/>
  <c r="O693" i="1"/>
  <c r="N694" i="1"/>
  <c r="O694" i="1"/>
  <c r="N695" i="1"/>
  <c r="O695" i="1"/>
  <c r="N696" i="1"/>
  <c r="O696" i="1"/>
  <c r="N697" i="1"/>
  <c r="O697" i="1"/>
  <c r="N698" i="1"/>
  <c r="O698" i="1"/>
  <c r="N699" i="1"/>
  <c r="O699" i="1"/>
  <c r="N700" i="1"/>
  <c r="O700" i="1"/>
  <c r="N701" i="1"/>
  <c r="O701" i="1"/>
  <c r="N702" i="1"/>
  <c r="O702" i="1"/>
  <c r="N703" i="1"/>
  <c r="O703" i="1"/>
  <c r="N704" i="1"/>
  <c r="O704" i="1"/>
  <c r="N705" i="1"/>
  <c r="O705" i="1"/>
  <c r="N706" i="1"/>
  <c r="O706" i="1"/>
  <c r="N707" i="1"/>
  <c r="O707" i="1"/>
  <c r="N708" i="1"/>
  <c r="O708" i="1"/>
  <c r="N709" i="1"/>
  <c r="O709" i="1"/>
  <c r="N710" i="1"/>
  <c r="O710" i="1"/>
  <c r="N711" i="1"/>
  <c r="O711" i="1"/>
  <c r="N712" i="1"/>
  <c r="O712" i="1"/>
  <c r="N713" i="1"/>
  <c r="O713" i="1"/>
  <c r="N714" i="1"/>
  <c r="O714" i="1"/>
  <c r="N715" i="1"/>
  <c r="O715" i="1"/>
  <c r="N716" i="1"/>
  <c r="O716" i="1"/>
  <c r="N717" i="1"/>
  <c r="O717" i="1"/>
  <c r="N718" i="1"/>
  <c r="O718" i="1"/>
  <c r="N719" i="1"/>
  <c r="O719" i="1"/>
  <c r="N720" i="1"/>
  <c r="O720" i="1"/>
  <c r="N721" i="1"/>
  <c r="O721" i="1"/>
  <c r="N722" i="1"/>
  <c r="O722" i="1"/>
  <c r="N723" i="1"/>
  <c r="O723" i="1"/>
  <c r="N724" i="1"/>
  <c r="O724" i="1"/>
  <c r="N725" i="1"/>
  <c r="O725" i="1"/>
  <c r="N726" i="1"/>
  <c r="O726" i="1"/>
  <c r="N727" i="1"/>
  <c r="O727" i="1"/>
  <c r="N728" i="1"/>
  <c r="O728" i="1"/>
  <c r="N729" i="1"/>
  <c r="O729" i="1"/>
  <c r="N730" i="1"/>
  <c r="O730" i="1"/>
  <c r="N731" i="1"/>
  <c r="O731" i="1"/>
  <c r="N732" i="1"/>
  <c r="O732" i="1"/>
  <c r="N733" i="1"/>
  <c r="O733" i="1"/>
  <c r="N734" i="1"/>
  <c r="O734" i="1"/>
  <c r="N735" i="1"/>
  <c r="O735" i="1"/>
  <c r="N736" i="1"/>
  <c r="O736" i="1"/>
  <c r="N737" i="1"/>
  <c r="O737" i="1"/>
  <c r="N738" i="1"/>
  <c r="O738" i="1"/>
  <c r="N739" i="1"/>
  <c r="O739" i="1"/>
  <c r="N740" i="1"/>
  <c r="O740" i="1"/>
  <c r="N741" i="1"/>
  <c r="O741" i="1"/>
  <c r="N742" i="1"/>
  <c r="O742" i="1"/>
  <c r="N743" i="1"/>
  <c r="O743" i="1"/>
  <c r="N744" i="1"/>
  <c r="O744" i="1"/>
  <c r="N745" i="1"/>
  <c r="O745" i="1"/>
  <c r="N746" i="1"/>
  <c r="O746" i="1"/>
  <c r="N747" i="1"/>
  <c r="O747" i="1"/>
  <c r="N748" i="1"/>
  <c r="O748" i="1"/>
  <c r="N749" i="1"/>
  <c r="O749" i="1"/>
  <c r="N750" i="1"/>
  <c r="O750" i="1"/>
  <c r="N751" i="1"/>
  <c r="O751" i="1"/>
  <c r="N752" i="1"/>
  <c r="O752" i="1"/>
  <c r="N753" i="1"/>
  <c r="O753" i="1"/>
  <c r="N754" i="1"/>
  <c r="O754" i="1"/>
  <c r="N755" i="1"/>
  <c r="O755" i="1"/>
  <c r="N756" i="1"/>
  <c r="O756" i="1"/>
  <c r="N757" i="1"/>
  <c r="O757" i="1"/>
  <c r="N758" i="1"/>
  <c r="O758" i="1"/>
  <c r="N759" i="1"/>
  <c r="O759" i="1"/>
  <c r="N760" i="1"/>
  <c r="O760" i="1"/>
  <c r="N761" i="1"/>
  <c r="O761" i="1"/>
  <c r="N762" i="1"/>
  <c r="O762" i="1"/>
  <c r="N763" i="1"/>
  <c r="O763" i="1"/>
  <c r="N764" i="1"/>
  <c r="O764" i="1"/>
  <c r="N765" i="1"/>
  <c r="O765" i="1"/>
  <c r="N766" i="1"/>
  <c r="O766" i="1"/>
  <c r="N767" i="1"/>
  <c r="O767" i="1"/>
  <c r="N768" i="1"/>
  <c r="O768" i="1"/>
  <c r="N769" i="1"/>
  <c r="O769" i="1"/>
  <c r="N770" i="1"/>
  <c r="O770" i="1"/>
  <c r="N771" i="1"/>
  <c r="O771" i="1"/>
  <c r="N772" i="1"/>
  <c r="O772" i="1"/>
  <c r="N773" i="1"/>
  <c r="O773" i="1"/>
  <c r="N774" i="1"/>
  <c r="O774" i="1"/>
  <c r="N775" i="1"/>
  <c r="O775" i="1"/>
  <c r="N776" i="1"/>
  <c r="O776" i="1"/>
  <c r="N777" i="1"/>
  <c r="O777" i="1"/>
  <c r="N778" i="1"/>
  <c r="O778" i="1"/>
  <c r="N779" i="1"/>
  <c r="O779" i="1"/>
  <c r="N780" i="1"/>
  <c r="O780" i="1"/>
  <c r="N781" i="1"/>
  <c r="O781" i="1"/>
  <c r="N782" i="1"/>
  <c r="O782" i="1"/>
  <c r="N783" i="1"/>
  <c r="O783" i="1"/>
  <c r="N784" i="1"/>
  <c r="O784" i="1"/>
  <c r="N785" i="1"/>
  <c r="O785" i="1"/>
  <c r="N786" i="1"/>
  <c r="O786" i="1"/>
  <c r="N787" i="1"/>
  <c r="O787" i="1"/>
  <c r="N788" i="1"/>
  <c r="O788" i="1"/>
  <c r="N789" i="1"/>
  <c r="O789" i="1"/>
  <c r="N790" i="1"/>
  <c r="O790" i="1"/>
  <c r="N791" i="1"/>
  <c r="O791" i="1"/>
  <c r="N792" i="1"/>
  <c r="O792" i="1"/>
  <c r="N793" i="1"/>
  <c r="O793" i="1"/>
  <c r="N794" i="1"/>
  <c r="O794" i="1"/>
  <c r="N795" i="1"/>
  <c r="O795" i="1"/>
  <c r="N796" i="1"/>
  <c r="O796" i="1"/>
  <c r="N797" i="1"/>
  <c r="O797" i="1"/>
  <c r="N798" i="1"/>
  <c r="O798" i="1"/>
  <c r="N799" i="1"/>
  <c r="O799" i="1"/>
  <c r="N800" i="1"/>
  <c r="O800" i="1"/>
  <c r="N801" i="1"/>
  <c r="O801" i="1"/>
  <c r="N802" i="1"/>
  <c r="O802" i="1"/>
  <c r="N803" i="1"/>
  <c r="O803" i="1"/>
  <c r="N804" i="1"/>
  <c r="O804" i="1"/>
  <c r="N805" i="1"/>
  <c r="O805" i="1"/>
  <c r="N806" i="1"/>
  <c r="O806" i="1"/>
  <c r="N807" i="1"/>
  <c r="O807" i="1"/>
  <c r="N808" i="1"/>
  <c r="O808" i="1"/>
  <c r="N809" i="1"/>
  <c r="O809" i="1"/>
  <c r="N810" i="1"/>
  <c r="O810" i="1"/>
  <c r="N811" i="1"/>
  <c r="O811" i="1"/>
  <c r="N812" i="1"/>
  <c r="O812" i="1"/>
  <c r="N813" i="1"/>
  <c r="O813" i="1"/>
  <c r="N814" i="1"/>
  <c r="O814" i="1"/>
  <c r="N815" i="1"/>
  <c r="O815" i="1"/>
  <c r="N816" i="1"/>
  <c r="O816" i="1"/>
  <c r="N817" i="1"/>
  <c r="O817" i="1"/>
  <c r="N818" i="1"/>
  <c r="O818" i="1"/>
  <c r="N819" i="1"/>
  <c r="O819" i="1"/>
  <c r="N820" i="1"/>
  <c r="O820" i="1"/>
  <c r="N821" i="1"/>
  <c r="O821" i="1"/>
  <c r="N822" i="1"/>
  <c r="O822" i="1"/>
  <c r="N823" i="1"/>
  <c r="O823" i="1"/>
  <c r="N824" i="1"/>
  <c r="O824" i="1"/>
  <c r="N825" i="1"/>
  <c r="O825" i="1"/>
  <c r="N826" i="1"/>
  <c r="O826" i="1"/>
  <c r="N827" i="1"/>
  <c r="O827" i="1"/>
  <c r="N828" i="1"/>
  <c r="O828" i="1"/>
  <c r="N829" i="1"/>
  <c r="O829" i="1"/>
  <c r="N830" i="1"/>
  <c r="O830" i="1"/>
  <c r="N831" i="1"/>
  <c r="O831" i="1"/>
  <c r="N832" i="1"/>
  <c r="O832" i="1"/>
  <c r="N833" i="1"/>
  <c r="O833" i="1"/>
  <c r="N834" i="1"/>
  <c r="O834" i="1"/>
  <c r="N835" i="1"/>
  <c r="O835" i="1"/>
  <c r="N836" i="1"/>
  <c r="O836" i="1"/>
  <c r="N837" i="1"/>
  <c r="O837" i="1"/>
  <c r="N838" i="1"/>
  <c r="O838" i="1"/>
  <c r="N839" i="1"/>
  <c r="O839" i="1"/>
  <c r="N840" i="1"/>
  <c r="O840" i="1"/>
  <c r="N841" i="1"/>
  <c r="O841" i="1"/>
  <c r="N842" i="1"/>
  <c r="O842" i="1"/>
  <c r="N843" i="1"/>
  <c r="O843" i="1"/>
  <c r="N844" i="1"/>
  <c r="O844" i="1"/>
  <c r="N845" i="1"/>
  <c r="O845" i="1"/>
  <c r="N846" i="1"/>
  <c r="O846" i="1"/>
  <c r="N847" i="1"/>
  <c r="O847" i="1"/>
  <c r="N848" i="1"/>
  <c r="O848" i="1"/>
  <c r="N849" i="1"/>
  <c r="O849" i="1"/>
  <c r="N850" i="1"/>
  <c r="O850" i="1"/>
  <c r="N851" i="1"/>
  <c r="O851" i="1"/>
  <c r="N852" i="1"/>
  <c r="O852" i="1"/>
  <c r="N853" i="1"/>
  <c r="O853" i="1"/>
  <c r="N854" i="1"/>
  <c r="O854" i="1"/>
  <c r="N855" i="1"/>
  <c r="O855" i="1"/>
  <c r="N856" i="1"/>
  <c r="O856" i="1"/>
  <c r="N857" i="1"/>
  <c r="O857" i="1"/>
  <c r="N858" i="1"/>
  <c r="O858" i="1"/>
  <c r="N859" i="1"/>
  <c r="O859" i="1"/>
  <c r="N860" i="1"/>
  <c r="O860" i="1"/>
  <c r="N861" i="1"/>
  <c r="O861" i="1"/>
  <c r="N862" i="1"/>
  <c r="O862" i="1"/>
  <c r="N863" i="1"/>
  <c r="O863" i="1"/>
  <c r="N864" i="1"/>
  <c r="O864" i="1"/>
  <c r="N865" i="1"/>
  <c r="O865" i="1"/>
  <c r="N866" i="1"/>
  <c r="O866" i="1"/>
  <c r="N867" i="1"/>
  <c r="O867" i="1"/>
  <c r="N868" i="1"/>
  <c r="O868" i="1"/>
  <c r="N869" i="1"/>
  <c r="O869" i="1"/>
  <c r="N870" i="1"/>
  <c r="O870" i="1"/>
  <c r="N871" i="1"/>
  <c r="O871" i="1"/>
  <c r="N872" i="1"/>
  <c r="O872" i="1"/>
  <c r="N873" i="1"/>
  <c r="O873" i="1"/>
  <c r="N874" i="1"/>
  <c r="O874" i="1"/>
  <c r="N875" i="1"/>
  <c r="O875" i="1"/>
  <c r="N876" i="1"/>
  <c r="O876" i="1"/>
  <c r="N877" i="1"/>
  <c r="O877" i="1"/>
  <c r="N878" i="1"/>
  <c r="O878" i="1"/>
  <c r="N879" i="1"/>
  <c r="O879" i="1"/>
  <c r="N880" i="1"/>
  <c r="O880" i="1"/>
  <c r="N881" i="1"/>
  <c r="O881" i="1"/>
  <c r="N882" i="1"/>
  <c r="O882" i="1"/>
  <c r="N883" i="1"/>
  <c r="O883" i="1"/>
  <c r="N884" i="1"/>
  <c r="O884" i="1"/>
  <c r="N885" i="1"/>
  <c r="O885" i="1"/>
  <c r="N886" i="1"/>
  <c r="O886" i="1"/>
  <c r="N887" i="1"/>
  <c r="O887" i="1"/>
  <c r="N888" i="1"/>
  <c r="O888" i="1"/>
  <c r="N889" i="1"/>
  <c r="O889" i="1"/>
  <c r="N890" i="1"/>
  <c r="O890" i="1"/>
  <c r="N891" i="1"/>
  <c r="O891" i="1"/>
  <c r="N892" i="1"/>
  <c r="O892" i="1"/>
  <c r="N893" i="1"/>
  <c r="O893" i="1"/>
  <c r="N894" i="1"/>
  <c r="O894" i="1"/>
  <c r="N895" i="1"/>
  <c r="O895" i="1"/>
  <c r="N896" i="1"/>
  <c r="O896" i="1"/>
  <c r="N897" i="1"/>
  <c r="O897" i="1"/>
  <c r="N898" i="1"/>
  <c r="O898" i="1"/>
  <c r="N899" i="1"/>
  <c r="O899" i="1"/>
  <c r="N900" i="1"/>
  <c r="O900" i="1"/>
  <c r="N901" i="1"/>
  <c r="O901" i="1"/>
  <c r="N902" i="1"/>
  <c r="O902" i="1"/>
  <c r="N903" i="1"/>
  <c r="O903" i="1"/>
  <c r="N904" i="1"/>
  <c r="O904" i="1"/>
  <c r="N905" i="1"/>
  <c r="O905" i="1"/>
  <c r="N906" i="1"/>
  <c r="O906" i="1"/>
  <c r="N907" i="1"/>
  <c r="O907" i="1"/>
  <c r="N908" i="1"/>
  <c r="O908" i="1"/>
  <c r="N909" i="1"/>
  <c r="O909" i="1"/>
  <c r="N910" i="1"/>
  <c r="O910" i="1"/>
  <c r="N911" i="1"/>
  <c r="O911" i="1"/>
  <c r="N912" i="1"/>
  <c r="O912" i="1"/>
  <c r="N913" i="1"/>
  <c r="O913" i="1"/>
  <c r="N914" i="1"/>
  <c r="O914" i="1"/>
  <c r="N915" i="1"/>
  <c r="O915" i="1"/>
  <c r="N916" i="1"/>
  <c r="O916" i="1"/>
  <c r="N917" i="1"/>
  <c r="O917" i="1"/>
  <c r="N918" i="1"/>
  <c r="O918" i="1"/>
  <c r="N919" i="1"/>
  <c r="O919" i="1"/>
  <c r="N920" i="1"/>
  <c r="O920" i="1"/>
  <c r="N921" i="1"/>
  <c r="O921" i="1"/>
  <c r="N922" i="1"/>
  <c r="O922" i="1"/>
  <c r="N923" i="1"/>
  <c r="O923" i="1"/>
  <c r="N924" i="1"/>
  <c r="O924" i="1"/>
  <c r="N925" i="1"/>
  <c r="O925" i="1"/>
  <c r="N926" i="1"/>
  <c r="O926" i="1"/>
  <c r="N927" i="1"/>
  <c r="O927" i="1"/>
  <c r="N928" i="1"/>
  <c r="O928" i="1"/>
  <c r="N929" i="1"/>
  <c r="O929" i="1"/>
  <c r="N930" i="1"/>
  <c r="O930" i="1"/>
  <c r="N931" i="1"/>
  <c r="O931" i="1"/>
  <c r="N932" i="1"/>
  <c r="O932" i="1"/>
  <c r="N933" i="1"/>
  <c r="O933" i="1"/>
  <c r="N934" i="1"/>
  <c r="O934" i="1"/>
  <c r="N935" i="1"/>
  <c r="O935" i="1"/>
  <c r="N936" i="1"/>
  <c r="O936" i="1"/>
  <c r="N937" i="1"/>
  <c r="O937" i="1"/>
  <c r="N938" i="1"/>
  <c r="O938" i="1"/>
  <c r="N939" i="1"/>
  <c r="O939" i="1"/>
  <c r="N940" i="1"/>
  <c r="O940" i="1"/>
  <c r="N941" i="1"/>
  <c r="O941" i="1"/>
  <c r="N942" i="1"/>
  <c r="O942" i="1"/>
  <c r="N943" i="1"/>
  <c r="O943" i="1"/>
  <c r="N944" i="1"/>
  <c r="O944" i="1"/>
  <c r="N945" i="1"/>
  <c r="O945" i="1"/>
  <c r="N946" i="1"/>
  <c r="O946" i="1"/>
  <c r="N947" i="1"/>
  <c r="O947" i="1"/>
  <c r="N948" i="1"/>
  <c r="O948" i="1"/>
  <c r="N949" i="1"/>
  <c r="O949" i="1"/>
  <c r="N950" i="1"/>
  <c r="O950" i="1"/>
  <c r="N951" i="1"/>
  <c r="O951" i="1"/>
  <c r="N952" i="1"/>
  <c r="O952" i="1"/>
  <c r="N953" i="1"/>
  <c r="O953" i="1"/>
  <c r="N954" i="1"/>
  <c r="O954" i="1"/>
  <c r="N955" i="1"/>
  <c r="O955" i="1"/>
  <c r="N956" i="1"/>
  <c r="O956" i="1"/>
  <c r="N957" i="1"/>
  <c r="O957" i="1"/>
  <c r="N958" i="1"/>
  <c r="O958" i="1"/>
  <c r="N959" i="1"/>
  <c r="O959" i="1"/>
  <c r="N960" i="1"/>
  <c r="O960" i="1"/>
  <c r="N961" i="1"/>
  <c r="O961" i="1"/>
  <c r="N962" i="1"/>
  <c r="O962" i="1"/>
  <c r="N963" i="1"/>
  <c r="O963" i="1"/>
  <c r="N964" i="1"/>
  <c r="O964" i="1"/>
  <c r="N965" i="1"/>
  <c r="O965" i="1"/>
  <c r="N966" i="1"/>
  <c r="O966" i="1"/>
  <c r="N967" i="1"/>
  <c r="O967" i="1"/>
  <c r="N968" i="1"/>
  <c r="O968" i="1"/>
  <c r="N969" i="1"/>
  <c r="O969" i="1"/>
  <c r="N970" i="1"/>
  <c r="O970" i="1"/>
  <c r="N971" i="1"/>
  <c r="O971" i="1"/>
  <c r="N972" i="1"/>
  <c r="O972" i="1"/>
  <c r="N973" i="1"/>
  <c r="O973" i="1"/>
  <c r="N974" i="1"/>
  <c r="O974" i="1"/>
  <c r="N975" i="1"/>
  <c r="O975" i="1"/>
  <c r="N976" i="1"/>
  <c r="O976" i="1"/>
  <c r="N977" i="1"/>
  <c r="O977" i="1"/>
  <c r="N978" i="1"/>
  <c r="O978" i="1"/>
  <c r="N979" i="1"/>
  <c r="O979" i="1"/>
  <c r="N980" i="1"/>
  <c r="O980" i="1"/>
  <c r="N981" i="1"/>
  <c r="O981" i="1"/>
  <c r="N982" i="1"/>
  <c r="O982" i="1"/>
  <c r="N983" i="1"/>
  <c r="O983" i="1"/>
  <c r="N984" i="1"/>
  <c r="O984" i="1"/>
  <c r="N985" i="1"/>
  <c r="O985" i="1"/>
  <c r="N986" i="1"/>
  <c r="O986" i="1"/>
  <c r="N987" i="1"/>
  <c r="O987" i="1"/>
  <c r="N988" i="1"/>
  <c r="O988" i="1"/>
  <c r="N989" i="1"/>
  <c r="O989" i="1"/>
  <c r="N990" i="1"/>
  <c r="O990" i="1"/>
  <c r="N991" i="1"/>
  <c r="O991" i="1"/>
  <c r="N992" i="1"/>
  <c r="O992" i="1"/>
  <c r="N993" i="1"/>
  <c r="O993" i="1"/>
  <c r="N994" i="1"/>
  <c r="O994" i="1"/>
  <c r="N995" i="1"/>
  <c r="O995" i="1"/>
  <c r="N996" i="1"/>
  <c r="O996" i="1"/>
  <c r="N997" i="1"/>
  <c r="O997" i="1"/>
  <c r="N998" i="1"/>
  <c r="O998" i="1"/>
  <c r="N999" i="1"/>
  <c r="O999" i="1"/>
  <c r="N1000" i="1"/>
  <c r="O1000" i="1"/>
  <c r="N1001" i="1"/>
  <c r="O1001" i="1"/>
  <c r="N1002" i="1"/>
  <c r="O1002" i="1"/>
  <c r="N1003" i="1"/>
  <c r="O1003" i="1"/>
  <c r="N1004" i="1"/>
  <c r="O1004" i="1"/>
  <c r="N1005" i="1"/>
  <c r="O1005" i="1"/>
  <c r="N1006" i="1"/>
  <c r="O1006" i="1"/>
  <c r="N1007" i="1"/>
  <c r="O1007" i="1"/>
  <c r="N1008" i="1"/>
  <c r="O1008" i="1"/>
  <c r="N1009" i="1"/>
  <c r="O1009" i="1"/>
  <c r="N1010" i="1"/>
  <c r="O1010" i="1"/>
  <c r="N1011" i="1"/>
  <c r="O1011" i="1"/>
  <c r="N1012" i="1"/>
  <c r="O1012" i="1"/>
  <c r="N1013" i="1"/>
  <c r="O1013" i="1"/>
  <c r="N1014" i="1"/>
  <c r="O1014" i="1"/>
  <c r="N1015" i="1"/>
  <c r="O1015" i="1"/>
  <c r="N1016" i="1"/>
  <c r="O1016" i="1"/>
  <c r="N1017" i="1"/>
  <c r="O1017" i="1"/>
  <c r="N1018" i="1"/>
  <c r="O1018" i="1"/>
  <c r="N1019" i="1"/>
  <c r="O1019" i="1"/>
  <c r="N1020" i="1"/>
  <c r="O1020" i="1"/>
  <c r="N1021" i="1"/>
  <c r="O1021" i="1"/>
  <c r="N1022" i="1"/>
  <c r="O1022" i="1"/>
  <c r="N1023" i="1"/>
  <c r="O1023" i="1"/>
  <c r="N1024" i="1"/>
  <c r="O1024" i="1"/>
  <c r="N1025" i="1"/>
  <c r="O1025" i="1"/>
  <c r="N1026" i="1"/>
  <c r="O1026" i="1"/>
  <c r="N1027" i="1"/>
  <c r="O1027" i="1"/>
  <c r="N1028" i="1"/>
  <c r="O1028" i="1"/>
  <c r="N1029" i="1"/>
  <c r="O1029" i="1"/>
  <c r="N1030" i="1"/>
  <c r="O1030" i="1"/>
  <c r="N1031" i="1"/>
  <c r="O1031" i="1"/>
  <c r="N1032" i="1"/>
  <c r="O1032" i="1"/>
  <c r="N1033" i="1"/>
  <c r="O1033" i="1"/>
  <c r="N1034" i="1"/>
  <c r="O1034" i="1"/>
  <c r="N1035" i="1"/>
  <c r="O1035" i="1"/>
  <c r="N1036" i="1"/>
  <c r="O1036" i="1"/>
  <c r="N1037" i="1"/>
  <c r="O1037" i="1"/>
  <c r="N1038" i="1"/>
  <c r="O1038" i="1"/>
  <c r="N1039" i="1"/>
  <c r="O1039" i="1"/>
  <c r="N1040" i="1"/>
  <c r="O1040" i="1"/>
  <c r="N1041" i="1"/>
  <c r="O1041" i="1"/>
  <c r="N1042" i="1"/>
  <c r="O1042" i="1"/>
  <c r="N1043" i="1"/>
  <c r="O1043" i="1"/>
  <c r="N1044" i="1"/>
  <c r="O1044" i="1"/>
  <c r="N1045" i="1"/>
  <c r="O1045" i="1"/>
  <c r="N1046" i="1"/>
  <c r="O1046" i="1"/>
  <c r="N1047" i="1"/>
  <c r="O1047" i="1"/>
  <c r="N1048" i="1"/>
  <c r="O1048" i="1"/>
  <c r="N1049" i="1"/>
  <c r="O1049" i="1"/>
  <c r="N1050" i="1"/>
  <c r="O1050" i="1"/>
  <c r="N1051" i="1"/>
  <c r="O1051" i="1"/>
  <c r="N1052" i="1"/>
  <c r="O1052" i="1"/>
  <c r="N1053" i="1"/>
  <c r="O1053" i="1"/>
  <c r="N1054" i="1"/>
  <c r="O1054" i="1"/>
  <c r="N1055" i="1"/>
  <c r="O1055" i="1"/>
  <c r="N1056" i="1"/>
  <c r="O1056" i="1"/>
  <c r="N1057" i="1"/>
  <c r="O1057" i="1"/>
  <c r="N1058" i="1"/>
  <c r="O1058" i="1"/>
  <c r="N1059" i="1"/>
  <c r="O1059" i="1"/>
  <c r="N1060" i="1"/>
  <c r="O1060" i="1"/>
  <c r="N1061" i="1"/>
  <c r="O1061" i="1"/>
  <c r="N1062" i="1"/>
  <c r="O1062" i="1"/>
  <c r="N1063" i="1"/>
  <c r="O1063" i="1"/>
  <c r="N1064" i="1"/>
  <c r="O1064" i="1"/>
  <c r="N1065" i="1"/>
  <c r="O1065" i="1"/>
  <c r="N1066" i="1"/>
  <c r="O1066" i="1"/>
  <c r="N1067" i="1"/>
  <c r="O1067" i="1"/>
  <c r="N1068" i="1"/>
  <c r="O1068" i="1"/>
  <c r="N1069" i="1"/>
  <c r="O1069" i="1"/>
  <c r="N1070" i="1"/>
  <c r="O1070" i="1"/>
  <c r="N1071" i="1"/>
  <c r="O1071" i="1"/>
  <c r="N1072" i="1"/>
  <c r="O1072" i="1"/>
  <c r="N1073" i="1"/>
  <c r="O1073" i="1"/>
  <c r="N1074" i="1"/>
  <c r="O1074" i="1"/>
  <c r="N1075" i="1"/>
  <c r="O1075" i="1"/>
  <c r="N1076" i="1"/>
  <c r="O1076" i="1"/>
  <c r="N1077" i="1"/>
  <c r="O1077" i="1"/>
  <c r="N1078" i="1"/>
  <c r="O1078" i="1"/>
  <c r="N1079" i="1"/>
  <c r="O1079" i="1"/>
  <c r="N1080" i="1"/>
  <c r="O1080" i="1"/>
  <c r="N1081" i="1"/>
  <c r="O1081" i="1"/>
  <c r="N1082" i="1"/>
  <c r="O1082" i="1"/>
  <c r="N1083" i="1"/>
  <c r="O1083" i="1"/>
  <c r="N1084" i="1"/>
  <c r="O1084" i="1"/>
  <c r="N1085" i="1"/>
  <c r="O1085" i="1"/>
  <c r="N1086" i="1"/>
  <c r="O1086" i="1"/>
  <c r="N1087" i="1"/>
  <c r="O1087" i="1"/>
  <c r="N1088" i="1"/>
  <c r="O1088" i="1"/>
  <c r="N1089" i="1"/>
  <c r="O1089" i="1"/>
  <c r="N1090" i="1"/>
  <c r="O1090" i="1"/>
  <c r="N1091" i="1"/>
  <c r="O1091" i="1"/>
  <c r="N1092" i="1"/>
  <c r="O1092" i="1"/>
  <c r="N1093" i="1"/>
  <c r="O1093" i="1"/>
  <c r="N1094" i="1"/>
  <c r="O1094" i="1"/>
  <c r="N1095" i="1"/>
  <c r="O1095" i="1"/>
  <c r="N1096" i="1"/>
  <c r="O1096" i="1"/>
  <c r="N1097" i="1"/>
  <c r="O1097" i="1"/>
  <c r="N1098" i="1"/>
  <c r="O1098" i="1"/>
  <c r="N1099" i="1"/>
  <c r="O1099" i="1"/>
  <c r="N1100" i="1"/>
  <c r="O1100" i="1"/>
  <c r="N1101" i="1"/>
  <c r="O1101" i="1"/>
  <c r="N1102" i="1"/>
  <c r="O1102" i="1"/>
  <c r="N1103" i="1"/>
  <c r="O1103" i="1"/>
  <c r="N1104" i="1"/>
  <c r="O1104" i="1"/>
  <c r="N1105" i="1"/>
  <c r="O1105" i="1"/>
  <c r="N1106" i="1"/>
  <c r="O1106" i="1"/>
  <c r="N1107" i="1"/>
  <c r="O1107" i="1"/>
  <c r="N1108" i="1"/>
  <c r="O1108" i="1"/>
  <c r="N1109" i="1"/>
  <c r="O1109" i="1"/>
  <c r="N1110" i="1"/>
  <c r="O1110" i="1"/>
  <c r="N1111" i="1"/>
  <c r="O1111" i="1"/>
  <c r="N1112" i="1"/>
  <c r="O1112" i="1"/>
  <c r="N1113" i="1"/>
  <c r="O1113" i="1"/>
  <c r="N1114" i="1"/>
  <c r="O1114" i="1"/>
  <c r="N1115" i="1"/>
  <c r="O1115" i="1"/>
  <c r="N1116" i="1"/>
  <c r="O1116" i="1"/>
  <c r="N1117" i="1"/>
  <c r="O1117" i="1"/>
  <c r="N1118" i="1"/>
  <c r="O1118" i="1"/>
  <c r="N1119" i="1"/>
  <c r="O1119" i="1"/>
  <c r="N1120" i="1"/>
  <c r="O1120" i="1"/>
  <c r="N1121" i="1"/>
  <c r="O1121" i="1"/>
  <c r="N1122" i="1"/>
  <c r="O1122" i="1"/>
  <c r="N1123" i="1"/>
  <c r="O1123" i="1"/>
  <c r="N1124" i="1"/>
  <c r="O1124" i="1"/>
  <c r="N1125" i="1"/>
  <c r="O1125" i="1"/>
  <c r="N1126" i="1"/>
  <c r="O1126" i="1"/>
  <c r="N1127" i="1"/>
  <c r="O1127" i="1"/>
  <c r="N1128" i="1"/>
  <c r="O1128" i="1"/>
  <c r="N1129" i="1"/>
  <c r="O1129" i="1"/>
  <c r="N1130" i="1"/>
  <c r="O1130" i="1"/>
  <c r="N1131" i="1"/>
  <c r="O1131" i="1"/>
  <c r="N1132" i="1"/>
  <c r="O1132" i="1"/>
  <c r="N1133" i="1"/>
  <c r="O1133" i="1"/>
  <c r="N1134" i="1"/>
  <c r="O1134" i="1"/>
  <c r="N1135" i="1"/>
  <c r="O1135" i="1"/>
  <c r="N1136" i="1"/>
  <c r="O1136" i="1"/>
  <c r="N1137" i="1"/>
  <c r="O1137" i="1"/>
  <c r="N1138" i="1"/>
  <c r="O1138" i="1"/>
  <c r="N1139" i="1"/>
  <c r="O1139" i="1"/>
  <c r="N1140" i="1"/>
  <c r="O1140" i="1"/>
  <c r="N1141" i="1"/>
  <c r="O1141" i="1"/>
  <c r="N1142" i="1"/>
  <c r="O1142" i="1"/>
  <c r="N1143" i="1"/>
  <c r="O1143" i="1"/>
  <c r="N1144" i="1"/>
  <c r="O1144" i="1"/>
  <c r="N1145" i="1"/>
  <c r="O1145" i="1"/>
  <c r="N1146" i="1"/>
  <c r="O1146" i="1"/>
  <c r="N1147" i="1"/>
  <c r="O1147" i="1"/>
  <c r="N1148" i="1"/>
  <c r="O1148" i="1"/>
  <c r="N1149" i="1"/>
  <c r="O1149" i="1"/>
  <c r="N1150" i="1"/>
  <c r="O1150" i="1"/>
  <c r="N1151" i="1"/>
  <c r="O1151" i="1"/>
  <c r="N1152" i="1"/>
  <c r="O1152" i="1"/>
  <c r="N1153" i="1"/>
  <c r="O1153" i="1"/>
  <c r="N1154" i="1"/>
  <c r="O1154" i="1"/>
  <c r="N1155" i="1"/>
  <c r="O1155" i="1"/>
  <c r="N1156" i="1"/>
  <c r="O1156" i="1"/>
  <c r="N1157" i="1"/>
  <c r="O1157" i="1"/>
  <c r="N1158" i="1"/>
  <c r="O1158" i="1"/>
  <c r="N1159" i="1"/>
  <c r="O1159" i="1"/>
  <c r="N1160" i="1"/>
  <c r="O1160" i="1"/>
  <c r="N1161" i="1"/>
  <c r="O1161" i="1"/>
  <c r="N1162" i="1"/>
  <c r="O1162" i="1"/>
  <c r="N1163" i="1"/>
  <c r="O1163" i="1"/>
  <c r="N1164" i="1"/>
  <c r="O1164" i="1"/>
  <c r="N1165" i="1"/>
  <c r="O1165" i="1"/>
  <c r="N1166" i="1"/>
  <c r="O1166" i="1"/>
  <c r="N1167" i="1"/>
  <c r="O1167" i="1"/>
  <c r="N1168" i="1"/>
  <c r="O1168" i="1"/>
  <c r="N1169" i="1"/>
  <c r="O1169" i="1"/>
  <c r="N1170" i="1"/>
  <c r="O1170" i="1"/>
  <c r="N1171" i="1"/>
  <c r="O1171" i="1"/>
  <c r="N1172" i="1"/>
  <c r="O1172" i="1"/>
  <c r="N1173" i="1"/>
  <c r="O1173" i="1"/>
  <c r="N1174" i="1"/>
  <c r="O1174" i="1"/>
  <c r="N1175" i="1"/>
  <c r="O1175" i="1"/>
  <c r="N1176" i="1"/>
  <c r="O1176" i="1"/>
  <c r="N1177" i="1"/>
  <c r="O1177" i="1"/>
  <c r="N1178" i="1"/>
  <c r="O1178" i="1"/>
  <c r="N1179" i="1"/>
  <c r="O1179" i="1"/>
  <c r="N1180" i="1"/>
  <c r="O1180" i="1"/>
  <c r="N1181" i="1"/>
  <c r="O1181" i="1"/>
  <c r="N1182" i="1"/>
  <c r="O1182" i="1"/>
  <c r="N1183" i="1"/>
  <c r="O1183" i="1"/>
  <c r="N1184" i="1"/>
  <c r="O1184" i="1"/>
  <c r="N1185" i="1"/>
  <c r="O1185" i="1"/>
  <c r="N1186" i="1"/>
  <c r="O1186" i="1"/>
  <c r="N1187" i="1"/>
  <c r="O1187" i="1"/>
  <c r="N1188" i="1"/>
  <c r="O1188" i="1"/>
  <c r="N1189" i="1"/>
  <c r="O1189" i="1"/>
  <c r="N1190" i="1"/>
  <c r="O1190" i="1"/>
  <c r="N1191" i="1"/>
  <c r="O1191" i="1"/>
  <c r="N1192" i="1"/>
  <c r="O1192" i="1"/>
  <c r="N1193" i="1"/>
  <c r="O1193" i="1"/>
  <c r="N1194" i="1"/>
  <c r="O1194" i="1"/>
  <c r="N1195" i="1"/>
  <c r="O1195" i="1"/>
  <c r="N1196" i="1"/>
  <c r="O1196" i="1"/>
  <c r="N1197" i="1"/>
  <c r="O1197" i="1"/>
  <c r="N1198" i="1"/>
  <c r="O1198" i="1"/>
  <c r="N1199" i="1"/>
  <c r="O1199" i="1"/>
  <c r="N1200" i="1"/>
  <c r="O1200" i="1"/>
  <c r="N1201" i="1"/>
  <c r="O1201" i="1"/>
  <c r="N1202" i="1"/>
  <c r="O1202" i="1"/>
  <c r="N1203" i="1"/>
  <c r="O1203" i="1"/>
  <c r="N1204" i="1"/>
  <c r="O1204" i="1"/>
  <c r="N1205" i="1"/>
  <c r="O1205" i="1"/>
  <c r="N1206" i="1"/>
  <c r="O1206" i="1"/>
  <c r="N1207" i="1"/>
  <c r="O1207" i="1"/>
  <c r="N1208" i="1"/>
  <c r="O1208" i="1"/>
  <c r="N1209" i="1"/>
  <c r="O1209" i="1"/>
  <c r="N1210" i="1"/>
  <c r="O1210" i="1"/>
  <c r="N1211" i="1"/>
  <c r="O1211" i="1"/>
  <c r="N1212" i="1"/>
  <c r="O1212" i="1"/>
  <c r="N1213" i="1"/>
  <c r="O1213" i="1"/>
  <c r="N1214" i="1"/>
  <c r="O1214" i="1"/>
  <c r="N1215" i="1"/>
  <c r="O1215" i="1"/>
  <c r="N1216" i="1"/>
  <c r="O1216" i="1"/>
  <c r="N1217" i="1"/>
  <c r="O1217" i="1"/>
  <c r="N1218" i="1"/>
  <c r="O1218" i="1"/>
  <c r="N1219" i="1"/>
  <c r="O1219" i="1"/>
  <c r="N1220" i="1"/>
  <c r="O1220" i="1"/>
  <c r="N1221" i="1"/>
  <c r="O1221" i="1"/>
  <c r="N1222" i="1"/>
  <c r="O1222" i="1"/>
  <c r="N1223" i="1"/>
  <c r="O1223" i="1"/>
  <c r="N1224" i="1"/>
  <c r="O1224" i="1"/>
  <c r="N1225" i="1"/>
  <c r="O1225" i="1"/>
  <c r="N1226" i="1"/>
  <c r="O1226" i="1"/>
  <c r="N1227" i="1"/>
  <c r="O1227" i="1"/>
  <c r="N1228" i="1"/>
  <c r="O1228" i="1"/>
  <c r="N1229" i="1"/>
  <c r="O1229" i="1"/>
  <c r="N1230" i="1"/>
  <c r="O1230" i="1"/>
  <c r="N1231" i="1"/>
  <c r="O1231" i="1"/>
  <c r="N1232" i="1"/>
  <c r="O1232" i="1"/>
  <c r="N1233" i="1"/>
  <c r="O1233" i="1"/>
  <c r="N1234" i="1"/>
  <c r="O1234" i="1"/>
  <c r="N1235" i="1"/>
  <c r="O1235" i="1"/>
  <c r="N1236" i="1"/>
  <c r="O1236" i="1"/>
  <c r="N1237" i="1"/>
  <c r="O1237" i="1"/>
  <c r="N1238" i="1"/>
  <c r="O1238" i="1"/>
  <c r="N1239" i="1"/>
  <c r="O1239" i="1"/>
  <c r="N1240" i="1"/>
  <c r="O1240" i="1"/>
  <c r="N1241" i="1"/>
  <c r="O1241" i="1"/>
  <c r="N1242" i="1"/>
  <c r="O1242" i="1"/>
  <c r="N1243" i="1"/>
  <c r="O1243" i="1"/>
  <c r="N1244" i="1"/>
  <c r="O1244" i="1"/>
  <c r="N1245" i="1"/>
  <c r="O1245" i="1"/>
  <c r="N1246" i="1"/>
  <c r="O1246" i="1"/>
  <c r="N1247" i="1"/>
  <c r="O1247" i="1"/>
  <c r="N1248" i="1"/>
  <c r="O1248" i="1"/>
  <c r="N1249" i="1"/>
  <c r="O1249" i="1"/>
  <c r="N1250" i="1"/>
  <c r="O1250" i="1"/>
  <c r="N1251" i="1"/>
  <c r="O1251" i="1"/>
  <c r="N1252" i="1"/>
  <c r="O1252" i="1"/>
  <c r="N1253" i="1"/>
  <c r="O1253" i="1"/>
  <c r="N1254" i="1"/>
  <c r="O1254" i="1"/>
  <c r="N1255" i="1"/>
  <c r="O1255" i="1"/>
  <c r="N1256" i="1"/>
  <c r="O1256" i="1"/>
  <c r="N1257" i="1"/>
  <c r="O1257" i="1"/>
  <c r="N1258" i="1"/>
  <c r="O1258" i="1"/>
  <c r="N1259" i="1"/>
  <c r="O1259" i="1"/>
  <c r="N1260" i="1"/>
  <c r="O1260" i="1"/>
  <c r="N1261" i="1"/>
  <c r="O1261" i="1"/>
  <c r="N1262" i="1"/>
  <c r="O1262" i="1"/>
  <c r="N1263" i="1"/>
  <c r="O1263" i="1"/>
  <c r="N1264" i="1"/>
  <c r="O1264" i="1"/>
  <c r="N1265" i="1"/>
  <c r="O1265" i="1"/>
  <c r="N1266" i="1"/>
  <c r="O1266" i="1"/>
  <c r="N1267" i="1"/>
  <c r="O1267" i="1"/>
  <c r="N1268" i="1"/>
  <c r="O1268" i="1"/>
  <c r="N1269" i="1"/>
  <c r="O1269" i="1"/>
  <c r="N1270" i="1"/>
  <c r="O1270" i="1"/>
  <c r="N1271" i="1"/>
  <c r="O1271" i="1"/>
  <c r="N1272" i="1"/>
  <c r="O1272" i="1"/>
  <c r="N1273" i="1"/>
  <c r="O1273" i="1"/>
  <c r="N1274" i="1"/>
  <c r="O1274" i="1"/>
  <c r="N1275" i="1"/>
  <c r="O1275" i="1"/>
  <c r="N1276" i="1"/>
  <c r="O1276" i="1"/>
  <c r="N1277" i="1"/>
  <c r="O1277" i="1"/>
  <c r="N1278" i="1"/>
  <c r="O1278" i="1"/>
  <c r="N1279" i="1"/>
  <c r="O1279" i="1"/>
  <c r="N1280" i="1"/>
  <c r="O1280" i="1"/>
  <c r="N1281" i="1"/>
  <c r="O1281" i="1"/>
  <c r="N1282" i="1"/>
  <c r="O1282" i="1"/>
  <c r="N1283" i="1"/>
  <c r="O1283" i="1"/>
  <c r="N1284" i="1"/>
  <c r="O1284" i="1"/>
  <c r="N1285" i="1"/>
  <c r="O1285" i="1"/>
  <c r="N1286" i="1"/>
  <c r="O1286" i="1"/>
  <c r="N1287" i="1"/>
  <c r="O1287" i="1"/>
  <c r="N1288" i="1"/>
  <c r="O1288" i="1"/>
  <c r="N1289" i="1"/>
  <c r="O1289" i="1"/>
  <c r="N1290" i="1"/>
  <c r="O1290" i="1"/>
  <c r="N1291" i="1"/>
  <c r="O1291" i="1"/>
  <c r="N1292" i="1"/>
  <c r="O1292" i="1"/>
  <c r="N1293" i="1"/>
  <c r="O1293" i="1"/>
  <c r="N1294" i="1"/>
  <c r="O1294" i="1"/>
  <c r="N1295" i="1"/>
  <c r="O1295" i="1"/>
  <c r="N1296" i="1"/>
  <c r="O1296" i="1"/>
  <c r="N1297" i="1"/>
  <c r="O1297" i="1"/>
  <c r="N1298" i="1"/>
  <c r="O1298" i="1"/>
  <c r="N1299" i="1"/>
  <c r="O1299" i="1"/>
  <c r="N1300" i="1"/>
  <c r="O1300" i="1"/>
  <c r="N1301" i="1"/>
  <c r="O1301" i="1"/>
  <c r="N1302" i="1"/>
  <c r="O1302" i="1"/>
  <c r="N1303" i="1"/>
  <c r="O1303" i="1"/>
  <c r="N1304" i="1"/>
  <c r="O1304" i="1"/>
  <c r="N1305" i="1"/>
  <c r="O1305" i="1"/>
  <c r="N1306" i="1"/>
  <c r="O1306" i="1"/>
  <c r="N1307" i="1"/>
  <c r="O1307" i="1"/>
  <c r="N1308" i="1"/>
  <c r="O1308" i="1"/>
  <c r="N1309" i="1"/>
  <c r="O1309" i="1"/>
  <c r="N1310" i="1"/>
  <c r="O1310" i="1"/>
  <c r="N1311" i="1"/>
  <c r="O1311" i="1"/>
  <c r="N1312" i="1"/>
  <c r="O1312" i="1"/>
  <c r="N1313" i="1"/>
  <c r="O1313" i="1"/>
  <c r="N1314" i="1"/>
  <c r="O1314" i="1"/>
  <c r="N1315" i="1"/>
  <c r="O1315" i="1"/>
  <c r="N1316" i="1"/>
  <c r="O1316" i="1"/>
  <c r="N1317" i="1"/>
  <c r="O1317" i="1"/>
  <c r="N1318" i="1"/>
  <c r="O1318" i="1"/>
  <c r="N1319" i="1"/>
  <c r="O1319" i="1"/>
  <c r="N1320" i="1"/>
  <c r="O1320" i="1"/>
  <c r="N1321" i="1"/>
  <c r="O1321" i="1"/>
  <c r="N1322" i="1"/>
  <c r="O1322" i="1"/>
  <c r="N1323" i="1"/>
  <c r="O1323" i="1"/>
  <c r="N1324" i="1"/>
  <c r="O1324" i="1"/>
  <c r="N1325" i="1"/>
  <c r="O1325" i="1"/>
  <c r="N1326" i="1"/>
  <c r="O1326" i="1"/>
  <c r="N1327" i="1"/>
  <c r="O1327" i="1"/>
  <c r="N1328" i="1"/>
  <c r="O1328" i="1"/>
  <c r="N1329" i="1"/>
  <c r="O1329" i="1"/>
  <c r="N1330" i="1"/>
  <c r="O1330" i="1"/>
  <c r="N1331" i="1"/>
  <c r="O1331" i="1"/>
  <c r="N1332" i="1"/>
  <c r="O1332" i="1"/>
  <c r="N1333" i="1"/>
  <c r="O1333" i="1"/>
  <c r="N1334" i="1"/>
  <c r="O1334" i="1"/>
  <c r="N1335" i="1"/>
  <c r="O1335" i="1"/>
  <c r="N1336" i="1"/>
  <c r="O1336" i="1"/>
  <c r="N1337" i="1"/>
  <c r="O1337" i="1"/>
  <c r="N1338" i="1"/>
  <c r="O1338" i="1"/>
  <c r="N1339" i="1"/>
  <c r="O1339" i="1"/>
  <c r="N1340" i="1"/>
  <c r="O1340" i="1"/>
  <c r="N1341" i="1"/>
  <c r="O1341" i="1"/>
  <c r="N1342" i="1"/>
  <c r="O1342" i="1"/>
  <c r="N1343" i="1"/>
  <c r="O1343" i="1"/>
  <c r="N1344" i="1"/>
  <c r="O1344" i="1"/>
  <c r="N1345" i="1"/>
  <c r="O1345" i="1"/>
  <c r="N1346" i="1"/>
  <c r="O1346" i="1"/>
  <c r="N1347" i="1"/>
  <c r="O1347" i="1"/>
  <c r="N1348" i="1"/>
  <c r="O1348" i="1"/>
  <c r="N1349" i="1"/>
  <c r="O1349" i="1"/>
  <c r="N1350" i="1"/>
  <c r="O1350" i="1"/>
  <c r="N1351" i="1"/>
  <c r="O1351" i="1"/>
  <c r="N1352" i="1"/>
  <c r="O1352" i="1"/>
  <c r="N1353" i="1"/>
  <c r="O1353" i="1"/>
  <c r="N1354" i="1"/>
  <c r="O1354" i="1"/>
  <c r="N1355" i="1"/>
  <c r="O1355" i="1"/>
  <c r="N1356" i="1"/>
  <c r="O1356" i="1"/>
  <c r="N1357" i="1"/>
  <c r="O1357" i="1"/>
  <c r="N1358" i="1"/>
  <c r="O1358" i="1"/>
  <c r="N1359" i="1"/>
  <c r="O1359" i="1"/>
  <c r="N1360" i="1"/>
  <c r="O1360" i="1"/>
  <c r="N1361" i="1"/>
  <c r="O1361" i="1"/>
  <c r="N1362" i="1"/>
  <c r="O1362" i="1"/>
  <c r="N1363" i="1"/>
  <c r="O1363" i="1"/>
  <c r="N1364" i="1"/>
  <c r="O1364" i="1"/>
  <c r="N1365" i="1"/>
  <c r="O1365" i="1"/>
  <c r="N1366" i="1"/>
  <c r="O1366" i="1"/>
  <c r="N1367" i="1"/>
  <c r="O1367" i="1"/>
  <c r="N1368" i="1"/>
  <c r="O1368" i="1"/>
  <c r="N1369" i="1"/>
  <c r="O1369" i="1"/>
  <c r="N1370" i="1"/>
  <c r="O1370" i="1"/>
  <c r="N1371" i="1"/>
  <c r="O1371" i="1"/>
  <c r="N1372" i="1"/>
  <c r="O1372" i="1"/>
  <c r="N1373" i="1"/>
  <c r="O1373" i="1"/>
  <c r="N1374" i="1"/>
  <c r="O1374" i="1"/>
  <c r="N1375" i="1"/>
  <c r="O1375" i="1"/>
  <c r="N1376" i="1"/>
  <c r="O1376" i="1"/>
  <c r="N1377" i="1"/>
  <c r="O1377" i="1"/>
  <c r="N1378" i="1"/>
  <c r="O1378" i="1"/>
  <c r="N1379" i="1"/>
  <c r="O1379" i="1"/>
  <c r="N1380" i="1"/>
  <c r="O1380" i="1"/>
  <c r="N1381" i="1"/>
  <c r="O1381" i="1"/>
  <c r="N1382" i="1"/>
  <c r="O1382" i="1"/>
  <c r="N1383" i="1"/>
  <c r="O1383" i="1"/>
  <c r="N1384" i="1"/>
  <c r="O1384" i="1"/>
  <c r="N1385" i="1"/>
  <c r="O1385" i="1"/>
  <c r="N1386" i="1"/>
  <c r="O1386" i="1"/>
  <c r="N1387" i="1"/>
  <c r="O1387" i="1"/>
  <c r="N1388" i="1"/>
  <c r="O1388" i="1"/>
  <c r="N1389" i="1"/>
  <c r="O1389" i="1"/>
  <c r="N1390" i="1"/>
  <c r="O1390" i="1"/>
  <c r="N1391" i="1"/>
  <c r="O1391" i="1"/>
  <c r="N1392" i="1"/>
  <c r="O1392" i="1"/>
  <c r="N1393" i="1"/>
  <c r="O1393" i="1"/>
  <c r="N1394" i="1"/>
  <c r="O1394" i="1"/>
  <c r="N1395" i="1"/>
  <c r="O1395" i="1"/>
  <c r="N1396" i="1"/>
  <c r="O1396" i="1"/>
  <c r="N1397" i="1"/>
  <c r="O1397" i="1"/>
  <c r="N1398" i="1"/>
  <c r="O1398" i="1"/>
  <c r="N1399" i="1"/>
  <c r="O1399" i="1"/>
  <c r="N1400" i="1"/>
  <c r="O1400" i="1"/>
  <c r="N1401" i="1"/>
  <c r="O1401" i="1"/>
  <c r="N1402" i="1"/>
  <c r="O1402" i="1"/>
  <c r="N1403" i="1"/>
  <c r="O1403" i="1"/>
  <c r="N1404" i="1"/>
  <c r="O1404" i="1"/>
  <c r="N1405" i="1"/>
  <c r="O1405" i="1"/>
  <c r="N1406" i="1"/>
  <c r="O1406" i="1"/>
  <c r="N1407" i="1"/>
  <c r="O1407" i="1"/>
  <c r="N1408" i="1"/>
  <c r="O1408" i="1"/>
  <c r="N1409" i="1"/>
  <c r="O1409" i="1"/>
  <c r="N1410" i="1"/>
  <c r="O1410" i="1"/>
  <c r="N1411" i="1"/>
  <c r="O1411" i="1"/>
  <c r="N1412" i="1"/>
  <c r="O1412" i="1"/>
  <c r="N1413" i="1"/>
  <c r="O1413" i="1"/>
  <c r="N1414" i="1"/>
  <c r="O1414" i="1"/>
  <c r="N1415" i="1"/>
  <c r="O1415" i="1"/>
  <c r="N1416" i="1"/>
  <c r="O1416" i="1"/>
  <c r="N1417" i="1"/>
  <c r="O1417" i="1"/>
  <c r="N1418" i="1"/>
  <c r="O1418" i="1"/>
  <c r="N1419" i="1"/>
  <c r="O1419" i="1"/>
  <c r="N1420" i="1"/>
  <c r="O1420" i="1"/>
  <c r="N1421" i="1"/>
  <c r="O1421" i="1"/>
  <c r="N1422" i="1"/>
  <c r="O1422" i="1"/>
  <c r="N1423" i="1"/>
  <c r="O1423" i="1"/>
  <c r="N1424" i="1"/>
  <c r="O1424" i="1"/>
  <c r="N1425" i="1"/>
  <c r="O1425" i="1"/>
  <c r="N1426" i="1"/>
  <c r="O1426" i="1"/>
  <c r="N1427" i="1"/>
  <c r="O1427" i="1"/>
  <c r="N1428" i="1"/>
  <c r="O1428" i="1"/>
  <c r="N1429" i="1"/>
  <c r="O1429" i="1"/>
  <c r="N1430" i="1"/>
  <c r="O1430" i="1"/>
  <c r="N1431" i="1"/>
  <c r="O1431" i="1"/>
  <c r="N1432" i="1"/>
  <c r="O1432" i="1"/>
  <c r="N1433" i="1"/>
  <c r="O1433" i="1"/>
  <c r="N1434" i="1"/>
  <c r="O1434" i="1"/>
  <c r="N1435" i="1"/>
  <c r="O1435" i="1"/>
  <c r="N1436" i="1"/>
  <c r="O1436" i="1"/>
  <c r="N1437" i="1"/>
  <c r="O1437" i="1"/>
  <c r="N1438" i="1"/>
  <c r="O1438" i="1"/>
  <c r="N1439" i="1"/>
  <c r="O1439" i="1"/>
  <c r="N1440" i="1"/>
  <c r="O1440" i="1"/>
  <c r="N1441" i="1"/>
  <c r="O1441" i="1"/>
  <c r="N1442" i="1"/>
  <c r="O1442" i="1"/>
  <c r="N1443" i="1"/>
  <c r="O1443" i="1"/>
  <c r="N1444" i="1"/>
  <c r="O1444" i="1"/>
  <c r="N1445" i="1"/>
  <c r="O1445" i="1"/>
  <c r="N1446" i="1"/>
  <c r="O1446" i="1"/>
  <c r="N1447" i="1"/>
  <c r="O1447" i="1"/>
  <c r="N1448" i="1"/>
  <c r="O1448" i="1"/>
  <c r="N1449" i="1"/>
  <c r="O1449" i="1"/>
  <c r="N1450" i="1"/>
  <c r="O1450" i="1"/>
  <c r="N1451" i="1"/>
  <c r="O1451" i="1"/>
  <c r="N1452" i="1"/>
  <c r="O1452" i="1"/>
  <c r="N1453" i="1"/>
  <c r="O1453" i="1"/>
  <c r="N1454" i="1"/>
  <c r="O1454" i="1"/>
  <c r="N1455" i="1"/>
  <c r="O1455" i="1"/>
  <c r="N1456" i="1"/>
  <c r="O1456" i="1"/>
  <c r="N1457" i="1"/>
  <c r="O1457" i="1"/>
  <c r="N1458" i="1"/>
  <c r="O1458" i="1"/>
  <c r="N1459" i="1"/>
  <c r="O1459" i="1"/>
  <c r="N1460" i="1"/>
  <c r="O1460" i="1"/>
  <c r="N1461" i="1"/>
  <c r="O1461" i="1"/>
  <c r="N1462" i="1"/>
  <c r="O1462" i="1"/>
  <c r="N1463" i="1"/>
  <c r="O1463" i="1"/>
  <c r="N1464" i="1"/>
  <c r="O1464" i="1"/>
  <c r="N1465" i="1"/>
  <c r="O1465" i="1"/>
  <c r="N1466" i="1"/>
  <c r="O1466" i="1"/>
  <c r="N1467" i="1"/>
  <c r="O1467" i="1"/>
  <c r="N1468" i="1"/>
  <c r="O1468" i="1"/>
  <c r="N1469" i="1"/>
  <c r="O1469" i="1"/>
  <c r="N1470" i="1"/>
  <c r="O1470" i="1"/>
  <c r="N1471" i="1"/>
  <c r="O1471" i="1"/>
  <c r="N1472" i="1"/>
  <c r="O1472" i="1"/>
  <c r="N1473" i="1"/>
  <c r="O1473" i="1"/>
  <c r="N1474" i="1"/>
  <c r="O1474" i="1"/>
  <c r="N1475" i="1"/>
  <c r="O1475" i="1"/>
  <c r="N1476" i="1"/>
  <c r="O1476" i="1"/>
  <c r="N1477" i="1"/>
  <c r="O1477" i="1"/>
  <c r="N1478" i="1"/>
  <c r="O1478" i="1"/>
  <c r="N1479" i="1"/>
  <c r="O1479" i="1"/>
  <c r="N1480" i="1"/>
  <c r="O1480" i="1"/>
  <c r="N1481" i="1"/>
  <c r="O1481" i="1"/>
  <c r="N1482" i="1"/>
  <c r="O1482" i="1"/>
  <c r="N1483" i="1"/>
  <c r="O1483" i="1"/>
  <c r="N1484" i="1"/>
  <c r="O1484" i="1"/>
  <c r="N1485" i="1"/>
  <c r="O1485" i="1"/>
  <c r="N1486" i="1"/>
  <c r="O1486" i="1"/>
  <c r="N1487" i="1"/>
  <c r="O1487" i="1"/>
  <c r="N1488" i="1"/>
  <c r="O1488" i="1"/>
  <c r="N1489" i="1"/>
  <c r="O1489" i="1"/>
  <c r="N1490" i="1"/>
  <c r="O1490" i="1"/>
  <c r="N1491" i="1"/>
  <c r="O1491" i="1"/>
  <c r="N1492" i="1"/>
  <c r="O1492" i="1"/>
  <c r="N1493" i="1"/>
  <c r="O1493" i="1"/>
  <c r="N1494" i="1"/>
  <c r="O1494" i="1"/>
  <c r="N1495" i="1"/>
  <c r="O1495" i="1"/>
  <c r="N1496" i="1"/>
  <c r="O1496" i="1"/>
  <c r="N1497" i="1"/>
  <c r="O1497" i="1"/>
  <c r="N1498" i="1"/>
  <c r="O1498" i="1"/>
  <c r="N1499" i="1"/>
  <c r="O1499" i="1"/>
  <c r="N1500" i="1"/>
  <c r="O1500" i="1"/>
  <c r="N1501" i="1"/>
  <c r="O1501" i="1"/>
  <c r="N1502" i="1"/>
  <c r="O1502" i="1"/>
  <c r="N1503" i="1"/>
  <c r="O1503" i="1"/>
  <c r="N1504" i="1"/>
  <c r="O1504" i="1"/>
  <c r="N1505" i="1"/>
  <c r="O1505" i="1"/>
  <c r="N1506" i="1"/>
  <c r="O1506" i="1"/>
  <c r="N1507" i="1"/>
  <c r="O1507" i="1"/>
  <c r="N1508" i="1"/>
  <c r="O1508" i="1"/>
  <c r="N1509" i="1"/>
  <c r="O1509" i="1"/>
  <c r="N1510" i="1"/>
  <c r="O1510" i="1"/>
  <c r="N1511" i="1"/>
  <c r="O1511" i="1"/>
  <c r="N1512" i="1"/>
  <c r="O1512" i="1"/>
  <c r="N1513" i="1"/>
  <c r="O1513" i="1"/>
  <c r="N1514" i="1"/>
  <c r="O1514" i="1"/>
  <c r="N1515" i="1"/>
  <c r="O1515" i="1"/>
  <c r="N1516" i="1"/>
  <c r="O1516" i="1"/>
  <c r="N1517" i="1"/>
  <c r="O1517" i="1"/>
  <c r="N1518" i="1"/>
  <c r="O1518" i="1"/>
  <c r="N1519" i="1"/>
  <c r="O1519" i="1"/>
  <c r="N1520" i="1"/>
  <c r="O1520" i="1"/>
  <c r="N1521" i="1"/>
  <c r="O1521" i="1"/>
  <c r="N1522" i="1"/>
  <c r="O1522" i="1"/>
  <c r="N1523" i="1"/>
  <c r="O1523" i="1"/>
  <c r="N1524" i="1"/>
  <c r="O1524" i="1"/>
  <c r="N1525" i="1"/>
  <c r="O1525" i="1"/>
  <c r="N1526" i="1"/>
  <c r="O1526" i="1"/>
  <c r="N1527" i="1"/>
  <c r="O1527" i="1"/>
  <c r="N1528" i="1"/>
  <c r="O1528" i="1"/>
  <c r="N1529" i="1"/>
  <c r="O1529" i="1"/>
  <c r="N1530" i="1"/>
  <c r="O1530" i="1"/>
  <c r="N1531" i="1"/>
  <c r="O1531" i="1"/>
  <c r="N1532" i="1"/>
  <c r="O1532" i="1"/>
  <c r="N1533" i="1"/>
  <c r="O1533" i="1"/>
  <c r="N1534" i="1"/>
  <c r="O1534" i="1"/>
  <c r="N1535" i="1"/>
  <c r="O1535" i="1"/>
  <c r="N1536" i="1"/>
  <c r="O1536" i="1"/>
  <c r="N1537" i="1"/>
  <c r="O1537" i="1"/>
  <c r="N1538" i="1"/>
  <c r="O1538" i="1"/>
  <c r="N1539" i="1"/>
  <c r="O1539" i="1"/>
  <c r="N1540" i="1"/>
  <c r="O1540" i="1"/>
  <c r="N1541" i="1"/>
  <c r="O1541" i="1"/>
  <c r="N1542" i="1"/>
  <c r="O1542" i="1"/>
  <c r="N1543" i="1"/>
  <c r="O1543" i="1"/>
  <c r="N1544" i="1"/>
  <c r="O1544" i="1"/>
  <c r="N1545" i="1"/>
  <c r="O1545" i="1"/>
  <c r="N1546" i="1"/>
  <c r="O1546" i="1"/>
  <c r="N1547" i="1"/>
  <c r="O1547" i="1"/>
  <c r="N1548" i="1"/>
  <c r="O1548" i="1"/>
  <c r="N1549" i="1"/>
  <c r="O1549" i="1"/>
  <c r="N1550" i="1"/>
  <c r="O1550" i="1"/>
  <c r="N1551" i="1"/>
  <c r="O1551" i="1"/>
  <c r="N1552" i="1"/>
  <c r="O1552" i="1"/>
  <c r="N1553" i="1"/>
  <c r="O1553" i="1"/>
  <c r="N1554" i="1"/>
  <c r="O1554" i="1"/>
  <c r="N1555" i="1"/>
  <c r="O1555" i="1"/>
  <c r="N1556" i="1"/>
  <c r="O1556" i="1"/>
  <c r="N1557" i="1"/>
  <c r="O1557" i="1"/>
  <c r="N1558" i="1"/>
  <c r="O1558" i="1"/>
  <c r="N1559" i="1"/>
  <c r="O1559" i="1"/>
  <c r="N1560" i="1"/>
  <c r="O1560" i="1"/>
  <c r="N1561" i="1"/>
  <c r="O1561" i="1"/>
  <c r="N1562" i="1"/>
  <c r="O1562" i="1"/>
  <c r="N1563" i="1"/>
  <c r="O1563" i="1"/>
  <c r="N1564" i="1"/>
  <c r="O1564" i="1"/>
  <c r="N1565" i="1"/>
  <c r="O1565" i="1"/>
  <c r="N1566" i="1"/>
  <c r="O1566" i="1"/>
  <c r="N1567" i="1"/>
  <c r="O1567" i="1"/>
  <c r="N1568" i="1"/>
  <c r="O1568" i="1"/>
  <c r="N1569" i="1"/>
  <c r="O1569" i="1"/>
  <c r="N1570" i="1"/>
  <c r="O1570" i="1"/>
  <c r="N1571" i="1"/>
  <c r="O1571" i="1"/>
  <c r="N1572" i="1"/>
  <c r="O1572" i="1"/>
  <c r="N1573" i="1"/>
  <c r="O1573" i="1"/>
  <c r="N1574" i="1"/>
  <c r="O1574" i="1"/>
  <c r="N1575" i="1"/>
  <c r="O1575" i="1"/>
  <c r="N1576" i="1"/>
  <c r="O1576" i="1"/>
  <c r="N1577" i="1"/>
  <c r="O1577" i="1"/>
  <c r="N1578" i="1"/>
  <c r="O1578" i="1"/>
  <c r="N1579" i="1"/>
  <c r="O1579" i="1"/>
  <c r="N1580" i="1"/>
  <c r="O1580" i="1"/>
  <c r="N1581" i="1"/>
  <c r="O1581" i="1"/>
  <c r="N1582" i="1"/>
  <c r="O1582" i="1"/>
  <c r="N1583" i="1"/>
  <c r="O1583" i="1"/>
  <c r="N1584" i="1"/>
  <c r="O1584" i="1"/>
  <c r="N1585" i="1"/>
  <c r="O1585" i="1"/>
  <c r="N1586" i="1"/>
  <c r="O1586" i="1"/>
  <c r="N1587" i="1"/>
  <c r="O1587" i="1"/>
  <c r="N1588" i="1"/>
  <c r="O1588" i="1"/>
  <c r="N1589" i="1"/>
  <c r="O1589" i="1"/>
  <c r="N1590" i="1"/>
  <c r="O1590" i="1"/>
  <c r="N1591" i="1"/>
  <c r="O1591" i="1"/>
  <c r="N1592" i="1"/>
  <c r="O1592" i="1"/>
  <c r="N1593" i="1"/>
  <c r="O1593" i="1"/>
  <c r="N1594" i="1"/>
  <c r="O1594" i="1"/>
  <c r="N1595" i="1"/>
  <c r="O1595" i="1"/>
  <c r="N1596" i="1"/>
  <c r="O1596" i="1"/>
  <c r="N1597" i="1"/>
  <c r="O1597" i="1"/>
  <c r="N1598" i="1"/>
  <c r="O1598" i="1"/>
  <c r="N1599" i="1"/>
  <c r="O1599" i="1"/>
  <c r="N1600" i="1"/>
  <c r="O1600" i="1"/>
  <c r="N1601" i="1"/>
  <c r="O1601" i="1"/>
  <c r="N1602" i="1"/>
  <c r="O1602" i="1"/>
  <c r="N1603" i="1"/>
  <c r="O1603" i="1"/>
  <c r="N1604" i="1"/>
  <c r="O1604" i="1"/>
  <c r="N1605" i="1"/>
  <c r="O1605" i="1"/>
  <c r="N1606" i="1"/>
  <c r="O1606" i="1"/>
  <c r="N1607" i="1"/>
  <c r="O1607" i="1"/>
  <c r="N1608" i="1"/>
  <c r="O1608" i="1"/>
  <c r="N1609" i="1"/>
  <c r="O1609" i="1"/>
  <c r="N1610" i="1"/>
  <c r="O1610" i="1"/>
  <c r="N1611" i="1"/>
  <c r="O1611" i="1"/>
  <c r="N1612" i="1"/>
  <c r="O1612" i="1"/>
  <c r="N1613" i="1"/>
  <c r="O1613" i="1"/>
  <c r="N1614" i="1"/>
  <c r="O1614" i="1"/>
  <c r="N1615" i="1"/>
  <c r="O1615" i="1"/>
  <c r="N1616" i="1"/>
  <c r="O1616" i="1"/>
  <c r="N1617" i="1"/>
  <c r="O1617" i="1"/>
  <c r="N1618" i="1"/>
  <c r="O1618" i="1"/>
  <c r="N1619" i="1"/>
  <c r="O1619" i="1"/>
  <c r="N1620" i="1"/>
  <c r="O1620" i="1"/>
  <c r="N1621" i="1"/>
  <c r="O1621" i="1"/>
  <c r="N1622" i="1"/>
  <c r="O1622" i="1"/>
  <c r="N1623" i="1"/>
  <c r="O1623" i="1"/>
  <c r="N1624" i="1"/>
  <c r="O1624" i="1"/>
  <c r="N1625" i="1"/>
  <c r="O1625" i="1"/>
  <c r="N1626" i="1"/>
  <c r="O1626" i="1"/>
  <c r="N1627" i="1"/>
  <c r="O1627" i="1"/>
  <c r="N1628" i="1"/>
  <c r="O1628" i="1"/>
  <c r="N1629" i="1"/>
  <c r="O1629" i="1"/>
  <c r="N1630" i="1"/>
  <c r="O1630" i="1"/>
  <c r="N1631" i="1"/>
  <c r="O1631" i="1"/>
  <c r="N1632" i="1"/>
  <c r="O1632" i="1"/>
  <c r="N1633" i="1"/>
  <c r="O1633" i="1"/>
  <c r="N1634" i="1"/>
  <c r="O1634" i="1"/>
  <c r="N1635" i="1"/>
  <c r="O1635" i="1"/>
  <c r="N1636" i="1"/>
  <c r="O1636" i="1"/>
  <c r="N1637" i="1"/>
  <c r="O1637" i="1"/>
  <c r="N1638" i="1"/>
  <c r="O1638" i="1"/>
  <c r="N1639" i="1"/>
  <c r="O1639" i="1"/>
  <c r="N1640" i="1"/>
  <c r="O1640" i="1"/>
  <c r="N1641" i="1"/>
  <c r="O1641" i="1"/>
  <c r="N1642" i="1"/>
  <c r="O1642" i="1"/>
  <c r="N1643" i="1"/>
  <c r="O1643" i="1"/>
  <c r="N1644" i="1"/>
  <c r="O1644" i="1"/>
  <c r="N1645" i="1"/>
  <c r="O1645" i="1"/>
  <c r="N1646" i="1"/>
  <c r="O1646" i="1"/>
  <c r="N1647" i="1"/>
  <c r="O1647" i="1"/>
  <c r="N1648" i="1"/>
  <c r="O1648" i="1"/>
  <c r="N1649" i="1"/>
  <c r="O1649" i="1"/>
  <c r="N1650" i="1"/>
  <c r="O1650" i="1"/>
  <c r="N1651" i="1"/>
  <c r="O1651" i="1"/>
  <c r="N1652" i="1"/>
  <c r="O1652" i="1"/>
  <c r="N1653" i="1"/>
  <c r="O1653" i="1"/>
  <c r="N1654" i="1"/>
  <c r="O1654" i="1"/>
  <c r="N1655" i="1"/>
  <c r="O1655" i="1"/>
  <c r="N1656" i="1"/>
  <c r="O1656" i="1"/>
  <c r="N1657" i="1"/>
  <c r="O1657" i="1"/>
  <c r="N1658" i="1"/>
  <c r="O1658" i="1"/>
  <c r="N1659" i="1"/>
  <c r="O1659" i="1"/>
  <c r="N1660" i="1"/>
  <c r="O1660" i="1"/>
  <c r="N1661" i="1"/>
  <c r="O1661" i="1"/>
  <c r="N1662" i="1"/>
  <c r="O1662" i="1"/>
  <c r="N1663" i="1"/>
  <c r="O1663" i="1"/>
  <c r="N1664" i="1"/>
  <c r="O1664" i="1"/>
  <c r="N1665" i="1"/>
  <c r="O1665" i="1"/>
  <c r="N1666" i="1"/>
  <c r="O1666" i="1"/>
  <c r="N1667" i="1"/>
  <c r="O1667" i="1"/>
  <c r="N1668" i="1"/>
  <c r="O1668" i="1"/>
  <c r="N1669" i="1"/>
  <c r="O1669" i="1"/>
  <c r="N1670" i="1"/>
  <c r="O1670" i="1"/>
  <c r="N1671" i="1"/>
  <c r="O1671" i="1"/>
  <c r="N1672" i="1"/>
  <c r="O1672" i="1"/>
  <c r="N1673" i="1"/>
  <c r="O1673" i="1"/>
  <c r="N1674" i="1"/>
  <c r="O1674" i="1"/>
  <c r="N1675" i="1"/>
  <c r="O1675" i="1"/>
  <c r="N1676" i="1"/>
  <c r="O1676" i="1"/>
  <c r="N1677" i="1"/>
  <c r="O1677" i="1"/>
  <c r="N1678" i="1"/>
  <c r="O1678" i="1"/>
  <c r="N1679" i="1"/>
  <c r="O1679" i="1"/>
  <c r="N1680" i="1"/>
  <c r="O1680" i="1"/>
  <c r="N1681" i="1"/>
  <c r="O1681" i="1"/>
  <c r="N1682" i="1"/>
  <c r="O1682" i="1"/>
  <c r="N1683" i="1"/>
  <c r="O1683" i="1"/>
  <c r="N1684" i="1"/>
  <c r="O1684" i="1"/>
  <c r="N1685" i="1"/>
  <c r="O1685" i="1"/>
  <c r="N1686" i="1"/>
  <c r="O1686" i="1"/>
  <c r="N1687" i="1"/>
  <c r="O1687" i="1"/>
  <c r="N1688" i="1"/>
  <c r="O1688" i="1"/>
  <c r="N1689" i="1"/>
  <c r="O1689" i="1"/>
  <c r="N1690" i="1"/>
  <c r="O1690" i="1"/>
  <c r="N1691" i="1"/>
  <c r="O1691" i="1"/>
  <c r="N1692" i="1"/>
  <c r="O1692" i="1"/>
  <c r="N1693" i="1"/>
  <c r="O1693" i="1"/>
  <c r="N1694" i="1"/>
  <c r="O1694" i="1"/>
  <c r="N1695" i="1"/>
  <c r="O1695" i="1"/>
  <c r="N1696" i="1"/>
  <c r="O1696" i="1"/>
  <c r="N1697" i="1"/>
  <c r="O1697" i="1"/>
  <c r="N1698" i="1"/>
  <c r="O1698" i="1"/>
  <c r="N1699" i="1"/>
  <c r="O1699" i="1"/>
  <c r="N1700" i="1"/>
  <c r="O1700" i="1"/>
  <c r="N1701" i="1"/>
  <c r="O1701" i="1"/>
  <c r="N1702" i="1"/>
  <c r="O1702" i="1"/>
  <c r="N1703" i="1"/>
  <c r="O1703" i="1"/>
  <c r="N1704" i="1"/>
  <c r="O1704" i="1"/>
  <c r="N1705" i="1"/>
  <c r="O1705" i="1"/>
  <c r="N1706" i="1"/>
  <c r="O1706" i="1"/>
  <c r="N1707" i="1"/>
  <c r="O1707" i="1"/>
  <c r="N1708" i="1"/>
  <c r="O1708" i="1"/>
  <c r="N1709" i="1"/>
  <c r="O1709" i="1"/>
  <c r="N1710" i="1"/>
  <c r="O1710" i="1"/>
  <c r="N1711" i="1"/>
  <c r="O1711" i="1"/>
  <c r="N1712" i="1"/>
  <c r="O1712" i="1"/>
  <c r="N1713" i="1"/>
  <c r="O1713" i="1"/>
  <c r="N1714" i="1"/>
  <c r="O1714" i="1"/>
  <c r="N1715" i="1"/>
  <c r="O1715" i="1"/>
  <c r="N1716" i="1"/>
  <c r="O1716" i="1"/>
  <c r="N1717" i="1"/>
  <c r="O1717" i="1"/>
  <c r="N1718" i="1"/>
  <c r="O1718" i="1"/>
  <c r="N1719" i="1"/>
  <c r="O1719" i="1"/>
  <c r="N1720" i="1"/>
  <c r="O1720" i="1"/>
  <c r="N1721" i="1"/>
  <c r="O1721" i="1"/>
  <c r="N1722" i="1"/>
  <c r="O1722" i="1"/>
  <c r="N1723" i="1"/>
  <c r="O1723" i="1"/>
  <c r="N1724" i="1"/>
  <c r="O1724" i="1"/>
  <c r="N1725" i="1"/>
  <c r="O1725" i="1"/>
  <c r="N1726" i="1"/>
  <c r="O1726" i="1"/>
  <c r="N1727" i="1"/>
  <c r="O1727" i="1"/>
  <c r="N1728" i="1"/>
  <c r="O1728" i="1"/>
  <c r="N1729" i="1"/>
  <c r="O1729" i="1"/>
  <c r="N1730" i="1"/>
  <c r="O1730" i="1"/>
  <c r="N1731" i="1"/>
  <c r="O1731" i="1"/>
  <c r="N1732" i="1"/>
  <c r="O1732" i="1"/>
  <c r="N1733" i="1"/>
  <c r="O1733" i="1"/>
  <c r="N1734" i="1"/>
  <c r="O1734" i="1"/>
  <c r="N1735" i="1"/>
  <c r="O1735" i="1"/>
  <c r="N1736" i="1"/>
  <c r="O1736" i="1"/>
  <c r="N1737" i="1"/>
  <c r="O1737" i="1"/>
  <c r="N1738" i="1"/>
  <c r="O1738" i="1"/>
  <c r="N1739" i="1"/>
  <c r="O1739" i="1"/>
  <c r="N1740" i="1"/>
  <c r="O1740" i="1"/>
  <c r="N1741" i="1"/>
  <c r="O1741" i="1"/>
  <c r="N1742" i="1"/>
  <c r="O1742" i="1"/>
  <c r="N1743" i="1"/>
  <c r="O1743" i="1"/>
  <c r="N1744" i="1"/>
  <c r="O1744" i="1"/>
  <c r="N1745" i="1"/>
  <c r="O1745" i="1"/>
  <c r="N1746" i="1"/>
  <c r="O1746" i="1"/>
  <c r="N1747" i="1"/>
  <c r="O1747" i="1"/>
  <c r="N1748" i="1"/>
  <c r="O1748" i="1"/>
  <c r="N1749" i="1"/>
  <c r="O1749" i="1"/>
  <c r="N1750" i="1"/>
  <c r="O1750" i="1"/>
  <c r="N1751" i="1"/>
  <c r="O1751" i="1"/>
  <c r="N1752" i="1"/>
  <c r="O1752" i="1"/>
  <c r="N1753" i="1"/>
  <c r="O1753" i="1"/>
  <c r="N1754" i="1"/>
  <c r="O1754" i="1"/>
  <c r="N1755" i="1"/>
  <c r="O1755" i="1"/>
  <c r="N1756" i="1"/>
  <c r="O1756" i="1"/>
  <c r="N1757" i="1"/>
  <c r="O1757" i="1"/>
  <c r="N1758" i="1"/>
  <c r="O1758" i="1"/>
  <c r="N1759" i="1"/>
  <c r="O1759" i="1"/>
  <c r="N1760" i="1"/>
  <c r="O1760" i="1"/>
  <c r="N1761" i="1"/>
  <c r="O1761" i="1"/>
  <c r="N1762" i="1"/>
  <c r="O1762" i="1"/>
  <c r="N1763" i="1"/>
  <c r="O1763" i="1"/>
  <c r="N1764" i="1"/>
  <c r="O1764" i="1"/>
  <c r="N1765" i="1"/>
  <c r="O1765" i="1"/>
  <c r="N1766" i="1"/>
  <c r="O1766" i="1"/>
  <c r="N1767" i="1"/>
  <c r="O1767" i="1"/>
  <c r="N1768" i="1"/>
  <c r="O1768" i="1"/>
  <c r="N1769" i="1"/>
  <c r="O1769" i="1"/>
  <c r="N1770" i="1"/>
  <c r="O1770" i="1"/>
  <c r="N1771" i="1"/>
  <c r="O1771" i="1"/>
  <c r="N1772" i="1"/>
  <c r="O1772" i="1"/>
  <c r="N1773" i="1"/>
  <c r="O1773" i="1"/>
  <c r="N1774" i="1"/>
  <c r="O1774" i="1"/>
  <c r="N1775" i="1"/>
  <c r="O1775" i="1"/>
  <c r="N1776" i="1"/>
  <c r="O1776" i="1"/>
  <c r="N1777" i="1"/>
  <c r="O1777" i="1"/>
  <c r="N1778" i="1"/>
  <c r="O1778" i="1"/>
  <c r="N1779" i="1"/>
  <c r="O1779" i="1"/>
  <c r="N1780" i="1"/>
  <c r="O1780" i="1"/>
  <c r="N1781" i="1"/>
  <c r="O1781" i="1"/>
  <c r="N1782" i="1"/>
  <c r="O1782" i="1"/>
  <c r="N1783" i="1"/>
  <c r="O1783" i="1"/>
  <c r="N1784" i="1"/>
  <c r="O1784" i="1"/>
  <c r="N1785" i="1"/>
  <c r="O1785" i="1"/>
  <c r="N1786" i="1"/>
  <c r="O1786" i="1"/>
  <c r="N1787" i="1"/>
  <c r="O1787" i="1"/>
  <c r="N1788" i="1"/>
  <c r="O1788" i="1"/>
  <c r="N1789" i="1"/>
  <c r="O1789" i="1"/>
  <c r="N1790" i="1"/>
  <c r="O1790" i="1"/>
  <c r="N1791" i="1"/>
  <c r="O1791" i="1"/>
  <c r="N1792" i="1"/>
  <c r="O1792" i="1"/>
  <c r="N1793" i="1"/>
  <c r="O1793" i="1"/>
  <c r="N1794" i="1"/>
  <c r="O1794" i="1"/>
  <c r="N1795" i="1"/>
  <c r="O1795" i="1"/>
  <c r="N1796" i="1"/>
  <c r="O1796" i="1"/>
  <c r="N1797" i="1"/>
  <c r="O1797" i="1"/>
  <c r="N1798" i="1"/>
  <c r="O1798" i="1"/>
  <c r="N1799" i="1"/>
  <c r="O1799" i="1"/>
  <c r="N1800" i="1"/>
  <c r="O1800" i="1"/>
  <c r="N1801" i="1"/>
  <c r="O1801" i="1"/>
  <c r="N1802" i="1"/>
  <c r="O1802" i="1"/>
  <c r="N1803" i="1"/>
  <c r="O1803" i="1"/>
  <c r="N1804" i="1"/>
  <c r="O1804" i="1"/>
  <c r="N1805" i="1"/>
  <c r="O1805" i="1"/>
  <c r="N1806" i="1"/>
  <c r="O1806" i="1"/>
  <c r="N1807" i="1"/>
  <c r="O1807" i="1"/>
  <c r="N1808" i="1"/>
  <c r="O1808" i="1"/>
  <c r="N1809" i="1"/>
  <c r="O1809" i="1"/>
  <c r="N1810" i="1"/>
  <c r="O1810" i="1"/>
  <c r="N1811" i="1"/>
  <c r="O1811" i="1"/>
  <c r="N1812" i="1"/>
  <c r="O1812" i="1"/>
  <c r="N1813" i="1"/>
  <c r="O1813" i="1"/>
  <c r="N1814" i="1"/>
  <c r="O1814" i="1"/>
  <c r="N1815" i="1"/>
  <c r="O1815" i="1"/>
  <c r="N1816" i="1"/>
  <c r="O1816" i="1"/>
  <c r="N1817" i="1"/>
  <c r="O1817" i="1"/>
  <c r="N1818" i="1"/>
  <c r="O1818" i="1"/>
  <c r="N1819" i="1"/>
  <c r="O1819" i="1"/>
  <c r="N1820" i="1"/>
  <c r="O1820" i="1"/>
  <c r="N1821" i="1"/>
  <c r="O1821" i="1"/>
  <c r="N1822" i="1"/>
  <c r="O1822" i="1"/>
  <c r="N1823" i="1"/>
  <c r="O1823" i="1"/>
  <c r="N1824" i="1"/>
  <c r="O1824" i="1"/>
  <c r="N1825" i="1"/>
  <c r="O1825" i="1"/>
  <c r="N1826" i="1"/>
  <c r="O1826" i="1"/>
  <c r="N1827" i="1"/>
  <c r="O1827" i="1"/>
  <c r="N1828" i="1"/>
  <c r="O1828" i="1"/>
  <c r="N1829" i="1"/>
  <c r="O1829" i="1"/>
  <c r="N1830" i="1"/>
  <c r="O1830" i="1"/>
  <c r="N1831" i="1"/>
  <c r="O1831" i="1"/>
  <c r="N1832" i="1"/>
  <c r="O1832" i="1"/>
  <c r="N1833" i="1"/>
  <c r="O1833" i="1"/>
  <c r="N1834" i="1"/>
  <c r="O1834" i="1"/>
  <c r="N1835" i="1"/>
  <c r="O1835" i="1"/>
  <c r="N1836" i="1"/>
  <c r="O1836" i="1"/>
  <c r="N1837" i="1"/>
  <c r="O1837" i="1"/>
  <c r="N1838" i="1"/>
  <c r="O1838" i="1"/>
  <c r="N1839" i="1"/>
  <c r="O1839" i="1"/>
  <c r="N1840" i="1"/>
  <c r="O1840" i="1"/>
  <c r="N1841" i="1"/>
  <c r="O1841" i="1"/>
  <c r="N1842" i="1"/>
  <c r="O1842" i="1"/>
  <c r="N1843" i="1"/>
  <c r="O1843" i="1"/>
  <c r="N1844" i="1"/>
  <c r="O1844" i="1"/>
  <c r="N1845" i="1"/>
  <c r="O1845" i="1"/>
  <c r="N1846" i="1"/>
  <c r="O1846" i="1"/>
  <c r="N1847" i="1"/>
  <c r="O1847" i="1"/>
  <c r="N1848" i="1"/>
  <c r="O1848" i="1"/>
  <c r="N1849" i="1"/>
  <c r="O1849" i="1"/>
  <c r="N1850" i="1"/>
  <c r="O1850" i="1"/>
  <c r="N1851" i="1"/>
  <c r="O1851" i="1"/>
  <c r="N1852" i="1"/>
  <c r="O1852" i="1"/>
  <c r="N1853" i="1"/>
  <c r="O1853" i="1"/>
  <c r="N1854" i="1"/>
  <c r="O1854" i="1"/>
  <c r="N1855" i="1"/>
  <c r="O1855" i="1"/>
  <c r="N1856" i="1"/>
  <c r="O1856" i="1"/>
  <c r="N1857" i="1"/>
  <c r="O1857" i="1"/>
  <c r="N1858" i="1"/>
  <c r="O1858" i="1"/>
  <c r="N1859" i="1"/>
  <c r="O1859" i="1"/>
  <c r="N1860" i="1"/>
  <c r="O1860" i="1"/>
  <c r="N1861" i="1"/>
  <c r="O1861" i="1"/>
  <c r="N1862" i="1"/>
  <c r="O1862" i="1"/>
  <c r="N1863" i="1"/>
  <c r="O1863" i="1"/>
  <c r="N1864" i="1"/>
  <c r="O1864" i="1"/>
  <c r="N1865" i="1"/>
  <c r="O1865" i="1"/>
  <c r="N1866" i="1"/>
  <c r="O1866" i="1"/>
  <c r="N1867" i="1"/>
  <c r="O1867" i="1"/>
  <c r="N1868" i="1"/>
  <c r="O1868" i="1"/>
  <c r="N1869" i="1"/>
  <c r="O1869" i="1"/>
  <c r="N1870" i="1"/>
  <c r="O1870" i="1"/>
  <c r="N1871" i="1"/>
  <c r="O1871" i="1"/>
  <c r="N1872" i="1"/>
  <c r="O1872" i="1"/>
  <c r="N1873" i="1"/>
  <c r="O1873" i="1"/>
  <c r="N1874" i="1"/>
  <c r="O1874" i="1"/>
  <c r="N1875" i="1"/>
  <c r="O1875" i="1"/>
  <c r="N1876" i="1"/>
  <c r="O1876" i="1"/>
  <c r="N1877" i="1"/>
  <c r="O1877" i="1"/>
  <c r="N1878" i="1"/>
  <c r="O1878" i="1"/>
  <c r="N1879" i="1"/>
  <c r="O1879" i="1"/>
  <c r="N1880" i="1"/>
  <c r="O1880" i="1"/>
  <c r="N1881" i="1"/>
  <c r="O1881" i="1"/>
  <c r="N1882" i="1"/>
  <c r="O1882" i="1"/>
  <c r="N1883" i="1"/>
  <c r="O1883" i="1"/>
  <c r="N1884" i="1"/>
  <c r="O1884" i="1"/>
  <c r="N1885" i="1"/>
  <c r="O1885" i="1"/>
  <c r="N1886" i="1"/>
  <c r="O1886" i="1"/>
  <c r="N1887" i="1"/>
  <c r="O1887" i="1"/>
  <c r="N1888" i="1"/>
  <c r="O1888" i="1"/>
  <c r="N1889" i="1"/>
  <c r="O1889" i="1"/>
  <c r="N1890" i="1"/>
  <c r="O1890" i="1"/>
  <c r="N1891" i="1"/>
  <c r="O1891" i="1"/>
  <c r="N1892" i="1"/>
  <c r="O1892" i="1"/>
  <c r="N1893" i="1"/>
  <c r="O1893" i="1"/>
  <c r="N1894" i="1"/>
  <c r="O1894" i="1"/>
  <c r="N1895" i="1"/>
  <c r="O1895" i="1"/>
  <c r="N1896" i="1"/>
  <c r="O1896" i="1"/>
  <c r="N1897" i="1"/>
  <c r="O1897" i="1"/>
  <c r="N1898" i="1"/>
  <c r="O1898" i="1"/>
  <c r="N1899" i="1"/>
  <c r="O1899" i="1"/>
  <c r="N1900" i="1"/>
  <c r="O1900" i="1"/>
  <c r="N1901" i="1"/>
  <c r="O1901" i="1"/>
  <c r="N1902" i="1"/>
  <c r="O1902" i="1"/>
  <c r="N1903" i="1"/>
  <c r="O1903" i="1"/>
  <c r="N1904" i="1"/>
  <c r="O1904" i="1"/>
  <c r="N1905" i="1"/>
  <c r="O1905" i="1"/>
  <c r="N1906" i="1"/>
  <c r="O1906" i="1"/>
  <c r="N1907" i="1"/>
  <c r="O1907" i="1"/>
  <c r="N1908" i="1"/>
  <c r="O1908" i="1"/>
  <c r="N1909" i="1"/>
  <c r="O1909" i="1"/>
  <c r="N1910" i="1"/>
  <c r="O1910" i="1"/>
  <c r="N1911" i="1"/>
  <c r="O1911" i="1"/>
  <c r="N1912" i="1"/>
  <c r="O1912" i="1"/>
  <c r="N1913" i="1"/>
  <c r="O1913" i="1"/>
  <c r="N1914" i="1"/>
  <c r="O1914" i="1"/>
  <c r="N1915" i="1"/>
  <c r="O1915" i="1"/>
  <c r="N1916" i="1"/>
  <c r="O1916" i="1"/>
  <c r="N1917" i="1"/>
  <c r="O1917" i="1"/>
  <c r="N1918" i="1"/>
  <c r="O1918" i="1"/>
  <c r="N1919" i="1"/>
  <c r="O1919" i="1"/>
  <c r="N1920" i="1"/>
  <c r="O1920" i="1"/>
  <c r="N1921" i="1"/>
  <c r="O1921" i="1"/>
  <c r="N1922" i="1"/>
  <c r="O1922" i="1"/>
  <c r="N1923" i="1"/>
  <c r="O1923" i="1"/>
  <c r="N1924" i="1"/>
  <c r="O1924" i="1"/>
  <c r="N1925" i="1"/>
  <c r="O1925" i="1"/>
  <c r="N1926" i="1"/>
  <c r="O1926" i="1"/>
  <c r="N1927" i="1"/>
  <c r="O1927" i="1"/>
  <c r="N1928" i="1"/>
  <c r="O1928" i="1"/>
  <c r="N1929" i="1"/>
  <c r="O1929" i="1"/>
  <c r="N1930" i="1"/>
  <c r="O1930" i="1"/>
  <c r="N1931" i="1"/>
  <c r="O1931" i="1"/>
  <c r="N1932" i="1"/>
  <c r="O1932" i="1"/>
  <c r="N1933" i="1"/>
  <c r="O1933" i="1"/>
  <c r="N1934" i="1"/>
  <c r="O1934" i="1"/>
  <c r="N1935" i="1"/>
  <c r="O1935" i="1"/>
  <c r="N1936" i="1"/>
  <c r="O1936" i="1"/>
  <c r="N1937" i="1"/>
  <c r="O1937" i="1"/>
  <c r="N1938" i="1"/>
  <c r="O1938" i="1"/>
  <c r="N1939" i="1"/>
  <c r="O1939" i="1"/>
  <c r="N1940" i="1"/>
  <c r="O1940" i="1"/>
  <c r="N1941" i="1"/>
  <c r="O1941" i="1"/>
  <c r="N1942" i="1"/>
  <c r="O1942" i="1"/>
  <c r="N1943" i="1"/>
  <c r="O1943" i="1"/>
  <c r="N1944" i="1"/>
  <c r="O1944" i="1"/>
  <c r="N1945" i="1"/>
  <c r="O1945" i="1"/>
  <c r="N1946" i="1"/>
  <c r="O1946" i="1"/>
  <c r="N1947" i="1"/>
  <c r="O1947" i="1"/>
  <c r="N1948" i="1"/>
  <c r="O1948" i="1"/>
  <c r="N1949" i="1"/>
  <c r="O1949" i="1"/>
  <c r="N1950" i="1"/>
  <c r="O1950" i="1"/>
  <c r="N1951" i="1"/>
  <c r="O1951" i="1"/>
  <c r="N1952" i="1"/>
  <c r="O1952" i="1"/>
  <c r="N1953" i="1"/>
  <c r="O1953" i="1"/>
  <c r="N1954" i="1"/>
  <c r="O1954" i="1"/>
  <c r="N1955" i="1"/>
  <c r="O1955" i="1"/>
  <c r="N1956" i="1"/>
  <c r="O1956" i="1"/>
  <c r="N1957" i="1"/>
  <c r="O1957" i="1"/>
  <c r="N1958" i="1"/>
  <c r="O1958" i="1"/>
  <c r="N1959" i="1"/>
  <c r="O1959" i="1"/>
  <c r="N1960" i="1"/>
  <c r="O1960" i="1"/>
  <c r="N1961" i="1"/>
  <c r="O1961" i="1"/>
  <c r="N1962" i="1"/>
  <c r="O1962" i="1"/>
  <c r="N1963" i="1"/>
  <c r="O1963" i="1"/>
  <c r="N1964" i="1"/>
  <c r="O1964" i="1"/>
  <c r="N1965" i="1"/>
  <c r="O1965" i="1"/>
  <c r="N1966" i="1"/>
  <c r="O1966" i="1"/>
  <c r="N1967" i="1"/>
  <c r="O1967" i="1"/>
  <c r="N1968" i="1"/>
  <c r="O1968" i="1"/>
  <c r="N1969" i="1"/>
  <c r="O1969" i="1"/>
  <c r="N1970" i="1"/>
  <c r="O1970" i="1"/>
  <c r="N1971" i="1"/>
  <c r="O1971" i="1"/>
  <c r="N1972" i="1"/>
  <c r="O1972" i="1"/>
  <c r="N1973" i="1"/>
  <c r="O1973" i="1"/>
  <c r="N1974" i="1"/>
  <c r="O1974" i="1"/>
  <c r="N1975" i="1"/>
  <c r="O1975" i="1"/>
  <c r="N1976" i="1"/>
  <c r="O1976" i="1"/>
  <c r="N1977" i="1"/>
  <c r="O1977" i="1"/>
  <c r="N1978" i="1"/>
  <c r="O1978" i="1"/>
  <c r="N1979" i="1"/>
  <c r="O1979" i="1"/>
  <c r="N1980" i="1"/>
  <c r="O1980" i="1"/>
  <c r="N1981" i="1"/>
  <c r="O1981" i="1"/>
  <c r="N2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3" i="1"/>
  <c r="M4" i="1"/>
  <c r="M5" i="1"/>
  <c r="M6" i="1"/>
  <c r="M7" i="1"/>
  <c r="M8" i="1"/>
  <c r="M9" i="1"/>
  <c r="M10" i="1"/>
  <c r="M2" i="1"/>
  <c r="P1978" i="1" l="1"/>
  <c r="P1976" i="1"/>
  <c r="P1974" i="1"/>
  <c r="P1970" i="1"/>
  <c r="P1968" i="1"/>
  <c r="P1966" i="1"/>
  <c r="P1962" i="1"/>
  <c r="P1960" i="1"/>
  <c r="P1958" i="1"/>
  <c r="P1954" i="1"/>
  <c r="P1952" i="1"/>
  <c r="P1950" i="1"/>
  <c r="P1946" i="1"/>
  <c r="P1944" i="1"/>
  <c r="P1942" i="1"/>
  <c r="P1938" i="1"/>
  <c r="P1936" i="1"/>
  <c r="P1934" i="1"/>
  <c r="P1930" i="1"/>
  <c r="P1928" i="1"/>
  <c r="P1926" i="1"/>
  <c r="P1922" i="1"/>
  <c r="P1920" i="1"/>
  <c r="P1918" i="1"/>
  <c r="P1914" i="1"/>
  <c r="P1912" i="1"/>
  <c r="P1910" i="1"/>
  <c r="P1906" i="1"/>
  <c r="P1904" i="1"/>
  <c r="P1902" i="1"/>
  <c r="P1898" i="1"/>
  <c r="P1896" i="1"/>
  <c r="P1894" i="1"/>
  <c r="P1890" i="1"/>
  <c r="P1888" i="1"/>
  <c r="P1886" i="1"/>
  <c r="P1882" i="1"/>
  <c r="P1880" i="1"/>
  <c r="P1878" i="1"/>
  <c r="P1874" i="1"/>
  <c r="P1872" i="1"/>
  <c r="P1870" i="1"/>
  <c r="P1866" i="1"/>
  <c r="P1864" i="1"/>
  <c r="P1862" i="1"/>
  <c r="P1858" i="1"/>
  <c r="P1856" i="1"/>
  <c r="P1854" i="1"/>
  <c r="P1850" i="1"/>
  <c r="P1848" i="1"/>
  <c r="P1846" i="1"/>
  <c r="P1842" i="1"/>
  <c r="P1840" i="1"/>
  <c r="P1838" i="1"/>
  <c r="P1834" i="1"/>
  <c r="P1832" i="1"/>
  <c r="P1830" i="1"/>
  <c r="P1826" i="1"/>
  <c r="P1824" i="1"/>
  <c r="P1822" i="1"/>
  <c r="P1818" i="1"/>
  <c r="P1816" i="1"/>
  <c r="P1814" i="1"/>
  <c r="P1810" i="1"/>
  <c r="P1808" i="1"/>
  <c r="P1806" i="1"/>
  <c r="P1802" i="1"/>
  <c r="P1800" i="1"/>
  <c r="P1798" i="1"/>
  <c r="P1794" i="1"/>
  <c r="P1792" i="1"/>
  <c r="P1790" i="1"/>
  <c r="P1786" i="1"/>
  <c r="P1784" i="1"/>
  <c r="P1782" i="1"/>
  <c r="P1778" i="1"/>
  <c r="P1776" i="1"/>
  <c r="P1774" i="1"/>
  <c r="P1770" i="1"/>
  <c r="P1768" i="1"/>
  <c r="P1766" i="1"/>
  <c r="P1762" i="1"/>
  <c r="P1760" i="1"/>
  <c r="P1758" i="1"/>
  <c r="P1754" i="1"/>
  <c r="P1752" i="1"/>
  <c r="P1750" i="1"/>
  <c r="P1746" i="1"/>
  <c r="P1744" i="1"/>
  <c r="P1742" i="1"/>
  <c r="P1738" i="1"/>
  <c r="P1736" i="1"/>
  <c r="P1734" i="1"/>
  <c r="P1730" i="1"/>
  <c r="P1728" i="1"/>
  <c r="P1726" i="1"/>
  <c r="P1722" i="1"/>
  <c r="P1720" i="1"/>
  <c r="P1718" i="1"/>
  <c r="P1714" i="1"/>
  <c r="P1712" i="1"/>
  <c r="P1710" i="1"/>
  <c r="P1706" i="1"/>
  <c r="P1704" i="1"/>
  <c r="P1702" i="1"/>
  <c r="P1698" i="1"/>
  <c r="P1696" i="1"/>
  <c r="P1694" i="1"/>
  <c r="P1690" i="1"/>
  <c r="P1688" i="1"/>
  <c r="P1686" i="1"/>
  <c r="P1682" i="1"/>
  <c r="P1680" i="1"/>
  <c r="P1678" i="1"/>
  <c r="P1674" i="1"/>
  <c r="P1672" i="1"/>
  <c r="P1670" i="1"/>
  <c r="P1666" i="1"/>
  <c r="P1664" i="1"/>
  <c r="P1662" i="1"/>
  <c r="P1658" i="1"/>
  <c r="P1656" i="1"/>
  <c r="P1654" i="1"/>
  <c r="P1650" i="1"/>
  <c r="P1648" i="1"/>
  <c r="P1646" i="1"/>
  <c r="P1642" i="1"/>
  <c r="P1640" i="1"/>
  <c r="P1638" i="1"/>
  <c r="P1634" i="1"/>
  <c r="P1632" i="1"/>
  <c r="P1630" i="1"/>
  <c r="P1626" i="1"/>
  <c r="P1624" i="1"/>
  <c r="P1622" i="1"/>
  <c r="P1618" i="1"/>
  <c r="P1616" i="1"/>
  <c r="P1614" i="1"/>
  <c r="P1610" i="1"/>
  <c r="P1608" i="1"/>
  <c r="P1606" i="1"/>
  <c r="P1602" i="1"/>
  <c r="P1600" i="1"/>
  <c r="P1598" i="1"/>
  <c r="P1594" i="1"/>
  <c r="P1592" i="1"/>
  <c r="P1590" i="1"/>
  <c r="P1586" i="1"/>
  <c r="P1584" i="1"/>
  <c r="P1582" i="1"/>
  <c r="P1578" i="1"/>
  <c r="P1576" i="1"/>
  <c r="P1574" i="1"/>
  <c r="P1570" i="1"/>
  <c r="P1568" i="1"/>
  <c r="P1566" i="1"/>
  <c r="P1562" i="1"/>
  <c r="P1560" i="1"/>
  <c r="P1558" i="1"/>
  <c r="P1554" i="1"/>
  <c r="P1552" i="1"/>
  <c r="P1550" i="1"/>
  <c r="P1546" i="1"/>
  <c r="P1544" i="1"/>
  <c r="P1542" i="1"/>
  <c r="P1538" i="1"/>
  <c r="P1536" i="1"/>
  <c r="P1534" i="1"/>
  <c r="P1530" i="1"/>
  <c r="P1528" i="1"/>
  <c r="P1526" i="1"/>
  <c r="P1522" i="1"/>
  <c r="P1520" i="1"/>
  <c r="P1518" i="1"/>
  <c r="P1514" i="1"/>
  <c r="P1512" i="1"/>
  <c r="P1510" i="1"/>
  <c r="P1506" i="1"/>
  <c r="P1504" i="1"/>
  <c r="P1502" i="1"/>
  <c r="P1498" i="1"/>
  <c r="P1496" i="1"/>
  <c r="P1494" i="1"/>
  <c r="P1490" i="1"/>
  <c r="P1488" i="1"/>
  <c r="P1486" i="1"/>
  <c r="P1482" i="1"/>
  <c r="P1480" i="1"/>
  <c r="P1478" i="1"/>
  <c r="P1474" i="1"/>
  <c r="P1472" i="1"/>
  <c r="P1470" i="1"/>
  <c r="P1466" i="1"/>
  <c r="P1464" i="1"/>
  <c r="P1462" i="1"/>
  <c r="P1458" i="1"/>
  <c r="P1456" i="1"/>
  <c r="P1454" i="1"/>
  <c r="P1450" i="1"/>
  <c r="P1448" i="1"/>
  <c r="P1446" i="1"/>
  <c r="P1442" i="1"/>
  <c r="P1440" i="1"/>
  <c r="P1438" i="1"/>
  <c r="P1434" i="1"/>
  <c r="P1432" i="1"/>
  <c r="P1430" i="1"/>
  <c r="P1426" i="1"/>
  <c r="P1424" i="1"/>
  <c r="P1422" i="1"/>
  <c r="P1418" i="1"/>
  <c r="P1416" i="1"/>
  <c r="P1414" i="1"/>
  <c r="P1410" i="1"/>
  <c r="P1408" i="1"/>
  <c r="P1406" i="1"/>
  <c r="P1402" i="1"/>
  <c r="P1400" i="1"/>
  <c r="P1398" i="1"/>
  <c r="P1394" i="1"/>
  <c r="P1392" i="1"/>
  <c r="P1390" i="1"/>
  <c r="P1386" i="1"/>
  <c r="P1384" i="1"/>
  <c r="P1382" i="1"/>
  <c r="P1378" i="1"/>
  <c r="P1376" i="1"/>
  <c r="P1368" i="1"/>
  <c r="P1360" i="1"/>
  <c r="P1352" i="1"/>
  <c r="P1344" i="1"/>
  <c r="P1336" i="1"/>
  <c r="P1328" i="1"/>
  <c r="P1320" i="1"/>
  <c r="P1312" i="1"/>
  <c r="P1304" i="1"/>
  <c r="P1296" i="1"/>
  <c r="P1288" i="1"/>
  <c r="P1280" i="1"/>
  <c r="P1272" i="1"/>
  <c r="P1264" i="1"/>
  <c r="P1256" i="1"/>
  <c r="P1248" i="1"/>
  <c r="P1240" i="1"/>
  <c r="P1232" i="1"/>
  <c r="P1224" i="1"/>
  <c r="P1216" i="1"/>
  <c r="P1208" i="1"/>
  <c r="P1200" i="1"/>
  <c r="P1192" i="1"/>
  <c r="P1184" i="1"/>
  <c r="P1176" i="1"/>
  <c r="P1168" i="1"/>
  <c r="P1160" i="1"/>
  <c r="P1152" i="1"/>
  <c r="P1144" i="1"/>
  <c r="P1136" i="1"/>
  <c r="P1128" i="1"/>
  <c r="P1120" i="1"/>
  <c r="P1112" i="1"/>
  <c r="P1104" i="1"/>
  <c r="P1096" i="1"/>
  <c r="P1088" i="1"/>
  <c r="P1080" i="1"/>
  <c r="P1072" i="1"/>
  <c r="P1064" i="1"/>
  <c r="P1056" i="1"/>
  <c r="P1048" i="1"/>
  <c r="P1040" i="1"/>
  <c r="P1032" i="1"/>
  <c r="P1024" i="1"/>
  <c r="P1016" i="1"/>
  <c r="P1004" i="1"/>
  <c r="P988" i="1"/>
  <c r="P972" i="1"/>
  <c r="P956" i="1"/>
  <c r="P480" i="1"/>
  <c r="P416" i="1"/>
  <c r="P384" i="1"/>
  <c r="P352" i="1"/>
  <c r="P256" i="1"/>
  <c r="P192" i="1"/>
  <c r="P128" i="1"/>
  <c r="P64" i="1"/>
  <c r="P1979" i="1"/>
  <c r="P1975" i="1"/>
  <c r="P1971" i="1"/>
  <c r="P1967" i="1"/>
  <c r="P1963" i="1"/>
  <c r="P1959" i="1"/>
  <c r="P1955" i="1"/>
  <c r="P1951" i="1"/>
  <c r="P1947" i="1"/>
  <c r="P1943" i="1"/>
  <c r="P1939" i="1"/>
  <c r="P1935" i="1"/>
  <c r="P1931" i="1"/>
  <c r="P1927" i="1"/>
  <c r="P1923" i="1"/>
  <c r="P1919" i="1"/>
  <c r="P1915" i="1"/>
  <c r="P1911" i="1"/>
  <c r="P1907" i="1"/>
  <c r="P1903" i="1"/>
  <c r="P1899" i="1"/>
  <c r="P1895" i="1"/>
  <c r="P1891" i="1"/>
  <c r="P1887" i="1"/>
  <c r="P1883" i="1"/>
  <c r="P1879" i="1"/>
  <c r="P1875" i="1"/>
  <c r="P1871" i="1"/>
  <c r="P1867" i="1"/>
  <c r="P1863" i="1"/>
  <c r="P1859" i="1"/>
  <c r="P1855" i="1"/>
  <c r="P1851" i="1"/>
  <c r="P1847" i="1"/>
  <c r="P1843" i="1"/>
  <c r="P1839" i="1"/>
  <c r="P1835" i="1"/>
  <c r="P1831" i="1"/>
  <c r="P1827" i="1"/>
  <c r="P1823" i="1"/>
  <c r="P1819" i="1"/>
  <c r="P1815" i="1"/>
  <c r="P1811" i="1"/>
  <c r="P1807" i="1"/>
  <c r="P1803" i="1"/>
  <c r="P1799" i="1"/>
  <c r="P1795" i="1"/>
  <c r="P1791" i="1"/>
  <c r="P1787" i="1"/>
  <c r="P1783" i="1"/>
  <c r="P1779" i="1"/>
  <c r="P1775" i="1"/>
  <c r="P1771" i="1"/>
  <c r="P1767" i="1"/>
  <c r="P1763" i="1"/>
  <c r="P1759" i="1"/>
  <c r="P1755" i="1"/>
  <c r="P1751" i="1"/>
  <c r="P1747" i="1"/>
  <c r="P1743" i="1"/>
  <c r="P1739" i="1"/>
  <c r="P1735" i="1"/>
  <c r="P1731" i="1"/>
  <c r="P1727" i="1"/>
  <c r="P1723" i="1"/>
  <c r="P1719" i="1"/>
  <c r="P1715" i="1"/>
  <c r="P1711" i="1"/>
  <c r="P1707" i="1"/>
  <c r="P1703" i="1"/>
  <c r="P1699" i="1"/>
  <c r="P1695" i="1"/>
  <c r="P1691" i="1"/>
  <c r="P1687" i="1"/>
  <c r="P1683" i="1"/>
  <c r="P1679" i="1"/>
  <c r="P1675" i="1"/>
  <c r="P1671" i="1"/>
  <c r="P1667" i="1"/>
  <c r="P1663" i="1"/>
  <c r="P1659" i="1"/>
  <c r="P1655" i="1"/>
  <c r="P1651" i="1"/>
  <c r="P1647" i="1"/>
  <c r="P1643" i="1"/>
  <c r="P1639" i="1"/>
  <c r="P1635" i="1"/>
  <c r="P1631" i="1"/>
  <c r="P1627" i="1"/>
  <c r="P1623" i="1"/>
  <c r="P1619" i="1"/>
  <c r="P1615" i="1"/>
  <c r="P1611" i="1"/>
  <c r="P1607" i="1"/>
  <c r="P1603" i="1"/>
  <c r="P1599" i="1"/>
  <c r="P1595" i="1"/>
  <c r="P1591" i="1"/>
  <c r="P1587" i="1"/>
  <c r="P1583" i="1"/>
  <c r="P1579" i="1"/>
  <c r="P1575" i="1"/>
  <c r="P1571" i="1"/>
  <c r="P1567" i="1"/>
  <c r="P1563" i="1"/>
  <c r="P1559" i="1"/>
  <c r="P1555" i="1"/>
  <c r="P1551" i="1"/>
  <c r="P1547" i="1"/>
  <c r="P1543" i="1"/>
  <c r="P1539" i="1"/>
  <c r="P1535" i="1"/>
  <c r="P1531" i="1"/>
  <c r="P1527" i="1"/>
  <c r="P1523" i="1"/>
  <c r="P1519" i="1"/>
  <c r="P1515" i="1"/>
  <c r="P1511" i="1"/>
  <c r="P1507" i="1"/>
  <c r="P1503" i="1"/>
  <c r="P1499" i="1"/>
  <c r="P1495" i="1"/>
  <c r="P1491" i="1"/>
  <c r="P1487" i="1"/>
  <c r="P1483" i="1"/>
  <c r="P1479" i="1"/>
  <c r="P1475" i="1"/>
  <c r="P1471" i="1"/>
  <c r="P1467" i="1"/>
  <c r="P1463" i="1"/>
  <c r="P1459" i="1"/>
  <c r="P1455" i="1"/>
  <c r="P1451" i="1"/>
  <c r="P1447" i="1"/>
  <c r="P1443" i="1"/>
  <c r="P1439" i="1"/>
  <c r="P1435" i="1"/>
  <c r="P1431" i="1"/>
  <c r="P1427" i="1"/>
  <c r="P1423" i="1"/>
  <c r="P1419" i="1"/>
  <c r="P1415" i="1"/>
  <c r="P1411" i="1"/>
  <c r="P1407" i="1"/>
  <c r="P1403" i="1"/>
  <c r="P1399" i="1"/>
  <c r="P1395" i="1"/>
  <c r="P1391" i="1"/>
  <c r="P1387" i="1"/>
  <c r="P1383" i="1"/>
  <c r="P1379" i="1"/>
  <c r="P1375" i="1"/>
  <c r="P1371" i="1"/>
  <c r="P1367" i="1"/>
  <c r="P1363" i="1"/>
  <c r="P1359" i="1"/>
  <c r="P1355" i="1"/>
  <c r="P1351" i="1"/>
  <c r="P1347" i="1"/>
  <c r="P1343" i="1"/>
  <c r="P1339" i="1"/>
  <c r="P1335" i="1"/>
  <c r="P1331" i="1"/>
  <c r="P1327" i="1"/>
  <c r="P1323" i="1"/>
  <c r="P1319" i="1"/>
  <c r="P1315" i="1"/>
  <c r="P1311" i="1"/>
  <c r="P1307" i="1"/>
  <c r="P1303" i="1"/>
  <c r="P1299" i="1"/>
  <c r="P1295" i="1"/>
  <c r="P1291" i="1"/>
  <c r="P1287" i="1"/>
  <c r="P1283" i="1"/>
  <c r="P1279" i="1"/>
  <c r="P1275" i="1"/>
  <c r="P1271" i="1"/>
  <c r="P1267" i="1"/>
  <c r="P1263" i="1"/>
  <c r="P1259" i="1"/>
  <c r="P1255" i="1"/>
  <c r="P940" i="1"/>
  <c r="P924" i="1"/>
  <c r="P908" i="1"/>
  <c r="P892" i="1"/>
  <c r="P876" i="1"/>
  <c r="P860" i="1"/>
  <c r="P844" i="1"/>
  <c r="P828" i="1"/>
  <c r="P812" i="1"/>
  <c r="P796" i="1"/>
  <c r="P780" i="1"/>
  <c r="P764" i="1"/>
  <c r="P748" i="1"/>
  <c r="P732" i="1"/>
  <c r="P716" i="1"/>
  <c r="P700" i="1"/>
  <c r="P684" i="1"/>
  <c r="P668" i="1"/>
  <c r="P652" i="1"/>
  <c r="P636" i="1"/>
  <c r="P620" i="1"/>
  <c r="P604" i="1"/>
  <c r="P588" i="1"/>
  <c r="P572" i="1"/>
  <c r="P556" i="1"/>
  <c r="P540" i="1"/>
  <c r="P524" i="1"/>
  <c r="P508" i="1"/>
  <c r="P1251" i="1"/>
  <c r="P1247" i="1"/>
  <c r="P1243" i="1"/>
  <c r="P1239" i="1"/>
  <c r="P1235" i="1"/>
  <c r="P1231" i="1"/>
  <c r="P1227" i="1"/>
  <c r="P1223" i="1"/>
  <c r="P1219" i="1"/>
  <c r="P1215" i="1"/>
  <c r="P1211" i="1"/>
  <c r="P1207" i="1"/>
  <c r="P1203" i="1"/>
  <c r="P1199" i="1"/>
  <c r="P1195" i="1"/>
  <c r="P1191" i="1"/>
  <c r="P1187" i="1"/>
  <c r="P1183" i="1"/>
  <c r="P1179" i="1"/>
  <c r="P1175" i="1"/>
  <c r="P1171" i="1"/>
  <c r="P1167" i="1"/>
  <c r="P1163" i="1"/>
  <c r="P1159" i="1"/>
  <c r="P1155" i="1"/>
  <c r="P1151" i="1"/>
  <c r="P1147" i="1"/>
  <c r="P1143" i="1"/>
  <c r="P1139" i="1"/>
  <c r="P1135" i="1"/>
  <c r="P1131" i="1"/>
  <c r="P1127" i="1"/>
  <c r="P1123" i="1"/>
  <c r="P1119" i="1"/>
  <c r="P1115" i="1"/>
  <c r="P1111" i="1"/>
  <c r="P1107" i="1"/>
  <c r="P1103" i="1"/>
  <c r="P1099" i="1"/>
  <c r="P1095" i="1"/>
  <c r="P1091" i="1"/>
  <c r="P1087" i="1"/>
  <c r="P1083" i="1"/>
  <c r="P1079" i="1"/>
  <c r="P1075" i="1"/>
  <c r="P1071" i="1"/>
  <c r="P1067" i="1"/>
  <c r="P1063" i="1"/>
  <c r="P1059" i="1"/>
  <c r="P1055" i="1"/>
  <c r="P1051" i="1"/>
  <c r="P1047" i="1"/>
  <c r="P1043" i="1"/>
  <c r="P1039" i="1"/>
  <c r="P1035" i="1"/>
  <c r="P1031" i="1"/>
  <c r="P1027" i="1"/>
  <c r="P1023" i="1"/>
  <c r="P1019" i="1"/>
  <c r="P1015" i="1"/>
  <c r="P1011" i="1"/>
  <c r="P1007" i="1"/>
  <c r="P1003" i="1"/>
  <c r="P999" i="1"/>
  <c r="P995" i="1"/>
  <c r="P991" i="1"/>
  <c r="P987" i="1"/>
  <c r="P983" i="1"/>
  <c r="P979" i="1"/>
  <c r="P975" i="1"/>
  <c r="P971" i="1"/>
  <c r="P967" i="1"/>
  <c r="P963" i="1"/>
  <c r="P959" i="1"/>
  <c r="P955" i="1"/>
  <c r="P951" i="1"/>
  <c r="P947" i="1"/>
  <c r="P943" i="1"/>
  <c r="P939" i="1"/>
  <c r="P935" i="1"/>
  <c r="P931" i="1"/>
  <c r="P927" i="1"/>
  <c r="P923" i="1"/>
  <c r="P919" i="1"/>
  <c r="P915" i="1"/>
  <c r="P911" i="1"/>
  <c r="P907" i="1"/>
  <c r="P903" i="1"/>
  <c r="P899" i="1"/>
  <c r="P895" i="1"/>
  <c r="P891" i="1"/>
  <c r="P887" i="1"/>
  <c r="P883" i="1"/>
  <c r="P879" i="1"/>
  <c r="P875" i="1"/>
  <c r="P871" i="1"/>
  <c r="P867" i="1"/>
  <c r="P863" i="1"/>
  <c r="P859" i="1"/>
  <c r="P855" i="1"/>
  <c r="P851" i="1"/>
  <c r="P847" i="1"/>
  <c r="P843" i="1"/>
  <c r="P839" i="1"/>
  <c r="P835" i="1"/>
  <c r="P831" i="1"/>
  <c r="P827" i="1"/>
  <c r="P823" i="1"/>
  <c r="P819" i="1"/>
  <c r="P815" i="1"/>
  <c r="P811" i="1"/>
  <c r="P807" i="1"/>
  <c r="P803" i="1"/>
  <c r="P799" i="1"/>
  <c r="P795" i="1"/>
  <c r="P791" i="1"/>
  <c r="P787" i="1"/>
  <c r="P783" i="1"/>
  <c r="P779" i="1"/>
  <c r="P775" i="1"/>
  <c r="P771" i="1"/>
  <c r="P767" i="1"/>
  <c r="P763" i="1"/>
  <c r="P759" i="1"/>
  <c r="P755" i="1"/>
  <c r="P751" i="1"/>
  <c r="P747" i="1"/>
  <c r="P743" i="1"/>
  <c r="P739" i="1"/>
  <c r="P735" i="1"/>
  <c r="P731" i="1"/>
  <c r="P727" i="1"/>
  <c r="P723" i="1"/>
  <c r="P719" i="1"/>
  <c r="P715" i="1"/>
  <c r="P711" i="1"/>
  <c r="P707" i="1"/>
  <c r="P703" i="1"/>
  <c r="P699" i="1"/>
  <c r="P695" i="1"/>
  <c r="P691" i="1"/>
  <c r="P687" i="1"/>
  <c r="P683" i="1"/>
  <c r="P679" i="1"/>
  <c r="P675" i="1"/>
  <c r="P671" i="1"/>
  <c r="P667" i="1"/>
  <c r="P663" i="1"/>
  <c r="P659" i="1"/>
  <c r="P655" i="1"/>
  <c r="P651" i="1"/>
  <c r="P647" i="1"/>
  <c r="P643" i="1"/>
  <c r="P639" i="1"/>
  <c r="P635" i="1"/>
  <c r="P631" i="1"/>
  <c r="P627" i="1"/>
  <c r="P623" i="1"/>
  <c r="P619" i="1"/>
  <c r="P615" i="1"/>
  <c r="P611" i="1"/>
  <c r="P607" i="1"/>
  <c r="P603" i="1"/>
  <c r="P599" i="1"/>
  <c r="P595" i="1"/>
  <c r="P591" i="1"/>
  <c r="P587" i="1"/>
  <c r="P583" i="1"/>
  <c r="P579" i="1"/>
  <c r="P448" i="1"/>
  <c r="P575" i="1"/>
  <c r="P571" i="1"/>
  <c r="P567" i="1"/>
  <c r="P563" i="1"/>
  <c r="P559" i="1"/>
  <c r="P555" i="1"/>
  <c r="P551" i="1"/>
  <c r="P547" i="1"/>
  <c r="P543" i="1"/>
  <c r="P539" i="1"/>
  <c r="P535" i="1"/>
  <c r="P531" i="1"/>
  <c r="P527" i="1"/>
  <c r="P523" i="1"/>
  <c r="P519" i="1"/>
  <c r="P515" i="1"/>
  <c r="P511" i="1"/>
  <c r="P507" i="1"/>
  <c r="P503" i="1"/>
  <c r="P499" i="1"/>
  <c r="P495" i="1"/>
  <c r="P491" i="1"/>
  <c r="P487" i="1"/>
  <c r="P483" i="1"/>
  <c r="P479" i="1"/>
  <c r="P475" i="1"/>
  <c r="P471" i="1"/>
  <c r="P467" i="1"/>
  <c r="P463" i="1"/>
  <c r="P459" i="1"/>
  <c r="P455" i="1"/>
  <c r="P451" i="1"/>
  <c r="P447" i="1"/>
  <c r="P443" i="1"/>
  <c r="P439" i="1"/>
  <c r="P435" i="1"/>
  <c r="P431" i="1"/>
  <c r="P427" i="1"/>
  <c r="P423" i="1"/>
  <c r="P419" i="1"/>
  <c r="P415" i="1"/>
  <c r="P411" i="1"/>
  <c r="P407" i="1"/>
  <c r="P403" i="1"/>
  <c r="P399" i="1"/>
  <c r="P395" i="1"/>
  <c r="P391" i="1"/>
  <c r="P387" i="1"/>
  <c r="P383" i="1"/>
  <c r="P379" i="1"/>
  <c r="P375" i="1"/>
  <c r="P371" i="1"/>
  <c r="P367" i="1"/>
  <c r="P363" i="1"/>
  <c r="P359" i="1"/>
  <c r="P355" i="1"/>
  <c r="P351" i="1"/>
  <c r="P347" i="1"/>
  <c r="P343" i="1"/>
  <c r="P339" i="1"/>
  <c r="P335" i="1"/>
  <c r="P331" i="1"/>
  <c r="P327" i="1"/>
  <c r="P323" i="1"/>
  <c r="P319" i="1"/>
  <c r="P315" i="1"/>
  <c r="P311" i="1"/>
  <c r="P307" i="1"/>
  <c r="P303" i="1"/>
  <c r="P299" i="1"/>
  <c r="P295" i="1"/>
  <c r="P291" i="1"/>
  <c r="P287" i="1"/>
  <c r="P283" i="1"/>
  <c r="P279" i="1"/>
  <c r="P275" i="1"/>
  <c r="P271" i="1"/>
  <c r="P267" i="1"/>
  <c r="P263" i="1"/>
  <c r="P259" i="1"/>
  <c r="P255" i="1"/>
  <c r="P251" i="1"/>
  <c r="P247" i="1"/>
  <c r="P243" i="1"/>
  <c r="P239" i="1"/>
  <c r="P235" i="1"/>
  <c r="P231" i="1"/>
  <c r="P227" i="1"/>
  <c r="P223" i="1"/>
  <c r="P219" i="1"/>
  <c r="P215" i="1"/>
  <c r="P211" i="1"/>
  <c r="P207" i="1"/>
  <c r="P203" i="1"/>
  <c r="P199" i="1"/>
  <c r="P195" i="1"/>
  <c r="P191" i="1"/>
  <c r="P187" i="1"/>
  <c r="P183" i="1"/>
  <c r="P179" i="1"/>
  <c r="P175" i="1"/>
  <c r="P171" i="1"/>
  <c r="P167" i="1"/>
  <c r="P163" i="1"/>
  <c r="P159" i="1"/>
  <c r="P155" i="1"/>
  <c r="P151" i="1"/>
  <c r="P147" i="1"/>
  <c r="P143" i="1"/>
  <c r="P139" i="1"/>
  <c r="P135" i="1"/>
  <c r="P131" i="1"/>
  <c r="P127" i="1"/>
  <c r="P123" i="1"/>
  <c r="P119" i="1"/>
  <c r="P115" i="1"/>
  <c r="P111" i="1"/>
  <c r="P107" i="1"/>
  <c r="P103" i="1"/>
  <c r="P99" i="1"/>
  <c r="P95" i="1"/>
  <c r="P91" i="1"/>
  <c r="P87" i="1"/>
  <c r="P83" i="1"/>
  <c r="P79" i="1"/>
  <c r="P75" i="1"/>
  <c r="P71" i="1"/>
  <c r="P67" i="1"/>
  <c r="P63" i="1"/>
  <c r="P59" i="1"/>
  <c r="P55" i="1"/>
  <c r="P51" i="1"/>
  <c r="P47" i="1"/>
  <c r="P43" i="1"/>
  <c r="P39" i="1"/>
  <c r="P35" i="1"/>
  <c r="P31" i="1"/>
  <c r="P27" i="1"/>
  <c r="P23" i="1"/>
  <c r="P19" i="1"/>
  <c r="P15" i="1"/>
  <c r="P11" i="1"/>
  <c r="P9" i="1"/>
  <c r="P7" i="1"/>
  <c r="P5" i="1"/>
  <c r="P3" i="1"/>
  <c r="P1965" i="1"/>
  <c r="P1961" i="1"/>
  <c r="P1957" i="1"/>
  <c r="P1953" i="1"/>
  <c r="P1925" i="1"/>
  <c r="P1921" i="1"/>
  <c r="P1917" i="1"/>
  <c r="P1881" i="1"/>
  <c r="P1877" i="1"/>
  <c r="P1873" i="1"/>
  <c r="P1869" i="1"/>
  <c r="P1857" i="1"/>
  <c r="P1853" i="1"/>
  <c r="P1849" i="1"/>
  <c r="P1845" i="1"/>
  <c r="P1829" i="1"/>
  <c r="P1825" i="1"/>
  <c r="P1821" i="1"/>
  <c r="P1817" i="1"/>
  <c r="P1813" i="1"/>
  <c r="P1809" i="1"/>
  <c r="P1805" i="1"/>
  <c r="P1801" i="1"/>
  <c r="P1773" i="1"/>
  <c r="P1769" i="1"/>
  <c r="P1765" i="1"/>
  <c r="P1761" i="1"/>
  <c r="P1757" i="1"/>
  <c r="P1753" i="1"/>
  <c r="P1725" i="1"/>
  <c r="P1721" i="1"/>
  <c r="P1717" i="1"/>
  <c r="P1713" i="1"/>
  <c r="P1685" i="1"/>
  <c r="P1681" i="1"/>
  <c r="P1657" i="1"/>
  <c r="P1653" i="1"/>
  <c r="P1649" i="1"/>
  <c r="P1645" i="1"/>
  <c r="P1633" i="1"/>
  <c r="P1629" i="1"/>
  <c r="P1625" i="1"/>
  <c r="P1605" i="1"/>
  <c r="P1601" i="1"/>
  <c r="P1597" i="1"/>
  <c r="P1593" i="1"/>
  <c r="P1589" i="1"/>
  <c r="P1569" i="1"/>
  <c r="P1565" i="1"/>
  <c r="P1561" i="1"/>
  <c r="P1557" i="1"/>
  <c r="P1553" i="1"/>
  <c r="P1549" i="1"/>
  <c r="P1529" i="1"/>
  <c r="P1525" i="1"/>
  <c r="P1521" i="1"/>
  <c r="P1517" i="1"/>
  <c r="P1513" i="1"/>
  <c r="P1485" i="1"/>
  <c r="P1481" i="1"/>
  <c r="P1477" i="1"/>
  <c r="P1469" i="1"/>
  <c r="P1465" i="1"/>
  <c r="P1461" i="1"/>
  <c r="P1437" i="1"/>
  <c r="P1433" i="1"/>
  <c r="P1429" i="1"/>
  <c r="P1425" i="1"/>
  <c r="P1405" i="1"/>
  <c r="P1401" i="1"/>
  <c r="P1397" i="1"/>
  <c r="P1393" i="1"/>
  <c r="P1389" i="1"/>
  <c r="P1353" i="1"/>
  <c r="P1345" i="1"/>
  <c r="P1341" i="1"/>
  <c r="P1337" i="1"/>
  <c r="P1333" i="1"/>
  <c r="P1329" i="1"/>
  <c r="P1325" i="1"/>
  <c r="P1321" i="1"/>
  <c r="P1317" i="1"/>
  <c r="P1313" i="1"/>
  <c r="P1309" i="1"/>
  <c r="P1305" i="1"/>
  <c r="P1293" i="1"/>
  <c r="P1289" i="1"/>
  <c r="P1285" i="1"/>
  <c r="P1281" i="1"/>
  <c r="P1209" i="1"/>
  <c r="P1205" i="1"/>
  <c r="P1201" i="1"/>
  <c r="P1197" i="1"/>
  <c r="P1193" i="1"/>
  <c r="P1189" i="1"/>
  <c r="P1185" i="1"/>
  <c r="P1181" i="1"/>
  <c r="P1129" i="1"/>
  <c r="P1125" i="1"/>
  <c r="P1121" i="1"/>
  <c r="P1117" i="1"/>
  <c r="P1113" i="1"/>
  <c r="P1109" i="1"/>
  <c r="P1105" i="1"/>
  <c r="P1097" i="1"/>
  <c r="P1093" i="1"/>
  <c r="P1089" i="1"/>
  <c r="P1085" i="1"/>
  <c r="P1081" i="1"/>
  <c r="P1077" i="1"/>
  <c r="P1037" i="1"/>
  <c r="P1033" i="1"/>
  <c r="P977" i="1"/>
  <c r="P973" i="1"/>
  <c r="P969" i="1"/>
  <c r="P965" i="1"/>
  <c r="P961" i="1"/>
  <c r="P957" i="1"/>
  <c r="P953" i="1"/>
  <c r="P949" i="1"/>
  <c r="P945" i="1"/>
  <c r="P941" i="1"/>
  <c r="P929" i="1"/>
  <c r="P925" i="1"/>
  <c r="P869" i="1"/>
  <c r="P865" i="1"/>
  <c r="P861" i="1"/>
  <c r="P857" i="1"/>
  <c r="P853" i="1"/>
  <c r="P781" i="1"/>
  <c r="P777" i="1"/>
  <c r="P773" i="1"/>
  <c r="P769" i="1"/>
  <c r="P765" i="1"/>
  <c r="P761" i="1"/>
  <c r="P757" i="1"/>
  <c r="P753" i="1"/>
  <c r="P749" i="1"/>
  <c r="P745" i="1"/>
  <c r="P741" i="1"/>
  <c r="P737" i="1"/>
  <c r="P733" i="1"/>
  <c r="P729" i="1"/>
  <c r="P725" i="1"/>
  <c r="P721" i="1"/>
  <c r="P717" i="1"/>
  <c r="P713" i="1"/>
  <c r="P709" i="1"/>
  <c r="P705" i="1"/>
  <c r="P701" i="1"/>
  <c r="P693" i="1"/>
  <c r="P689" i="1"/>
  <c r="P685" i="1"/>
  <c r="P681" i="1"/>
  <c r="P677" i="1"/>
  <c r="P673" i="1"/>
  <c r="P669" i="1"/>
  <c r="P665" i="1"/>
  <c r="P661" i="1"/>
  <c r="P657" i="1"/>
  <c r="P653" i="1"/>
  <c r="P649" i="1"/>
  <c r="P645" i="1"/>
  <c r="P641" i="1"/>
  <c r="P637" i="1"/>
  <c r="P633" i="1"/>
  <c r="P481" i="1"/>
  <c r="P449" i="1"/>
  <c r="P417" i="1"/>
  <c r="P385" i="1"/>
  <c r="P353" i="1"/>
  <c r="P313" i="1"/>
  <c r="P257" i="1"/>
  <c r="P193" i="1"/>
  <c r="P129" i="1"/>
  <c r="P65" i="1"/>
  <c r="P1981" i="1"/>
  <c r="P1977" i="1"/>
  <c r="P1973" i="1"/>
  <c r="P1969" i="1"/>
  <c r="P1949" i="1"/>
  <c r="P1945" i="1"/>
  <c r="P1941" i="1"/>
  <c r="P1937" i="1"/>
  <c r="P1933" i="1"/>
  <c r="P1929" i="1"/>
  <c r="P1913" i="1"/>
  <c r="P1909" i="1"/>
  <c r="P1905" i="1"/>
  <c r="P1901" i="1"/>
  <c r="P1897" i="1"/>
  <c r="P1893" i="1"/>
  <c r="P1889" i="1"/>
  <c r="P1885" i="1"/>
  <c r="P1865" i="1"/>
  <c r="P1861" i="1"/>
  <c r="P1841" i="1"/>
  <c r="P1837" i="1"/>
  <c r="P1833" i="1"/>
  <c r="P1797" i="1"/>
  <c r="P1793" i="1"/>
  <c r="P1789" i="1"/>
  <c r="P1785" i="1"/>
  <c r="P1781" i="1"/>
  <c r="P1777" i="1"/>
  <c r="P1749" i="1"/>
  <c r="P1745" i="1"/>
  <c r="P1741" i="1"/>
  <c r="P1737" i="1"/>
  <c r="P1733" i="1"/>
  <c r="P1729" i="1"/>
  <c r="P1709" i="1"/>
  <c r="P1705" i="1"/>
  <c r="P1701" i="1"/>
  <c r="P1697" i="1"/>
  <c r="P1693" i="1"/>
  <c r="P1689" i="1"/>
  <c r="P1677" i="1"/>
  <c r="P1673" i="1"/>
  <c r="P1669" i="1"/>
  <c r="P1665" i="1"/>
  <c r="P1661" i="1"/>
  <c r="P1641" i="1"/>
  <c r="P1637" i="1"/>
  <c r="P1621" i="1"/>
  <c r="P1617" i="1"/>
  <c r="P1613" i="1"/>
  <c r="P1609" i="1"/>
  <c r="P1585" i="1"/>
  <c r="P1581" i="1"/>
  <c r="P1577" i="1"/>
  <c r="P1573" i="1"/>
  <c r="P1545" i="1"/>
  <c r="P1541" i="1"/>
  <c r="P1537" i="1"/>
  <c r="P1533" i="1"/>
  <c r="P1509" i="1"/>
  <c r="P1505" i="1"/>
  <c r="P1501" i="1"/>
  <c r="P1497" i="1"/>
  <c r="P1493" i="1"/>
  <c r="P1489" i="1"/>
  <c r="P1473" i="1"/>
  <c r="P1457" i="1"/>
  <c r="P1453" i="1"/>
  <c r="P1449" i="1"/>
  <c r="P1445" i="1"/>
  <c r="P1441" i="1"/>
  <c r="P1421" i="1"/>
  <c r="P1417" i="1"/>
  <c r="P1413" i="1"/>
  <c r="P1409" i="1"/>
  <c r="P1385" i="1"/>
  <c r="P1381" i="1"/>
  <c r="P1377" i="1"/>
  <c r="P1373" i="1"/>
  <c r="P1369" i="1"/>
  <c r="P1365" i="1"/>
  <c r="P1361" i="1"/>
  <c r="P1357" i="1"/>
  <c r="P1349" i="1"/>
  <c r="P1301" i="1"/>
  <c r="P1297" i="1"/>
  <c r="P1277" i="1"/>
  <c r="P1273" i="1"/>
  <c r="P1269" i="1"/>
  <c r="P1265" i="1"/>
  <c r="P1261" i="1"/>
  <c r="P1257" i="1"/>
  <c r="P1253" i="1"/>
  <c r="P1249" i="1"/>
  <c r="P1245" i="1"/>
  <c r="P1241" i="1"/>
  <c r="P1237" i="1"/>
  <c r="P1233" i="1"/>
  <c r="P1229" i="1"/>
  <c r="P1225" i="1"/>
  <c r="P1221" i="1"/>
  <c r="P1217" i="1"/>
  <c r="P1213" i="1"/>
  <c r="P1177" i="1"/>
  <c r="P1173" i="1"/>
  <c r="P1169" i="1"/>
  <c r="P1165" i="1"/>
  <c r="P1161" i="1"/>
  <c r="P1157" i="1"/>
  <c r="P1153" i="1"/>
  <c r="P1149" i="1"/>
  <c r="P1145" i="1"/>
  <c r="P1141" i="1"/>
  <c r="P1137" i="1"/>
  <c r="P1133" i="1"/>
  <c r="P1101" i="1"/>
  <c r="P1073" i="1"/>
  <c r="P1069" i="1"/>
  <c r="P1065" i="1"/>
  <c r="P1061" i="1"/>
  <c r="P1057" i="1"/>
  <c r="P1053" i="1"/>
  <c r="P1049" i="1"/>
  <c r="P1045" i="1"/>
  <c r="P1041" i="1"/>
  <c r="P1029" i="1"/>
  <c r="P1025" i="1"/>
  <c r="P1021" i="1"/>
  <c r="P1017" i="1"/>
  <c r="P1013" i="1"/>
  <c r="P1009" i="1"/>
  <c r="P1005" i="1"/>
  <c r="P1001" i="1"/>
  <c r="P997" i="1"/>
  <c r="P993" i="1"/>
  <c r="P989" i="1"/>
  <c r="P985" i="1"/>
  <c r="P981" i="1"/>
  <c r="P937" i="1"/>
  <c r="P933" i="1"/>
  <c r="P921" i="1"/>
  <c r="P917" i="1"/>
  <c r="P913" i="1"/>
  <c r="P909" i="1"/>
  <c r="P905" i="1"/>
  <c r="P901" i="1"/>
  <c r="P897" i="1"/>
  <c r="P893" i="1"/>
  <c r="P889" i="1"/>
  <c r="P885" i="1"/>
  <c r="P881" i="1"/>
  <c r="P877" i="1"/>
  <c r="P873" i="1"/>
  <c r="P849" i="1"/>
  <c r="P845" i="1"/>
  <c r="P841" i="1"/>
  <c r="P837" i="1"/>
  <c r="P833" i="1"/>
  <c r="P829" i="1"/>
  <c r="P825" i="1"/>
  <c r="P821" i="1"/>
  <c r="P817" i="1"/>
  <c r="P813" i="1"/>
  <c r="P809" i="1"/>
  <c r="P805" i="1"/>
  <c r="P801" i="1"/>
  <c r="P797" i="1"/>
  <c r="P793" i="1"/>
  <c r="P789" i="1"/>
  <c r="P785" i="1"/>
  <c r="P697" i="1"/>
  <c r="P629" i="1"/>
  <c r="P625" i="1"/>
  <c r="P621" i="1"/>
  <c r="P617" i="1"/>
  <c r="P553" i="1"/>
  <c r="P549" i="1"/>
  <c r="P545" i="1"/>
  <c r="P541" i="1"/>
  <c r="P521" i="1"/>
  <c r="P517" i="1"/>
  <c r="P513" i="1"/>
  <c r="P509" i="1"/>
  <c r="P493" i="1"/>
  <c r="P489" i="1"/>
  <c r="P485" i="1"/>
  <c r="P477" i="1"/>
  <c r="P473" i="1"/>
  <c r="P469" i="1"/>
  <c r="P465" i="1"/>
  <c r="P461" i="1"/>
  <c r="P457" i="1"/>
  <c r="P453" i="1"/>
  <c r="P445" i="1"/>
  <c r="P441" i="1"/>
  <c r="P437" i="1"/>
  <c r="P433" i="1"/>
  <c r="P429" i="1"/>
  <c r="P413" i="1"/>
  <c r="P409" i="1"/>
  <c r="P405" i="1"/>
  <c r="P401" i="1"/>
  <c r="P393" i="1"/>
  <c r="P389" i="1"/>
  <c r="P365" i="1"/>
  <c r="P361" i="1"/>
  <c r="P357" i="1"/>
  <c r="P349" i="1"/>
  <c r="P337" i="1"/>
  <c r="P333" i="1"/>
  <c r="P329" i="1"/>
  <c r="P325" i="1"/>
  <c r="P321" i="1"/>
  <c r="P317" i="1"/>
  <c r="P309" i="1"/>
  <c r="P305" i="1"/>
  <c r="P301" i="1"/>
  <c r="P297" i="1"/>
  <c r="P245" i="1"/>
  <c r="P241" i="1"/>
  <c r="P237" i="1"/>
  <c r="P233" i="1"/>
  <c r="P229" i="1"/>
  <c r="P225" i="1"/>
  <c r="P221" i="1"/>
  <c r="P217" i="1"/>
  <c r="P213" i="1"/>
  <c r="P209" i="1"/>
  <c r="P205" i="1"/>
  <c r="P201" i="1"/>
  <c r="P197" i="1"/>
  <c r="P189" i="1"/>
  <c r="P177" i="1"/>
  <c r="P173" i="1"/>
  <c r="P169" i="1"/>
  <c r="P165" i="1"/>
  <c r="P161" i="1"/>
  <c r="P157" i="1"/>
  <c r="P149" i="1"/>
  <c r="P145" i="1"/>
  <c r="P141" i="1"/>
  <c r="P137" i="1"/>
  <c r="P133" i="1"/>
  <c r="P125" i="1"/>
  <c r="P121" i="1"/>
  <c r="P117" i="1"/>
  <c r="P113" i="1"/>
  <c r="P109" i="1"/>
  <c r="P105" i="1"/>
  <c r="P101" i="1"/>
  <c r="P97" i="1"/>
  <c r="P93" i="1"/>
  <c r="P89" i="1"/>
  <c r="P69" i="1"/>
  <c r="P61" i="1"/>
  <c r="P57" i="1"/>
  <c r="P53" i="1"/>
  <c r="P49" i="1"/>
  <c r="P45" i="1"/>
  <c r="P41" i="1"/>
  <c r="P37" i="1"/>
  <c r="P33" i="1"/>
  <c r="P29" i="1"/>
  <c r="P25" i="1"/>
  <c r="P21" i="1"/>
  <c r="P1980" i="1"/>
  <c r="P1940" i="1"/>
  <c r="P1932" i="1"/>
  <c r="P1916" i="1"/>
  <c r="P1908" i="1"/>
  <c r="P1900" i="1"/>
  <c r="P1884" i="1"/>
  <c r="P1876" i="1"/>
  <c r="P1860" i="1"/>
  <c r="P1852" i="1"/>
  <c r="P1836" i="1"/>
  <c r="P1804" i="1"/>
  <c r="P1796" i="1"/>
  <c r="P1788" i="1"/>
  <c r="P1756" i="1"/>
  <c r="P1748" i="1"/>
  <c r="P1740" i="1"/>
  <c r="P1724" i="1"/>
  <c r="P1692" i="1"/>
  <c r="P1668" i="1"/>
  <c r="P1644" i="1"/>
  <c r="P1628" i="1"/>
  <c r="P1620" i="1"/>
  <c r="P1612" i="1"/>
  <c r="P1604" i="1"/>
  <c r="P1596" i="1"/>
  <c r="P1588" i="1"/>
  <c r="P1580" i="1"/>
  <c r="P1572" i="1"/>
  <c r="P1564" i="1"/>
  <c r="P1556" i="1"/>
  <c r="P1548" i="1"/>
  <c r="P1540" i="1"/>
  <c r="P1532" i="1"/>
  <c r="P1524" i="1"/>
  <c r="P1516" i="1"/>
  <c r="P1508" i="1"/>
  <c r="P1500" i="1"/>
  <c r="P1492" i="1"/>
  <c r="P1484" i="1"/>
  <c r="P1476" i="1"/>
  <c r="P1468" i="1"/>
  <c r="P1460" i="1"/>
  <c r="P1452" i="1"/>
  <c r="P1444" i="1"/>
  <c r="P1436" i="1"/>
  <c r="P1428" i="1"/>
  <c r="P1420" i="1"/>
  <c r="P1412" i="1"/>
  <c r="P1404" i="1"/>
  <c r="P1396" i="1"/>
  <c r="P1388" i="1"/>
  <c r="P1380" i="1"/>
  <c r="P1374" i="1"/>
  <c r="P1372" i="1"/>
  <c r="P1370" i="1"/>
  <c r="P1366" i="1"/>
  <c r="P1364" i="1"/>
  <c r="P1362" i="1"/>
  <c r="P1358" i="1"/>
  <c r="P1356" i="1"/>
  <c r="P1354" i="1"/>
  <c r="P1350" i="1"/>
  <c r="P1348" i="1"/>
  <c r="P1346" i="1"/>
  <c r="P1342" i="1"/>
  <c r="P1340" i="1"/>
  <c r="P1338" i="1"/>
  <c r="P1334" i="1"/>
  <c r="P1332" i="1"/>
  <c r="P1330" i="1"/>
  <c r="P1326" i="1"/>
  <c r="P1324" i="1"/>
  <c r="P1322" i="1"/>
  <c r="P1318" i="1"/>
  <c r="P1316" i="1"/>
  <c r="P1314" i="1"/>
  <c r="P1310" i="1"/>
  <c r="P1308" i="1"/>
  <c r="P1306" i="1"/>
  <c r="P1302" i="1"/>
  <c r="P1300" i="1"/>
  <c r="P1298" i="1"/>
  <c r="P1294" i="1"/>
  <c r="P1292" i="1"/>
  <c r="P1290" i="1"/>
  <c r="P1286" i="1"/>
  <c r="P1284" i="1"/>
  <c r="P1282" i="1"/>
  <c r="P1278" i="1"/>
  <c r="P1276" i="1"/>
  <c r="P1274" i="1"/>
  <c r="P1270" i="1"/>
  <c r="P1268" i="1"/>
  <c r="P1266" i="1"/>
  <c r="P1262" i="1"/>
  <c r="P1260" i="1"/>
  <c r="P1258" i="1"/>
  <c r="P1254" i="1"/>
  <c r="P1252" i="1"/>
  <c r="P1250" i="1"/>
  <c r="P1246" i="1"/>
  <c r="P1244" i="1"/>
  <c r="P1242" i="1"/>
  <c r="P1238" i="1"/>
  <c r="P1236" i="1"/>
  <c r="P1234" i="1"/>
  <c r="P1230" i="1"/>
  <c r="P1228" i="1"/>
  <c r="P1226" i="1"/>
  <c r="P1222" i="1"/>
  <c r="P1220" i="1"/>
  <c r="P1218" i="1"/>
  <c r="P1214" i="1"/>
  <c r="P1212" i="1"/>
  <c r="P1210" i="1"/>
  <c r="P1206" i="1"/>
  <c r="P1204" i="1"/>
  <c r="P1202" i="1"/>
  <c r="P1198" i="1"/>
  <c r="P1196" i="1"/>
  <c r="P1194" i="1"/>
  <c r="P1190" i="1"/>
  <c r="P1188" i="1"/>
  <c r="P1186" i="1"/>
  <c r="P1182" i="1"/>
  <c r="P1180" i="1"/>
  <c r="P1178" i="1"/>
  <c r="P1174" i="1"/>
  <c r="P1172" i="1"/>
  <c r="P1170" i="1"/>
  <c r="P1166" i="1"/>
  <c r="P1164" i="1"/>
  <c r="P1162" i="1"/>
  <c r="P1158" i="1"/>
  <c r="P1156" i="1"/>
  <c r="P1154" i="1"/>
  <c r="P1150" i="1"/>
  <c r="P1148" i="1"/>
  <c r="P1146" i="1"/>
  <c r="P1142" i="1"/>
  <c r="P1140" i="1"/>
  <c r="P1138" i="1"/>
  <c r="P1134" i="1"/>
  <c r="P1132" i="1"/>
  <c r="P1130" i="1"/>
  <c r="P1126" i="1"/>
  <c r="P1124" i="1"/>
  <c r="P1122" i="1"/>
  <c r="P1118" i="1"/>
  <c r="P1116" i="1"/>
  <c r="P1114" i="1"/>
  <c r="P1110" i="1"/>
  <c r="P1108" i="1"/>
  <c r="P1106" i="1"/>
  <c r="P1102" i="1"/>
  <c r="P1100" i="1"/>
  <c r="P1098" i="1"/>
  <c r="P1094" i="1"/>
  <c r="P1092" i="1"/>
  <c r="P1090" i="1"/>
  <c r="P1086" i="1"/>
  <c r="P1084" i="1"/>
  <c r="P1082" i="1"/>
  <c r="P1078" i="1"/>
  <c r="P1076" i="1"/>
  <c r="P1074" i="1"/>
  <c r="P1070" i="1"/>
  <c r="P1068" i="1"/>
  <c r="P1066" i="1"/>
  <c r="P1062" i="1"/>
  <c r="P1060" i="1"/>
  <c r="P1058" i="1"/>
  <c r="P1054" i="1"/>
  <c r="P1052" i="1"/>
  <c r="P1050" i="1"/>
  <c r="P1046" i="1"/>
  <c r="P1044" i="1"/>
  <c r="P1042" i="1"/>
  <c r="P1038" i="1"/>
  <c r="P1036" i="1"/>
  <c r="P1034" i="1"/>
  <c r="P1030" i="1"/>
  <c r="P1028" i="1"/>
  <c r="P1026" i="1"/>
  <c r="P1022" i="1"/>
  <c r="P1020" i="1"/>
  <c r="P1018" i="1"/>
  <c r="P1014" i="1"/>
  <c r="P1012" i="1"/>
  <c r="P1010" i="1"/>
  <c r="P1008" i="1"/>
  <c r="P1006" i="1"/>
  <c r="P1002" i="1"/>
  <c r="P1000" i="1"/>
  <c r="P998" i="1"/>
  <c r="P996" i="1"/>
  <c r="P994" i="1"/>
  <c r="P992" i="1"/>
  <c r="P990" i="1"/>
  <c r="P986" i="1"/>
  <c r="P984" i="1"/>
  <c r="P982" i="1"/>
  <c r="P980" i="1"/>
  <c r="P978" i="1"/>
  <c r="P976" i="1"/>
  <c r="P974" i="1"/>
  <c r="P970" i="1"/>
  <c r="P968" i="1"/>
  <c r="P966" i="1"/>
  <c r="P964" i="1"/>
  <c r="P962" i="1"/>
  <c r="P960" i="1"/>
  <c r="P958" i="1"/>
  <c r="P954" i="1"/>
  <c r="P952" i="1"/>
  <c r="P950" i="1"/>
  <c r="P948" i="1"/>
  <c r="P946" i="1"/>
  <c r="P944" i="1"/>
  <c r="P942" i="1"/>
  <c r="P938" i="1"/>
  <c r="P936" i="1"/>
  <c r="P934" i="1"/>
  <c r="P932" i="1"/>
  <c r="P930" i="1"/>
  <c r="P928" i="1"/>
  <c r="P926" i="1"/>
  <c r="P922" i="1"/>
  <c r="P920" i="1"/>
  <c r="P918" i="1"/>
  <c r="P916" i="1"/>
  <c r="P914" i="1"/>
  <c r="P912" i="1"/>
  <c r="P910" i="1"/>
  <c r="P906" i="1"/>
  <c r="P904" i="1"/>
  <c r="P902" i="1"/>
  <c r="P900" i="1"/>
  <c r="P898" i="1"/>
  <c r="P896" i="1"/>
  <c r="P894" i="1"/>
  <c r="P890" i="1"/>
  <c r="P888" i="1"/>
  <c r="P886" i="1"/>
  <c r="P884" i="1"/>
  <c r="P882" i="1"/>
  <c r="P880" i="1"/>
  <c r="P878" i="1"/>
  <c r="P874" i="1"/>
  <c r="P872" i="1"/>
  <c r="P870" i="1"/>
  <c r="P868" i="1"/>
  <c r="P866" i="1"/>
  <c r="P864" i="1"/>
  <c r="P862" i="1"/>
  <c r="P858" i="1"/>
  <c r="P856" i="1"/>
  <c r="P854" i="1"/>
  <c r="P852" i="1"/>
  <c r="P850" i="1"/>
  <c r="P848" i="1"/>
  <c r="P846" i="1"/>
  <c r="P842" i="1"/>
  <c r="P840" i="1"/>
  <c r="P838" i="1"/>
  <c r="P836" i="1"/>
  <c r="P834" i="1"/>
  <c r="P832" i="1"/>
  <c r="P830" i="1"/>
  <c r="P826" i="1"/>
  <c r="P824" i="1"/>
  <c r="P822" i="1"/>
  <c r="P820" i="1"/>
  <c r="P818" i="1"/>
  <c r="P816" i="1"/>
  <c r="P814" i="1"/>
  <c r="P810" i="1"/>
  <c r="P808" i="1"/>
  <c r="P806" i="1"/>
  <c r="P804" i="1"/>
  <c r="P802" i="1"/>
  <c r="P800" i="1"/>
  <c r="P798" i="1"/>
  <c r="P794" i="1"/>
  <c r="P792" i="1"/>
  <c r="P790" i="1"/>
  <c r="P788" i="1"/>
  <c r="P786" i="1"/>
  <c r="P784" i="1"/>
  <c r="P782" i="1"/>
  <c r="P778" i="1"/>
  <c r="P776" i="1"/>
  <c r="P774" i="1"/>
  <c r="P772" i="1"/>
  <c r="P770" i="1"/>
  <c r="P768" i="1"/>
  <c r="P766" i="1"/>
  <c r="P762" i="1"/>
  <c r="P760" i="1"/>
  <c r="P758" i="1"/>
  <c r="P756" i="1"/>
  <c r="P754" i="1"/>
  <c r="P752" i="1"/>
  <c r="P750" i="1"/>
  <c r="P746" i="1"/>
  <c r="P744" i="1"/>
  <c r="P742" i="1"/>
  <c r="P740" i="1"/>
  <c r="P738" i="1"/>
  <c r="P736" i="1"/>
  <c r="P734" i="1"/>
  <c r="P730" i="1"/>
  <c r="P728" i="1"/>
  <c r="P726" i="1"/>
  <c r="P724" i="1"/>
  <c r="P722" i="1"/>
  <c r="P720" i="1"/>
  <c r="P718" i="1"/>
  <c r="P714" i="1"/>
  <c r="P712" i="1"/>
  <c r="P710" i="1"/>
  <c r="P708" i="1"/>
  <c r="P706" i="1"/>
  <c r="P704" i="1"/>
  <c r="P702" i="1"/>
  <c r="P698" i="1"/>
  <c r="P696" i="1"/>
  <c r="P694" i="1"/>
  <c r="P692" i="1"/>
  <c r="P690" i="1"/>
  <c r="P688" i="1"/>
  <c r="P686" i="1"/>
  <c r="P682" i="1"/>
  <c r="P680" i="1"/>
  <c r="P678" i="1"/>
  <c r="P676" i="1"/>
  <c r="P674" i="1"/>
  <c r="P672" i="1"/>
  <c r="P670" i="1"/>
  <c r="P666" i="1"/>
  <c r="P664" i="1"/>
  <c r="P662" i="1"/>
  <c r="P660" i="1"/>
  <c r="P658" i="1"/>
  <c r="P656" i="1"/>
  <c r="P654" i="1"/>
  <c r="P650" i="1"/>
  <c r="P648" i="1"/>
  <c r="P646" i="1"/>
  <c r="P644" i="1"/>
  <c r="P642" i="1"/>
  <c r="P640" i="1"/>
  <c r="P638" i="1"/>
  <c r="P634" i="1"/>
  <c r="P632" i="1"/>
  <c r="P630" i="1"/>
  <c r="P628" i="1"/>
  <c r="P626" i="1"/>
  <c r="P624" i="1"/>
  <c r="P622" i="1"/>
  <c r="P618" i="1"/>
  <c r="P616" i="1"/>
  <c r="P614" i="1"/>
  <c r="P612" i="1"/>
  <c r="P610" i="1"/>
  <c r="P608" i="1"/>
  <c r="P606" i="1"/>
  <c r="P602" i="1"/>
  <c r="P600" i="1"/>
  <c r="P598" i="1"/>
  <c r="P596" i="1"/>
  <c r="P594" i="1"/>
  <c r="P592" i="1"/>
  <c r="P590" i="1"/>
  <c r="P586" i="1"/>
  <c r="P584" i="1"/>
  <c r="P582" i="1"/>
  <c r="P580" i="1"/>
  <c r="P578" i="1"/>
  <c r="P576" i="1"/>
  <c r="P574" i="1"/>
  <c r="P570" i="1"/>
  <c r="P568" i="1"/>
  <c r="P566" i="1"/>
  <c r="P564" i="1"/>
  <c r="P562" i="1"/>
  <c r="P560" i="1"/>
  <c r="P558" i="1"/>
  <c r="P554" i="1"/>
  <c r="P552" i="1"/>
  <c r="P550" i="1"/>
  <c r="P548" i="1"/>
  <c r="P546" i="1"/>
  <c r="P544" i="1"/>
  <c r="P542" i="1"/>
  <c r="P538" i="1"/>
  <c r="P536" i="1"/>
  <c r="P534" i="1"/>
  <c r="P532" i="1"/>
  <c r="P530" i="1"/>
  <c r="P528" i="1"/>
  <c r="P526" i="1"/>
  <c r="P522" i="1"/>
  <c r="P520" i="1"/>
  <c r="P518" i="1"/>
  <c r="P516" i="1"/>
  <c r="P514" i="1"/>
  <c r="P512" i="1"/>
  <c r="P510" i="1"/>
  <c r="P506" i="1"/>
  <c r="P504" i="1"/>
  <c r="P502" i="1"/>
  <c r="P500" i="1"/>
  <c r="P498" i="1"/>
  <c r="P496" i="1"/>
  <c r="P494" i="1"/>
  <c r="P492" i="1"/>
  <c r="P490" i="1"/>
  <c r="P488" i="1"/>
  <c r="P486" i="1"/>
  <c r="P484" i="1"/>
  <c r="P482" i="1"/>
  <c r="P478" i="1"/>
  <c r="P476" i="1"/>
  <c r="P474" i="1"/>
  <c r="P472" i="1"/>
  <c r="P470" i="1"/>
  <c r="P468" i="1"/>
  <c r="P466" i="1"/>
  <c r="P464" i="1"/>
  <c r="P462" i="1"/>
  <c r="P460" i="1"/>
  <c r="P458" i="1"/>
  <c r="P456" i="1"/>
  <c r="P454" i="1"/>
  <c r="P452" i="1"/>
  <c r="P450" i="1"/>
  <c r="P446" i="1"/>
  <c r="P444" i="1"/>
  <c r="P442" i="1"/>
  <c r="P440" i="1"/>
  <c r="P438" i="1"/>
  <c r="P436" i="1"/>
  <c r="P434" i="1"/>
  <c r="P432" i="1"/>
  <c r="P430" i="1"/>
  <c r="P428" i="1"/>
  <c r="P426" i="1"/>
  <c r="P424" i="1"/>
  <c r="P422" i="1"/>
  <c r="P420" i="1"/>
  <c r="P418" i="1"/>
  <c r="P414" i="1"/>
  <c r="P412" i="1"/>
  <c r="P400" i="1"/>
  <c r="P368" i="1"/>
  <c r="P336" i="1"/>
  <c r="P288" i="1"/>
  <c r="P224" i="1"/>
  <c r="P160" i="1"/>
  <c r="P96" i="1"/>
  <c r="P32" i="1"/>
  <c r="P613" i="1"/>
  <c r="P609" i="1"/>
  <c r="P605" i="1"/>
  <c r="P601" i="1"/>
  <c r="P597" i="1"/>
  <c r="P593" i="1"/>
  <c r="P589" i="1"/>
  <c r="P585" i="1"/>
  <c r="P581" i="1"/>
  <c r="P577" i="1"/>
  <c r="P573" i="1"/>
  <c r="P569" i="1"/>
  <c r="P565" i="1"/>
  <c r="P561" i="1"/>
  <c r="P557" i="1"/>
  <c r="P537" i="1"/>
  <c r="P533" i="1"/>
  <c r="P529" i="1"/>
  <c r="P525" i="1"/>
  <c r="P505" i="1"/>
  <c r="P501" i="1"/>
  <c r="P497" i="1"/>
  <c r="P425" i="1"/>
  <c r="P421" i="1"/>
  <c r="P397" i="1"/>
  <c r="P381" i="1"/>
  <c r="P377" i="1"/>
  <c r="P373" i="1"/>
  <c r="P369" i="1"/>
  <c r="P345" i="1"/>
  <c r="P341" i="1"/>
  <c r="P293" i="1"/>
  <c r="P289" i="1"/>
  <c r="P285" i="1"/>
  <c r="P281" i="1"/>
  <c r="P277" i="1"/>
  <c r="P273" i="1"/>
  <c r="P269" i="1"/>
  <c r="P265" i="1"/>
  <c r="P261" i="1"/>
  <c r="P253" i="1"/>
  <c r="P249" i="1"/>
  <c r="P185" i="1"/>
  <c r="P181" i="1"/>
  <c r="P153" i="1"/>
  <c r="P85" i="1"/>
  <c r="P81" i="1"/>
  <c r="P77" i="1"/>
  <c r="P73" i="1"/>
  <c r="P17" i="1"/>
  <c r="P13" i="1"/>
  <c r="P1972" i="1"/>
  <c r="P1964" i="1"/>
  <c r="P1956" i="1"/>
  <c r="P1948" i="1"/>
  <c r="P1924" i="1"/>
  <c r="P1892" i="1"/>
  <c r="P1868" i="1"/>
  <c r="P1844" i="1"/>
  <c r="P1828" i="1"/>
  <c r="P1820" i="1"/>
  <c r="P1812" i="1"/>
  <c r="P1780" i="1"/>
  <c r="P1772" i="1"/>
  <c r="P1764" i="1"/>
  <c r="P1732" i="1"/>
  <c r="P1716" i="1"/>
  <c r="P1708" i="1"/>
  <c r="P1700" i="1"/>
  <c r="P1684" i="1"/>
  <c r="P1676" i="1"/>
  <c r="P1660" i="1"/>
  <c r="P1652" i="1"/>
  <c r="P1636" i="1"/>
  <c r="P2" i="1"/>
  <c r="P410" i="1"/>
  <c r="P408" i="1"/>
  <c r="P406" i="1"/>
  <c r="P404" i="1"/>
  <c r="P402" i="1"/>
  <c r="P398" i="1"/>
  <c r="P396" i="1"/>
  <c r="P394" i="1"/>
  <c r="P392" i="1"/>
  <c r="P390" i="1"/>
  <c r="P388" i="1"/>
  <c r="P386" i="1"/>
  <c r="P382" i="1"/>
  <c r="P380" i="1"/>
  <c r="P378" i="1"/>
  <c r="P376" i="1"/>
  <c r="P374" i="1"/>
  <c r="P372" i="1"/>
  <c r="P370" i="1"/>
  <c r="P366" i="1"/>
  <c r="P364" i="1"/>
  <c r="P362" i="1"/>
  <c r="P360" i="1"/>
  <c r="P358" i="1"/>
  <c r="P356" i="1"/>
  <c r="P354" i="1"/>
  <c r="P350" i="1"/>
  <c r="P348" i="1"/>
  <c r="P346" i="1"/>
  <c r="P344" i="1"/>
  <c r="P342" i="1"/>
  <c r="P340" i="1"/>
  <c r="P338" i="1"/>
  <c r="P334" i="1"/>
  <c r="P332" i="1"/>
  <c r="P330" i="1"/>
  <c r="P328" i="1"/>
  <c r="P326" i="1"/>
  <c r="P324" i="1"/>
  <c r="P322" i="1"/>
  <c r="P320" i="1"/>
  <c r="P318" i="1"/>
  <c r="P316" i="1"/>
  <c r="P314" i="1"/>
  <c r="P312" i="1"/>
  <c r="P310" i="1"/>
  <c r="P308" i="1"/>
  <c r="P306" i="1"/>
  <c r="P304" i="1"/>
  <c r="P302" i="1"/>
  <c r="P300" i="1"/>
  <c r="P298" i="1"/>
  <c r="P296" i="1"/>
  <c r="P294" i="1"/>
  <c r="P292" i="1"/>
  <c r="P290" i="1"/>
  <c r="P286" i="1"/>
  <c r="P284" i="1"/>
  <c r="P282" i="1"/>
  <c r="P280" i="1"/>
  <c r="P278" i="1"/>
  <c r="P276" i="1"/>
  <c r="P274" i="1"/>
  <c r="P272" i="1"/>
  <c r="P270" i="1"/>
  <c r="P268" i="1"/>
  <c r="P266" i="1"/>
  <c r="P264" i="1"/>
  <c r="P262" i="1"/>
  <c r="P260" i="1"/>
  <c r="P258" i="1"/>
  <c r="P254" i="1"/>
  <c r="P252" i="1"/>
  <c r="P250" i="1"/>
  <c r="P248" i="1"/>
  <c r="P246" i="1"/>
  <c r="P244" i="1"/>
  <c r="P242" i="1"/>
  <c r="P240" i="1"/>
  <c r="P238" i="1"/>
  <c r="P236" i="1"/>
  <c r="P234" i="1"/>
  <c r="P232" i="1"/>
  <c r="P230" i="1"/>
  <c r="P228" i="1"/>
  <c r="P226" i="1"/>
  <c r="P222" i="1"/>
  <c r="P220" i="1"/>
  <c r="P218" i="1"/>
  <c r="P216" i="1"/>
  <c r="P214" i="1"/>
  <c r="P212" i="1"/>
  <c r="P210" i="1"/>
  <c r="P208" i="1"/>
  <c r="P206" i="1"/>
  <c r="P204" i="1"/>
  <c r="P202" i="1"/>
  <c r="P200" i="1"/>
  <c r="P198" i="1"/>
  <c r="P196" i="1"/>
  <c r="P194" i="1"/>
  <c r="P190" i="1"/>
  <c r="P188" i="1"/>
  <c r="P186" i="1"/>
  <c r="P184" i="1"/>
  <c r="P182" i="1"/>
  <c r="P180" i="1"/>
  <c r="P178" i="1"/>
  <c r="P176" i="1"/>
  <c r="P174" i="1"/>
  <c r="P172" i="1"/>
  <c r="P170" i="1"/>
  <c r="P168" i="1"/>
  <c r="P166" i="1"/>
  <c r="P164" i="1"/>
  <c r="P162" i="1"/>
  <c r="P158" i="1"/>
  <c r="P156" i="1"/>
  <c r="P154" i="1"/>
  <c r="P152" i="1"/>
  <c r="P150" i="1"/>
  <c r="P148" i="1"/>
  <c r="P146" i="1"/>
  <c r="P144" i="1"/>
  <c r="P142" i="1"/>
  <c r="P140" i="1"/>
  <c r="P138" i="1"/>
  <c r="P136" i="1"/>
  <c r="P134" i="1"/>
  <c r="P132" i="1"/>
  <c r="P130" i="1"/>
  <c r="P126" i="1"/>
  <c r="P124" i="1"/>
  <c r="P122" i="1"/>
  <c r="P120" i="1"/>
  <c r="P118" i="1"/>
  <c r="P116" i="1"/>
  <c r="P114" i="1"/>
  <c r="P112" i="1"/>
  <c r="P110" i="1"/>
  <c r="P108" i="1"/>
  <c r="P106" i="1"/>
  <c r="P104" i="1"/>
  <c r="P102" i="1"/>
  <c r="P100" i="1"/>
  <c r="P98" i="1"/>
  <c r="P94" i="1"/>
  <c r="P92" i="1"/>
  <c r="P90" i="1"/>
  <c r="P88" i="1"/>
  <c r="P86" i="1"/>
  <c r="P84" i="1"/>
  <c r="P82" i="1"/>
  <c r="P80" i="1"/>
  <c r="P78" i="1"/>
  <c r="P76" i="1"/>
  <c r="P74" i="1"/>
  <c r="P72" i="1"/>
  <c r="P70" i="1"/>
  <c r="P68" i="1"/>
  <c r="P66" i="1"/>
  <c r="P62" i="1"/>
  <c r="P60" i="1"/>
  <c r="P58" i="1"/>
  <c r="P56" i="1"/>
  <c r="P54" i="1"/>
  <c r="P52" i="1"/>
  <c r="P50" i="1"/>
  <c r="P48" i="1"/>
  <c r="P46" i="1"/>
  <c r="P44" i="1"/>
  <c r="P42" i="1"/>
  <c r="P40" i="1"/>
  <c r="P38" i="1"/>
  <c r="P36" i="1"/>
  <c r="P34" i="1"/>
  <c r="P16" i="1"/>
  <c r="P30" i="1"/>
  <c r="P28" i="1"/>
  <c r="P26" i="1"/>
  <c r="P24" i="1"/>
  <c r="P22" i="1"/>
  <c r="P20" i="1"/>
  <c r="P18" i="1"/>
  <c r="P14" i="1"/>
  <c r="P12" i="1"/>
  <c r="P10" i="1"/>
  <c r="P8" i="1"/>
  <c r="P6" i="1"/>
  <c r="P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<sst xmlns="http://schemas.openxmlformats.org/spreadsheetml/2006/main" count="15238" uniqueCount="3126">
  <si>
    <t>GreenGrocer Plaza</t>
  </si>
  <si>
    <t>Produce</t>
  </si>
  <si>
    <t>Pasta</t>
  </si>
  <si>
    <t>ValuePlus Market</t>
  </si>
  <si>
    <t>Dairy</t>
  </si>
  <si>
    <t>Cheese</t>
  </si>
  <si>
    <t>Bakery</t>
  </si>
  <si>
    <t>Onions</t>
  </si>
  <si>
    <t>SuperSave Central</t>
  </si>
  <si>
    <t>Snacks &amp; Candy</t>
  </si>
  <si>
    <t>Cereal</t>
  </si>
  <si>
    <t>Canned Goods</t>
  </si>
  <si>
    <t>Orange Juice</t>
  </si>
  <si>
    <t>Corner Grocery</t>
  </si>
  <si>
    <t>Ground Beef</t>
  </si>
  <si>
    <t>City Fresh Store</t>
  </si>
  <si>
    <t>Health &amp; Wellness</t>
  </si>
  <si>
    <t>Household Items</t>
  </si>
  <si>
    <t>Apples</t>
  </si>
  <si>
    <t>QuickStop Market</t>
  </si>
  <si>
    <t>FreshMart Downtown</t>
  </si>
  <si>
    <t>Tomatoes</t>
  </si>
  <si>
    <t>Salmon</t>
  </si>
  <si>
    <t>Meat &amp; Seafood</t>
  </si>
  <si>
    <t>Frozen Foods</t>
  </si>
  <si>
    <t>MegaMart Westside</t>
  </si>
  <si>
    <t>Rice</t>
  </si>
  <si>
    <t>Personal Care</t>
  </si>
  <si>
    <t>Bananas</t>
  </si>
  <si>
    <t>Milk</t>
  </si>
  <si>
    <t>Eggs</t>
  </si>
  <si>
    <t>FamilyFood Express</t>
  </si>
  <si>
    <t>Bread</t>
  </si>
  <si>
    <t>Yogurt</t>
  </si>
  <si>
    <t>Beverages</t>
  </si>
  <si>
    <t>16:34:19</t>
  </si>
  <si>
    <t>Carrots</t>
  </si>
  <si>
    <t>Potatoes</t>
  </si>
  <si>
    <t>Chicken Breast</t>
  </si>
  <si>
    <t>00:26:33</t>
  </si>
  <si>
    <t>10:19:54</t>
  </si>
  <si>
    <t>07:32:00</t>
  </si>
  <si>
    <t>02:56:24</t>
  </si>
  <si>
    <t>09:46:53</t>
  </si>
  <si>
    <t>04:01:08</t>
  </si>
  <si>
    <t>14:41:13</t>
  </si>
  <si>
    <t>09:36:25</t>
  </si>
  <si>
    <t>07:11:23</t>
  </si>
  <si>
    <t>12:28:10</t>
  </si>
  <si>
    <t>11:07:25</t>
  </si>
  <si>
    <t>15:17:32</t>
  </si>
  <si>
    <t>18:03:37</t>
  </si>
  <si>
    <t>14:49:09</t>
  </si>
  <si>
    <t>22:24:30</t>
  </si>
  <si>
    <t>15:46:20</t>
  </si>
  <si>
    <t>02:51:34</t>
  </si>
  <si>
    <t>17:06:43</t>
  </si>
  <si>
    <t>13:08:54</t>
  </si>
  <si>
    <t>07:34:15</t>
  </si>
  <si>
    <t>19:40:47</t>
  </si>
  <si>
    <t>09:42:30</t>
  </si>
  <si>
    <t>13:19:00</t>
  </si>
  <si>
    <t>23:19:12</t>
  </si>
  <si>
    <t>21:13:43</t>
  </si>
  <si>
    <t>19:20:53</t>
  </si>
  <si>
    <t>15:22:33</t>
  </si>
  <si>
    <t>20:05:02</t>
  </si>
  <si>
    <t>09:57:58</t>
  </si>
  <si>
    <t>00:39:21</t>
  </si>
  <si>
    <t>08:51:13</t>
  </si>
  <si>
    <t>11:11:58</t>
  </si>
  <si>
    <t>21:12:01</t>
  </si>
  <si>
    <t>09:52:00</t>
  </si>
  <si>
    <t>19:47:22</t>
  </si>
  <si>
    <t>15:56:58</t>
  </si>
  <si>
    <t>22:18:11</t>
  </si>
  <si>
    <t>02:13:08</t>
  </si>
  <si>
    <t>06:18:23</t>
  </si>
  <si>
    <t>14:58:55</t>
  </si>
  <si>
    <t>21:35:35</t>
  </si>
  <si>
    <t>13:40:07</t>
  </si>
  <si>
    <t>15:39:40</t>
  </si>
  <si>
    <t>02:46:12</t>
  </si>
  <si>
    <t>11:29:27</t>
  </si>
  <si>
    <t>00:24:29</t>
  </si>
  <si>
    <t>01:45:03</t>
  </si>
  <si>
    <t>04:07:51</t>
  </si>
  <si>
    <t>15:18:51</t>
  </si>
  <si>
    <t>19:40:32</t>
  </si>
  <si>
    <t>12:56:19</t>
  </si>
  <si>
    <t>04:04:28</t>
  </si>
  <si>
    <t>14:40:15</t>
  </si>
  <si>
    <t>06:49:17</t>
  </si>
  <si>
    <t>09:08:23</t>
  </si>
  <si>
    <t>07:53:31</t>
  </si>
  <si>
    <t>19:35:16</t>
  </si>
  <si>
    <t>09:03:38</t>
  </si>
  <si>
    <t>01:30:19</t>
  </si>
  <si>
    <t>21:24:01</t>
  </si>
  <si>
    <t>21:51:57</t>
  </si>
  <si>
    <t>00:48:06</t>
  </si>
  <si>
    <t>03:30:49</t>
  </si>
  <si>
    <t>06:37:50</t>
  </si>
  <si>
    <t>18:34:46</t>
  </si>
  <si>
    <t>15:21:11</t>
  </si>
  <si>
    <t>14:04:48</t>
  </si>
  <si>
    <t>00:56:24</t>
  </si>
  <si>
    <t>23:50:36</t>
  </si>
  <si>
    <t>11:13:18</t>
  </si>
  <si>
    <t>21:33:43</t>
  </si>
  <si>
    <t>06:34:17</t>
  </si>
  <si>
    <t>04:15:37</t>
  </si>
  <si>
    <t>08:28:15</t>
  </si>
  <si>
    <t>06:35:34</t>
  </si>
  <si>
    <t>10:55:09</t>
  </si>
  <si>
    <t>00:28:35</t>
  </si>
  <si>
    <t>23:31:13</t>
  </si>
  <si>
    <t>19:49:46</t>
  </si>
  <si>
    <t>23:17:32</t>
  </si>
  <si>
    <t>15:19:51</t>
  </si>
  <si>
    <t>02:21:11</t>
  </si>
  <si>
    <t>07:26:22</t>
  </si>
  <si>
    <t>10:14:02</t>
  </si>
  <si>
    <t>15:04:25</t>
  </si>
  <si>
    <t>23:37:28</t>
  </si>
  <si>
    <t>04:07:42</t>
  </si>
  <si>
    <t>18:50:31</t>
  </si>
  <si>
    <t>02:44:10</t>
  </si>
  <si>
    <t>22:09:48</t>
  </si>
  <si>
    <t>21:01:51</t>
  </si>
  <si>
    <t>23:35:43</t>
  </si>
  <si>
    <t>17:57:58</t>
  </si>
  <si>
    <t>21:20:46</t>
  </si>
  <si>
    <t>15:30:54</t>
  </si>
  <si>
    <t>00:31:54</t>
  </si>
  <si>
    <t>06:10:46</t>
  </si>
  <si>
    <t>04:58:02</t>
  </si>
  <si>
    <t>02:08:20</t>
  </si>
  <si>
    <t>11:57:26</t>
  </si>
  <si>
    <t>05:55:30</t>
  </si>
  <si>
    <t>17:53:26</t>
  </si>
  <si>
    <t>01:25:00</t>
  </si>
  <si>
    <t>14:06:01</t>
  </si>
  <si>
    <t>11:20:00</t>
  </si>
  <si>
    <t>07:55:12</t>
  </si>
  <si>
    <t>14:27:26</t>
  </si>
  <si>
    <t>06:50:15</t>
  </si>
  <si>
    <t>04:05:56</t>
  </si>
  <si>
    <t>05:16:15</t>
  </si>
  <si>
    <t>20:32:52</t>
  </si>
  <si>
    <t>23:27:34</t>
  </si>
  <si>
    <t>08:30:31</t>
  </si>
  <si>
    <t>14:18:19</t>
  </si>
  <si>
    <t>21:41:40</t>
  </si>
  <si>
    <t>14:39:19</t>
  </si>
  <si>
    <t>10:34:16</t>
  </si>
  <si>
    <t>20:50:04</t>
  </si>
  <si>
    <t>13:18:56</t>
  </si>
  <si>
    <t>13:48:40</t>
  </si>
  <si>
    <t>19:57:18</t>
  </si>
  <si>
    <t>19:58:41</t>
  </si>
  <si>
    <t>03:35:27</t>
  </si>
  <si>
    <t>00:36:58</t>
  </si>
  <si>
    <t>14:52:56</t>
  </si>
  <si>
    <t>22:21:25</t>
  </si>
  <si>
    <t>18:16:41</t>
  </si>
  <si>
    <t>00:05:01</t>
  </si>
  <si>
    <t>21:23:03</t>
  </si>
  <si>
    <t>10:49:31</t>
  </si>
  <si>
    <t>01:35:10</t>
  </si>
  <si>
    <t>14:51:27</t>
  </si>
  <si>
    <t>08:27:49</t>
  </si>
  <si>
    <t>17:40:54</t>
  </si>
  <si>
    <t>11:53:42</t>
  </si>
  <si>
    <t>00:13:57</t>
  </si>
  <si>
    <t>08:13:26</t>
  </si>
  <si>
    <t>13:28:12</t>
  </si>
  <si>
    <t>23:29:55</t>
  </si>
  <si>
    <t>01:17:06</t>
  </si>
  <si>
    <t>19:17:21</t>
  </si>
  <si>
    <t>11:37:37</t>
  </si>
  <si>
    <t>22:44:25</t>
  </si>
  <si>
    <t>18:07:23</t>
  </si>
  <si>
    <t>12:57:02</t>
  </si>
  <si>
    <t>15:29:18</t>
  </si>
  <si>
    <t>01:50:05</t>
  </si>
  <si>
    <t>01:35:01</t>
  </si>
  <si>
    <t>18:57:25</t>
  </si>
  <si>
    <t>05:57:32</t>
  </si>
  <si>
    <t>12:33:42</t>
  </si>
  <si>
    <t>10:27:52</t>
  </si>
  <si>
    <t>21:28:48</t>
  </si>
  <si>
    <t>23:06:06</t>
  </si>
  <si>
    <t>11:49:04</t>
  </si>
  <si>
    <t>10:05:15</t>
  </si>
  <si>
    <t>21:44:09</t>
  </si>
  <si>
    <t>20:38:49</t>
  </si>
  <si>
    <t>08:40:11</t>
  </si>
  <si>
    <t>12:28:12</t>
  </si>
  <si>
    <t>19:16:43</t>
  </si>
  <si>
    <t>13:00:51</t>
  </si>
  <si>
    <t>01:12:35</t>
  </si>
  <si>
    <t>01:14:47</t>
  </si>
  <si>
    <t>16:49:16</t>
  </si>
  <si>
    <t>01:13:24</t>
  </si>
  <si>
    <t>11:43:52</t>
  </si>
  <si>
    <t>08:15:17</t>
  </si>
  <si>
    <t>02:47:04</t>
  </si>
  <si>
    <t>19:35:22</t>
  </si>
  <si>
    <t>20:06:53</t>
  </si>
  <si>
    <t>03:43:25</t>
  </si>
  <si>
    <t>02:27:01</t>
  </si>
  <si>
    <t>18:26:02</t>
  </si>
  <si>
    <t>09:42:06</t>
  </si>
  <si>
    <t>04:43:38</t>
  </si>
  <si>
    <t>19:16:05</t>
  </si>
  <si>
    <t>08:34:19</t>
  </si>
  <si>
    <t>14:49:38</t>
  </si>
  <si>
    <t>12:01:41</t>
  </si>
  <si>
    <t>09:45:28</t>
  </si>
  <si>
    <t>09:29:24</t>
  </si>
  <si>
    <t>08:50:31</t>
  </si>
  <si>
    <t>14:47:23</t>
  </si>
  <si>
    <t>00:37:41</t>
  </si>
  <si>
    <t>16:58:57</t>
  </si>
  <si>
    <t>17:18:32</t>
  </si>
  <si>
    <t>15:27:50</t>
  </si>
  <si>
    <t>21:49:31</t>
  </si>
  <si>
    <t>03:32:13</t>
  </si>
  <si>
    <t>22:57:41</t>
  </si>
  <si>
    <t>19:09:26</t>
  </si>
  <si>
    <t>05:03:24</t>
  </si>
  <si>
    <t>10:37:04</t>
  </si>
  <si>
    <t>08:40:39</t>
  </si>
  <si>
    <t>14:00:05</t>
  </si>
  <si>
    <t>18:54:21</t>
  </si>
  <si>
    <t>00:36:38</t>
  </si>
  <si>
    <t>05:05:11</t>
  </si>
  <si>
    <t>08:58:36</t>
  </si>
  <si>
    <t>08:21:49</t>
  </si>
  <si>
    <t>18:21:02</t>
  </si>
  <si>
    <t>02:45:42</t>
  </si>
  <si>
    <t>16:55:35</t>
  </si>
  <si>
    <t>21:29:29</t>
  </si>
  <si>
    <t>07:04:30</t>
  </si>
  <si>
    <t>14:10:09</t>
  </si>
  <si>
    <t>18:07:33</t>
  </si>
  <si>
    <t>20:13:54</t>
  </si>
  <si>
    <t>14:52:04</t>
  </si>
  <si>
    <t>08:29:00</t>
  </si>
  <si>
    <t>01:31:56</t>
  </si>
  <si>
    <t>23:32:04</t>
  </si>
  <si>
    <t>21:15:36</t>
  </si>
  <si>
    <t>00:08:50</t>
  </si>
  <si>
    <t>18:51:52</t>
  </si>
  <si>
    <t>21:42:33</t>
  </si>
  <si>
    <t>03:04:20</t>
  </si>
  <si>
    <t>11:24:17</t>
  </si>
  <si>
    <t>20:32:50</t>
  </si>
  <si>
    <t>17:40:00</t>
  </si>
  <si>
    <t>18:44:21</t>
  </si>
  <si>
    <t>20:40:38</t>
  </si>
  <si>
    <t>10:40:31</t>
  </si>
  <si>
    <t>05:12:14</t>
  </si>
  <si>
    <t>04:51:30</t>
  </si>
  <si>
    <t>19:59:34</t>
  </si>
  <si>
    <t>17:34:57</t>
  </si>
  <si>
    <t>20:35:45</t>
  </si>
  <si>
    <t>20:33:01</t>
  </si>
  <si>
    <t>19:55:22</t>
  </si>
  <si>
    <t>16:50:01</t>
  </si>
  <si>
    <t>17:06:19</t>
  </si>
  <si>
    <t>05:27:19</t>
  </si>
  <si>
    <t>05:18:49</t>
  </si>
  <si>
    <t>20:09:31</t>
  </si>
  <si>
    <t>00:51:04</t>
  </si>
  <si>
    <t>21:18:11</t>
  </si>
  <si>
    <t>12:28:59</t>
  </si>
  <si>
    <t>12:20:03</t>
  </si>
  <si>
    <t>19:58:54</t>
  </si>
  <si>
    <t>17:24:54</t>
  </si>
  <si>
    <t>07:07:49</t>
  </si>
  <si>
    <t>17:42:45</t>
  </si>
  <si>
    <t>14:58:00</t>
  </si>
  <si>
    <t>14:52:30</t>
  </si>
  <si>
    <t>09:26:58</t>
  </si>
  <si>
    <t>08:58:16</t>
  </si>
  <si>
    <t>18:37:30</t>
  </si>
  <si>
    <t>03:52:12</t>
  </si>
  <si>
    <t>18:25:11</t>
  </si>
  <si>
    <t>23:10:06</t>
  </si>
  <si>
    <t>16:47:02</t>
  </si>
  <si>
    <t>23:51:28</t>
  </si>
  <si>
    <t>11:44:50</t>
  </si>
  <si>
    <t>05:32:06</t>
  </si>
  <si>
    <t>15:06:19</t>
  </si>
  <si>
    <t>09:42:58</t>
  </si>
  <si>
    <t>21:31:57</t>
  </si>
  <si>
    <t>19:54:02</t>
  </si>
  <si>
    <t>11:35:16</t>
  </si>
  <si>
    <t>13:43:47</t>
  </si>
  <si>
    <t>21:27:42</t>
  </si>
  <si>
    <t>17:20:28</t>
  </si>
  <si>
    <t>17:03:27</t>
  </si>
  <si>
    <t>17:23:04</t>
  </si>
  <si>
    <t>15:03:39</t>
  </si>
  <si>
    <t>12:54:54</t>
  </si>
  <si>
    <t>22:01:45</t>
  </si>
  <si>
    <t>01:40:47</t>
  </si>
  <si>
    <t>01:48:02</t>
  </si>
  <si>
    <t>12:30:07</t>
  </si>
  <si>
    <t>11:49:55</t>
  </si>
  <si>
    <t>03:39:01</t>
  </si>
  <si>
    <t>10:36:12</t>
  </si>
  <si>
    <t>20:03:17</t>
  </si>
  <si>
    <t>16:07:24</t>
  </si>
  <si>
    <t>00:50:40</t>
  </si>
  <si>
    <t>18:00:43</t>
  </si>
  <si>
    <t>17:52:29</t>
  </si>
  <si>
    <t>09:22:36</t>
  </si>
  <si>
    <t>18:50:03</t>
  </si>
  <si>
    <t>22:26:04</t>
  </si>
  <si>
    <t>13:48:51</t>
  </si>
  <si>
    <t>06:29:33</t>
  </si>
  <si>
    <t>11:52:06</t>
  </si>
  <si>
    <t>23:09:46</t>
  </si>
  <si>
    <t>12:42:47</t>
  </si>
  <si>
    <t>16:15:46</t>
  </si>
  <si>
    <t>04:44:20</t>
  </si>
  <si>
    <t>03:21:09</t>
  </si>
  <si>
    <t>06:18:48</t>
  </si>
  <si>
    <t>17:58:55</t>
  </si>
  <si>
    <t>20:07:51</t>
  </si>
  <si>
    <t>12:07:51</t>
  </si>
  <si>
    <t>07:14:48</t>
  </si>
  <si>
    <t>18:01:26</t>
  </si>
  <si>
    <t>04:56:59</t>
  </si>
  <si>
    <t>04:56:16</t>
  </si>
  <si>
    <t>05:40:36</t>
  </si>
  <si>
    <t>05:29:54</t>
  </si>
  <si>
    <t>16:04:44</t>
  </si>
  <si>
    <t>06:17:18</t>
  </si>
  <si>
    <t>07:53:29</t>
  </si>
  <si>
    <t>02:36:01</t>
  </si>
  <si>
    <t>07:48:44</t>
  </si>
  <si>
    <t>14:30:03</t>
  </si>
  <si>
    <t>06:48:14</t>
  </si>
  <si>
    <t>00:51:42</t>
  </si>
  <si>
    <t>20:23:26</t>
  </si>
  <si>
    <t>13:38:12</t>
  </si>
  <si>
    <t>08:00:55</t>
  </si>
  <si>
    <t>16:13:32</t>
  </si>
  <si>
    <t>23:47:41</t>
  </si>
  <si>
    <t>19:27:38</t>
  </si>
  <si>
    <t>22:18:03</t>
  </si>
  <si>
    <t>21:06:56</t>
  </si>
  <si>
    <t>12:21:27</t>
  </si>
  <si>
    <t>19:01:46</t>
  </si>
  <si>
    <t>01:48:29</t>
  </si>
  <si>
    <t>05:52:58</t>
  </si>
  <si>
    <t>10:22:26</t>
  </si>
  <si>
    <t>18:13:58</t>
  </si>
  <si>
    <t>10:37:21</t>
  </si>
  <si>
    <t>06:45:00</t>
  </si>
  <si>
    <t>05:56:48</t>
  </si>
  <si>
    <t>23:55:34</t>
  </si>
  <si>
    <t>17:49:42</t>
  </si>
  <si>
    <t>09:51:58</t>
  </si>
  <si>
    <t>11:14:19</t>
  </si>
  <si>
    <t>21:56:58</t>
  </si>
  <si>
    <t>20:16:19</t>
  </si>
  <si>
    <t>00:30:30</t>
  </si>
  <si>
    <t>00:33:58</t>
  </si>
  <si>
    <t>15:35:41</t>
  </si>
  <si>
    <t>20:14:44</t>
  </si>
  <si>
    <t>08:55:16</t>
  </si>
  <si>
    <t>08:47:40</t>
  </si>
  <si>
    <t>23:46:42</t>
  </si>
  <si>
    <t>15:50:43</t>
  </si>
  <si>
    <t>13:50:33</t>
  </si>
  <si>
    <t>20:21:11</t>
  </si>
  <si>
    <t>01:31:05</t>
  </si>
  <si>
    <t>04:59:23</t>
  </si>
  <si>
    <t>12:16:36</t>
  </si>
  <si>
    <t>19:48:26</t>
  </si>
  <si>
    <t>15:18:30</t>
  </si>
  <si>
    <t>06:10:57</t>
  </si>
  <si>
    <t>11:05:30</t>
  </si>
  <si>
    <t>14:19:37</t>
  </si>
  <si>
    <t>03:55:14</t>
  </si>
  <si>
    <t>16:48:44</t>
  </si>
  <si>
    <t>16:38:25</t>
  </si>
  <si>
    <t>16:04:30</t>
  </si>
  <si>
    <t>16:31:03</t>
  </si>
  <si>
    <t>12:52:58</t>
  </si>
  <si>
    <t>18:37:43</t>
  </si>
  <si>
    <t>16:49:54</t>
  </si>
  <si>
    <t>18:50:15</t>
  </si>
  <si>
    <t>11:42:16</t>
  </si>
  <si>
    <t>21:11:03</t>
  </si>
  <si>
    <t>17:41:13</t>
  </si>
  <si>
    <t>18:32:03</t>
  </si>
  <si>
    <t>06:40:48</t>
  </si>
  <si>
    <t>19:23:31</t>
  </si>
  <si>
    <t>17:20:15</t>
  </si>
  <si>
    <t>00:24:10</t>
  </si>
  <si>
    <t>02:53:23</t>
  </si>
  <si>
    <t>23:42:02</t>
  </si>
  <si>
    <t>12:39:59</t>
  </si>
  <si>
    <t>14:16:51</t>
  </si>
  <si>
    <t>14:01:38</t>
  </si>
  <si>
    <t>15:23:54</t>
  </si>
  <si>
    <t>06:48:20</t>
  </si>
  <si>
    <t>07:50:45</t>
  </si>
  <si>
    <t>05:31:34</t>
  </si>
  <si>
    <t>07:07:31</t>
  </si>
  <si>
    <t>08:14:25</t>
  </si>
  <si>
    <t>22:49:27</t>
  </si>
  <si>
    <t>10:35:51</t>
  </si>
  <si>
    <t>09:23:48</t>
  </si>
  <si>
    <t>00:19:45</t>
  </si>
  <si>
    <t>15:22:39</t>
  </si>
  <si>
    <t>19:21:29</t>
  </si>
  <si>
    <t>13:07:32</t>
  </si>
  <si>
    <t>18:05:37</t>
  </si>
  <si>
    <t>06:55:37</t>
  </si>
  <si>
    <t>01:48:32</t>
  </si>
  <si>
    <t>13:21:33</t>
  </si>
  <si>
    <t>13:49:22</t>
  </si>
  <si>
    <t>16:04:09</t>
  </si>
  <si>
    <t>18:51:09</t>
  </si>
  <si>
    <t>05:40:44</t>
  </si>
  <si>
    <t>17:01:22</t>
  </si>
  <si>
    <t>19:01:44</t>
  </si>
  <si>
    <t>09:07:50</t>
  </si>
  <si>
    <t>07:14:02</t>
  </si>
  <si>
    <t>00:15:27</t>
  </si>
  <si>
    <t>04:33:51</t>
  </si>
  <si>
    <t>01:26:41</t>
  </si>
  <si>
    <t>20:55:26</t>
  </si>
  <si>
    <t>08:46:29</t>
  </si>
  <si>
    <t>01:41:56</t>
  </si>
  <si>
    <t>00:27:13</t>
  </si>
  <si>
    <t>01:07:52</t>
  </si>
  <si>
    <t>16:14:19</t>
  </si>
  <si>
    <t>16:29:21</t>
  </si>
  <si>
    <t>22:29:59</t>
  </si>
  <si>
    <t>23:33:04</t>
  </si>
  <si>
    <t>12:02:07</t>
  </si>
  <si>
    <t>05:02:28</t>
  </si>
  <si>
    <t>19:17:57</t>
  </si>
  <si>
    <t>06:38:00</t>
  </si>
  <si>
    <t>07:52:30</t>
  </si>
  <si>
    <t>05:03:56</t>
  </si>
  <si>
    <t>11:23:40</t>
  </si>
  <si>
    <t>13:45:51</t>
  </si>
  <si>
    <t>14:18:17</t>
  </si>
  <si>
    <t>21:05:50</t>
  </si>
  <si>
    <t>02:56:57</t>
  </si>
  <si>
    <t>19:52:23</t>
  </si>
  <si>
    <t>19:12:09</t>
  </si>
  <si>
    <t>10:59:42</t>
  </si>
  <si>
    <t>20:12:13</t>
  </si>
  <si>
    <t>09:40:29</t>
  </si>
  <si>
    <t>01:45:41</t>
  </si>
  <si>
    <t>22:30:29</t>
  </si>
  <si>
    <t>12:39:38</t>
  </si>
  <si>
    <t>05:31:40</t>
  </si>
  <si>
    <t>10:08:44</t>
  </si>
  <si>
    <t>00:22:51</t>
  </si>
  <si>
    <t>13:43:07</t>
  </si>
  <si>
    <t>04:59:30</t>
  </si>
  <si>
    <t>12:53:33</t>
  </si>
  <si>
    <t>19:42:04</t>
  </si>
  <si>
    <t>17:22:41</t>
  </si>
  <si>
    <t>03:32:30</t>
  </si>
  <si>
    <t>06:33:44</t>
  </si>
  <si>
    <t>14:58:17</t>
  </si>
  <si>
    <t>15:34:50</t>
  </si>
  <si>
    <t>03:12:38</t>
  </si>
  <si>
    <t>16:10:37</t>
  </si>
  <si>
    <t>08:43:07</t>
  </si>
  <si>
    <t>12:08:09</t>
  </si>
  <si>
    <t>21:17:30</t>
  </si>
  <si>
    <t>02:45:26</t>
  </si>
  <si>
    <t>06:04:49</t>
  </si>
  <si>
    <t>07:45:47</t>
  </si>
  <si>
    <t>15:11:39</t>
  </si>
  <si>
    <t>16:26:14</t>
  </si>
  <si>
    <t>05:17:29</t>
  </si>
  <si>
    <t>05:38:00</t>
  </si>
  <si>
    <t>20:11:36</t>
  </si>
  <si>
    <t>01:55:55</t>
  </si>
  <si>
    <t>05:25:32</t>
  </si>
  <si>
    <t>00:16:16</t>
  </si>
  <si>
    <t>12:30:38</t>
  </si>
  <si>
    <t>03:20:04</t>
  </si>
  <si>
    <t>15:26:49</t>
  </si>
  <si>
    <t>03:52:40</t>
  </si>
  <si>
    <t>19:19:34</t>
  </si>
  <si>
    <t>19:18:47</t>
  </si>
  <si>
    <t>14:21:40</t>
  </si>
  <si>
    <t>14:09:17</t>
  </si>
  <si>
    <t>10:26:57</t>
  </si>
  <si>
    <t>10:10:37</t>
  </si>
  <si>
    <t>04:31:10</t>
  </si>
  <si>
    <t>21:32:02</t>
  </si>
  <si>
    <t>04:45:05</t>
  </si>
  <si>
    <t>10:24:49</t>
  </si>
  <si>
    <t>17:59:54</t>
  </si>
  <si>
    <t>06:17:14</t>
  </si>
  <si>
    <t>17:14:34</t>
  </si>
  <si>
    <t>19:57:12</t>
  </si>
  <si>
    <t>07:26:18</t>
  </si>
  <si>
    <t>13:46:52</t>
  </si>
  <si>
    <t>23:56:03</t>
  </si>
  <si>
    <t>21:31:07</t>
  </si>
  <si>
    <t>03:25:29</t>
  </si>
  <si>
    <t>07:00:08</t>
  </si>
  <si>
    <t>07:30:22</t>
  </si>
  <si>
    <t>23:27:32</t>
  </si>
  <si>
    <t>19:11:23</t>
  </si>
  <si>
    <t>02:03:48</t>
  </si>
  <si>
    <t>19:52:47</t>
  </si>
  <si>
    <t>04:12:33</t>
  </si>
  <si>
    <t>06:54:57</t>
  </si>
  <si>
    <t>08:30:10</t>
  </si>
  <si>
    <t>20:00:43</t>
  </si>
  <si>
    <t>21:33:02</t>
  </si>
  <si>
    <t>05:38:01</t>
  </si>
  <si>
    <t>18:26:05</t>
  </si>
  <si>
    <t>10:07:14</t>
  </si>
  <si>
    <t>19:38:48</t>
  </si>
  <si>
    <t>22:55:44</t>
  </si>
  <si>
    <t>18:02:55</t>
  </si>
  <si>
    <t>12:15:15</t>
  </si>
  <si>
    <t>10:10:24</t>
  </si>
  <si>
    <t>09:26:39</t>
  </si>
  <si>
    <t>08:28:29</t>
  </si>
  <si>
    <t>02:20:15</t>
  </si>
  <si>
    <t>06:33:39</t>
  </si>
  <si>
    <t>13:48:54</t>
  </si>
  <si>
    <t>02:00:13</t>
  </si>
  <si>
    <t>21:13:00</t>
  </si>
  <si>
    <t>19:16:28</t>
  </si>
  <si>
    <t>10:33:43</t>
  </si>
  <si>
    <t>01:15:45</t>
  </si>
  <si>
    <t>22:32:13</t>
  </si>
  <si>
    <t>07:38:08</t>
  </si>
  <si>
    <t>19:25:03</t>
  </si>
  <si>
    <t>02:49:25</t>
  </si>
  <si>
    <t>11:55:23</t>
  </si>
  <si>
    <t>21:41:00</t>
  </si>
  <si>
    <t>21:57:53</t>
  </si>
  <si>
    <t>13:35:03</t>
  </si>
  <si>
    <t>05:54:28</t>
  </si>
  <si>
    <t>19:50:02</t>
  </si>
  <si>
    <t>18:59:18</t>
  </si>
  <si>
    <t>10:24:44</t>
  </si>
  <si>
    <t>16:44:02</t>
  </si>
  <si>
    <t>01:49:43</t>
  </si>
  <si>
    <t>10:40:24</t>
  </si>
  <si>
    <t>19:06:34</t>
  </si>
  <si>
    <t>14:52:07</t>
  </si>
  <si>
    <t>04:55:54</t>
  </si>
  <si>
    <t>14:50:57</t>
  </si>
  <si>
    <t>00:06:40</t>
  </si>
  <si>
    <t>17:55:50</t>
  </si>
  <si>
    <t>09:08:16</t>
  </si>
  <si>
    <t>03:09:33</t>
  </si>
  <si>
    <t>06:39:10</t>
  </si>
  <si>
    <t>09:43:16</t>
  </si>
  <si>
    <t>22:16:48</t>
  </si>
  <si>
    <t>05:33:39</t>
  </si>
  <si>
    <t>01:44:49</t>
  </si>
  <si>
    <t>18:23:25</t>
  </si>
  <si>
    <t>00:13:25</t>
  </si>
  <si>
    <t>10:51:20</t>
  </si>
  <si>
    <t>05:39:04</t>
  </si>
  <si>
    <t>18:55:26</t>
  </si>
  <si>
    <t>00:14:00</t>
  </si>
  <si>
    <t>23:24:04</t>
  </si>
  <si>
    <t>10:33:50</t>
  </si>
  <si>
    <t>21:13:12</t>
  </si>
  <si>
    <t>20:27:00</t>
  </si>
  <si>
    <t>00:32:29</t>
  </si>
  <si>
    <t>20:38:55</t>
  </si>
  <si>
    <t>23:26:37</t>
  </si>
  <si>
    <t>11:23:39</t>
  </si>
  <si>
    <t>12:21:08</t>
  </si>
  <si>
    <t>10:22:52</t>
  </si>
  <si>
    <t>10:06:20</t>
  </si>
  <si>
    <t>00:54:56</t>
  </si>
  <si>
    <t>03:07:38</t>
  </si>
  <si>
    <t>09:03:44</t>
  </si>
  <si>
    <t>09:11:23</t>
  </si>
  <si>
    <t>05:52:52</t>
  </si>
  <si>
    <t>22:57:01</t>
  </si>
  <si>
    <t>02:23:52</t>
  </si>
  <si>
    <t>22:08:25</t>
  </si>
  <si>
    <t>07:07:38</t>
  </si>
  <si>
    <t>08:40:28</t>
  </si>
  <si>
    <t>08:15:41</t>
  </si>
  <si>
    <t>22:05:17</t>
  </si>
  <si>
    <t>06:49:34</t>
  </si>
  <si>
    <t>15:59:33</t>
  </si>
  <si>
    <t>22:01:15</t>
  </si>
  <si>
    <t>23:33:36</t>
  </si>
  <si>
    <t>22:36:38</t>
  </si>
  <si>
    <t>17:04:06</t>
  </si>
  <si>
    <t>09:12:18</t>
  </si>
  <si>
    <t>12:21:12</t>
  </si>
  <si>
    <t>16:05:47</t>
  </si>
  <si>
    <t>04:08:45</t>
  </si>
  <si>
    <t>03:49:44</t>
  </si>
  <si>
    <t>20:07:40</t>
  </si>
  <si>
    <t>19:56:01</t>
  </si>
  <si>
    <t>02:20:08</t>
  </si>
  <si>
    <t>13:47:51</t>
  </si>
  <si>
    <t>07:29:56</t>
  </si>
  <si>
    <t>18:54:29</t>
  </si>
  <si>
    <t>07:07:39</t>
  </si>
  <si>
    <t>18:54:52</t>
  </si>
  <si>
    <t>01:27:21</t>
  </si>
  <si>
    <t>08:03:54</t>
  </si>
  <si>
    <t>18:28:49</t>
  </si>
  <si>
    <t>15:38:57</t>
  </si>
  <si>
    <t>13:25:35</t>
  </si>
  <si>
    <t>17:39:19</t>
  </si>
  <si>
    <t>13:39:11</t>
  </si>
  <si>
    <t>14:29:22</t>
  </si>
  <si>
    <t>04:11:59</t>
  </si>
  <si>
    <t>12:44:15</t>
  </si>
  <si>
    <t>05:36:05</t>
  </si>
  <si>
    <t>19:33:38</t>
  </si>
  <si>
    <t>11:05:43</t>
  </si>
  <si>
    <t>17:35:31</t>
  </si>
  <si>
    <t>13:06:39</t>
  </si>
  <si>
    <t>07:29:49</t>
  </si>
  <si>
    <t>01:12:43</t>
  </si>
  <si>
    <t>11:29:59</t>
  </si>
  <si>
    <t>07:29:48</t>
  </si>
  <si>
    <t>22:35:03</t>
  </si>
  <si>
    <t>15:31:31</t>
  </si>
  <si>
    <t>10:31:40</t>
  </si>
  <si>
    <t>00:21:43</t>
  </si>
  <si>
    <t>04:03:13</t>
  </si>
  <si>
    <t>09:10:27</t>
  </si>
  <si>
    <t>08:21:28</t>
  </si>
  <si>
    <t>06:55:05</t>
  </si>
  <si>
    <t>14:18:40</t>
  </si>
  <si>
    <t>14:10:56</t>
  </si>
  <si>
    <t>12:21:14</t>
  </si>
  <si>
    <t>00:17:30</t>
  </si>
  <si>
    <t>17:18:59</t>
  </si>
  <si>
    <t>07:53:51</t>
  </si>
  <si>
    <t>12:50:55</t>
  </si>
  <si>
    <t>06:52:42</t>
  </si>
  <si>
    <t>13:00:13</t>
  </si>
  <si>
    <t>03:09:20</t>
  </si>
  <si>
    <t>12:27:35</t>
  </si>
  <si>
    <t>08:41:23</t>
  </si>
  <si>
    <t>18:03:08</t>
  </si>
  <si>
    <t>13:06:03</t>
  </si>
  <si>
    <t>03:55:04</t>
  </si>
  <si>
    <t>01:07:44</t>
  </si>
  <si>
    <t>18:04:36</t>
  </si>
  <si>
    <t>19:51:28</t>
  </si>
  <si>
    <t>11:44:13</t>
  </si>
  <si>
    <t>20:34:29</t>
  </si>
  <si>
    <t>23:49:04</t>
  </si>
  <si>
    <t>06:00:40</t>
  </si>
  <si>
    <t>07:17:01</t>
  </si>
  <si>
    <t>07:46:12</t>
  </si>
  <si>
    <t>01:00:45</t>
  </si>
  <si>
    <t>01:01:15</t>
  </si>
  <si>
    <t>12:13:48</t>
  </si>
  <si>
    <t>23:49:05</t>
  </si>
  <si>
    <t>10:07:21</t>
  </si>
  <si>
    <t>07:22:04</t>
  </si>
  <si>
    <t>14:35:14</t>
  </si>
  <si>
    <t>22:24:58</t>
  </si>
  <si>
    <t>17:17:35</t>
  </si>
  <si>
    <t>09:05:26</t>
  </si>
  <si>
    <t>13:13:14</t>
  </si>
  <si>
    <t>11:35:27</t>
  </si>
  <si>
    <t>16:34:01</t>
  </si>
  <si>
    <t>19:04:47</t>
  </si>
  <si>
    <t>01:03:12</t>
  </si>
  <si>
    <t>02:23:54</t>
  </si>
  <si>
    <t>08:36:21</t>
  </si>
  <si>
    <t>12:26:27</t>
  </si>
  <si>
    <t>20:25:08</t>
  </si>
  <si>
    <t>00:22:48</t>
  </si>
  <si>
    <t>16:03:50</t>
  </si>
  <si>
    <t>06:26:42</t>
  </si>
  <si>
    <t>20:44:28</t>
  </si>
  <si>
    <t>18:10:15</t>
  </si>
  <si>
    <t>16:57:40</t>
  </si>
  <si>
    <t>02:59:57</t>
  </si>
  <si>
    <t>09:34:50</t>
  </si>
  <si>
    <t>03:08:14</t>
  </si>
  <si>
    <t>03:54:14</t>
  </si>
  <si>
    <t>21:15:24</t>
  </si>
  <si>
    <t>01:11:45</t>
  </si>
  <si>
    <t>18:26:45</t>
  </si>
  <si>
    <t>16:38:27</t>
  </si>
  <si>
    <t>05:30:55</t>
  </si>
  <si>
    <t>20:24:22</t>
  </si>
  <si>
    <t>10:54:16</t>
  </si>
  <si>
    <t>22:17:14</t>
  </si>
  <si>
    <t>06:14:11</t>
  </si>
  <si>
    <t>00:46:31</t>
  </si>
  <si>
    <t>08:53:36</t>
  </si>
  <si>
    <t>13:44:24</t>
  </si>
  <si>
    <t>12:32:22</t>
  </si>
  <si>
    <t>02:00:12</t>
  </si>
  <si>
    <t>06:57:43</t>
  </si>
  <si>
    <t>00:08:19</t>
  </si>
  <si>
    <t>08:42:18</t>
  </si>
  <si>
    <t>15:39:48</t>
  </si>
  <si>
    <t>04:04:24</t>
  </si>
  <si>
    <t>12:16:26</t>
  </si>
  <si>
    <t>18:27:14</t>
  </si>
  <si>
    <t>09:22:30</t>
  </si>
  <si>
    <t>15:15:31</t>
  </si>
  <si>
    <t>22:54:54</t>
  </si>
  <si>
    <t>01:10:26</t>
  </si>
  <si>
    <t>20:16:28</t>
  </si>
  <si>
    <t>07:46:51</t>
  </si>
  <si>
    <t>10:01:06</t>
  </si>
  <si>
    <t>05:38:52</t>
  </si>
  <si>
    <t>13:58:05</t>
  </si>
  <si>
    <t>16:12:24</t>
  </si>
  <si>
    <t>10:20:21</t>
  </si>
  <si>
    <t>03:38:18</t>
  </si>
  <si>
    <t>02:52:21</t>
  </si>
  <si>
    <t>23:49:34</t>
  </si>
  <si>
    <t>07:02:25</t>
  </si>
  <si>
    <t>22:43:33</t>
  </si>
  <si>
    <t>16:12:27</t>
  </si>
  <si>
    <t>22:50:34</t>
  </si>
  <si>
    <t>13:35:41</t>
  </si>
  <si>
    <t>19:52:17</t>
  </si>
  <si>
    <t>09:54:18</t>
  </si>
  <si>
    <t>21:48:17</t>
  </si>
  <si>
    <t>21:07:19</t>
  </si>
  <si>
    <t>21:49:54</t>
  </si>
  <si>
    <t>14:43:46</t>
  </si>
  <si>
    <t>09:20:00</t>
  </si>
  <si>
    <t>05:37:00</t>
  </si>
  <si>
    <t>14:48:31</t>
  </si>
  <si>
    <t>03:00:52</t>
  </si>
  <si>
    <t>03:57:00</t>
  </si>
  <si>
    <t>11:15:47</t>
  </si>
  <si>
    <t>19:29:20</t>
  </si>
  <si>
    <t>02:10:05</t>
  </si>
  <si>
    <t>17:58:32</t>
  </si>
  <si>
    <t>19:54:03</t>
  </si>
  <si>
    <t>13:57:26</t>
  </si>
  <si>
    <t>12:35:59</t>
  </si>
  <si>
    <t>10:07:32</t>
  </si>
  <si>
    <t>21:48:39</t>
  </si>
  <si>
    <t>11:08:41</t>
  </si>
  <si>
    <t>22:36:24</t>
  </si>
  <si>
    <t>00:27:09</t>
  </si>
  <si>
    <t>16:21:10</t>
  </si>
  <si>
    <t>00:22:21</t>
  </si>
  <si>
    <t>20:16:47</t>
  </si>
  <si>
    <t>22:47:36</t>
  </si>
  <si>
    <t>16:24:06</t>
  </si>
  <si>
    <t>23:02:55</t>
  </si>
  <si>
    <t>11:07:31</t>
  </si>
  <si>
    <t>04:12:29</t>
  </si>
  <si>
    <t>13:32:12</t>
  </si>
  <si>
    <t>21:23:55</t>
  </si>
  <si>
    <t>11:57:27</t>
  </si>
  <si>
    <t>08:04:50</t>
  </si>
  <si>
    <t>18:56:05</t>
  </si>
  <si>
    <t>12:04:46</t>
  </si>
  <si>
    <t>15:10:42</t>
  </si>
  <si>
    <t>04:50:13</t>
  </si>
  <si>
    <t>11:07:26</t>
  </si>
  <si>
    <t>00:04:51</t>
  </si>
  <si>
    <t>00:49:23</t>
  </si>
  <si>
    <t>19:23:12</t>
  </si>
  <si>
    <t>00:27:20</t>
  </si>
  <si>
    <t>01:08:35</t>
  </si>
  <si>
    <t>14:54:32</t>
  </si>
  <si>
    <t>13:58:56</t>
  </si>
  <si>
    <t>16:20:52</t>
  </si>
  <si>
    <t>07:50:51</t>
  </si>
  <si>
    <t>04:26:09</t>
  </si>
  <si>
    <t>02:46:07</t>
  </si>
  <si>
    <t>15:32:08</t>
  </si>
  <si>
    <t>09:38:49</t>
  </si>
  <si>
    <t>22:54:21</t>
  </si>
  <si>
    <t>22:52:55</t>
  </si>
  <si>
    <t>03:43:01</t>
  </si>
  <si>
    <t>11:47:44</t>
  </si>
  <si>
    <t>07:45:39</t>
  </si>
  <si>
    <t>20:06:19</t>
  </si>
  <si>
    <t>11:41:28</t>
  </si>
  <si>
    <t>23:48:17</t>
  </si>
  <si>
    <t>07:47:28</t>
  </si>
  <si>
    <t>06:40:56</t>
  </si>
  <si>
    <t>18:11:15</t>
  </si>
  <si>
    <t>10:41:22</t>
  </si>
  <si>
    <t>21:38:32</t>
  </si>
  <si>
    <t>16:51:36</t>
  </si>
  <si>
    <t>12:12:16</t>
  </si>
  <si>
    <t>11:43:43</t>
  </si>
  <si>
    <t>19:25:01</t>
  </si>
  <si>
    <t>16:53:04</t>
  </si>
  <si>
    <t>23:46:37</t>
  </si>
  <si>
    <t>07:27:42</t>
  </si>
  <si>
    <t>20:48:58</t>
  </si>
  <si>
    <t>04:39:04</t>
  </si>
  <si>
    <t>17:02:45</t>
  </si>
  <si>
    <t>10:49:36</t>
  </si>
  <si>
    <t>04:05:10</t>
  </si>
  <si>
    <t>07:05:40</t>
  </si>
  <si>
    <t>18:47:59</t>
  </si>
  <si>
    <t>04:12:53</t>
  </si>
  <si>
    <t>02:45:36</t>
  </si>
  <si>
    <t>01:04:40</t>
  </si>
  <si>
    <t>02:35:32</t>
  </si>
  <si>
    <t>08:33:11</t>
  </si>
  <si>
    <t>22:57:30</t>
  </si>
  <si>
    <t>14:11:16</t>
  </si>
  <si>
    <t>16:30:04</t>
  </si>
  <si>
    <t>12:28:13</t>
  </si>
  <si>
    <t>07:26:25</t>
  </si>
  <si>
    <t>01:00:49</t>
  </si>
  <si>
    <t>15:57:10</t>
  </si>
  <si>
    <t>04:18:38</t>
  </si>
  <si>
    <t>23:30:33</t>
  </si>
  <si>
    <t>19:03:13</t>
  </si>
  <si>
    <t>14:55:05</t>
  </si>
  <si>
    <t>08:37:11</t>
  </si>
  <si>
    <t>16:10:40</t>
  </si>
  <si>
    <t>12:45:20</t>
  </si>
  <si>
    <t>08:39:44</t>
  </si>
  <si>
    <t>04:32:37</t>
  </si>
  <si>
    <t>07:39:26</t>
  </si>
  <si>
    <t>10:53:10</t>
  </si>
  <si>
    <t>08:16:14</t>
  </si>
  <si>
    <t>10:03:38</t>
  </si>
  <si>
    <t>10:14:48</t>
  </si>
  <si>
    <t>14:04:34</t>
  </si>
  <si>
    <t>21:09:25</t>
  </si>
  <si>
    <t>17:04:13</t>
  </si>
  <si>
    <t>14:42:53</t>
  </si>
  <si>
    <t>17:26:22</t>
  </si>
  <si>
    <t>06:07:49</t>
  </si>
  <si>
    <t>00:13:32</t>
  </si>
  <si>
    <t>13:23:43</t>
  </si>
  <si>
    <t>19:38:30</t>
  </si>
  <si>
    <t>18:17:33</t>
  </si>
  <si>
    <t>14:06:12</t>
  </si>
  <si>
    <t>17:28:46</t>
  </si>
  <si>
    <t>02:44:25</t>
  </si>
  <si>
    <t>04:44:25</t>
  </si>
  <si>
    <t>22:51:55</t>
  </si>
  <si>
    <t>23:32:11</t>
  </si>
  <si>
    <t>21:22:37</t>
  </si>
  <si>
    <t>01:49:42</t>
  </si>
  <si>
    <t>19:51:16</t>
  </si>
  <si>
    <t>05:17:59</t>
  </si>
  <si>
    <t>19:40:37</t>
  </si>
  <si>
    <t>19:55:44</t>
  </si>
  <si>
    <t>05:46:17</t>
  </si>
  <si>
    <t>04:25:33</t>
  </si>
  <si>
    <t>01:57:04</t>
  </si>
  <si>
    <t>01:44:35</t>
  </si>
  <si>
    <t>02:14:12</t>
  </si>
  <si>
    <t>00:23:11</t>
  </si>
  <si>
    <t>22:06:43</t>
  </si>
  <si>
    <t>20:55:50</t>
  </si>
  <si>
    <t>13:01:53</t>
  </si>
  <si>
    <t>12:20:25</t>
  </si>
  <si>
    <t>07:45:38</t>
  </si>
  <si>
    <t>01:35:06</t>
  </si>
  <si>
    <t>15:35:33</t>
  </si>
  <si>
    <t>14:59:09</t>
  </si>
  <si>
    <t>04:37:05</t>
  </si>
  <si>
    <t>20:18:10</t>
  </si>
  <si>
    <t>18:41:38</t>
  </si>
  <si>
    <t>13:00:27</t>
  </si>
  <si>
    <t>21:33:08</t>
  </si>
  <si>
    <t>06:35:20</t>
  </si>
  <si>
    <t>18:08:53</t>
  </si>
  <si>
    <t>16:49:29</t>
  </si>
  <si>
    <t>22:47:32</t>
  </si>
  <si>
    <t>08:10:16</t>
  </si>
  <si>
    <t>05:02:02</t>
  </si>
  <si>
    <t>05:13:39</t>
  </si>
  <si>
    <t>17:29:34</t>
  </si>
  <si>
    <t>17:56:16</t>
  </si>
  <si>
    <t>00:17:32</t>
  </si>
  <si>
    <t>18:37:28</t>
  </si>
  <si>
    <t>19:29:07</t>
  </si>
  <si>
    <t>07:16:00</t>
  </si>
  <si>
    <t>13:06:21</t>
  </si>
  <si>
    <t>12:33:22</t>
  </si>
  <si>
    <t>17:04:31</t>
  </si>
  <si>
    <t>11:52:19</t>
  </si>
  <si>
    <t>17:13:56</t>
  </si>
  <si>
    <t>15:46:53</t>
  </si>
  <si>
    <t>02:41:01</t>
  </si>
  <si>
    <t>06:44:32</t>
  </si>
  <si>
    <t>10:22:22</t>
  </si>
  <si>
    <t>04:04:18</t>
  </si>
  <si>
    <t>09:07:56</t>
  </si>
  <si>
    <t>13:12:07</t>
  </si>
  <si>
    <t>21:32:16</t>
  </si>
  <si>
    <t>13:23:09</t>
  </si>
  <si>
    <t>23:59:30</t>
  </si>
  <si>
    <t>08:14:02</t>
  </si>
  <si>
    <t>10:07:12</t>
  </si>
  <si>
    <t>04:37:54</t>
  </si>
  <si>
    <t>10:43:34</t>
  </si>
  <si>
    <t>09:19:34</t>
  </si>
  <si>
    <t>07:08:01</t>
  </si>
  <si>
    <t>20:21:19</t>
  </si>
  <si>
    <t>02:58:37</t>
  </si>
  <si>
    <t>20:23:36</t>
  </si>
  <si>
    <t>05:21:35</t>
  </si>
  <si>
    <t>18:11:29</t>
  </si>
  <si>
    <t>12:10:52</t>
  </si>
  <si>
    <t>12:57:15</t>
  </si>
  <si>
    <t>18:06:07</t>
  </si>
  <si>
    <t>20:08:17</t>
  </si>
  <si>
    <t>07:09:24</t>
  </si>
  <si>
    <t>17:11:24</t>
  </si>
  <si>
    <t>22:59:19</t>
  </si>
  <si>
    <t>16:54:39</t>
  </si>
  <si>
    <t>14:27:50</t>
  </si>
  <si>
    <t>07:52:48</t>
  </si>
  <si>
    <t>03:03:20</t>
  </si>
  <si>
    <t>03:52:20</t>
  </si>
  <si>
    <t>09:42:56</t>
  </si>
  <si>
    <t>20:19:07</t>
  </si>
  <si>
    <t>15:38:15</t>
  </si>
  <si>
    <t>20:55:47</t>
  </si>
  <si>
    <t>22:34:17</t>
  </si>
  <si>
    <t>10:29:29</t>
  </si>
  <si>
    <t>22:55:46</t>
  </si>
  <si>
    <t>01:29:03</t>
  </si>
  <si>
    <t>17:30:17</t>
  </si>
  <si>
    <t>00:57:15</t>
  </si>
  <si>
    <t>17:30:05</t>
  </si>
  <si>
    <t>09:47:02</t>
  </si>
  <si>
    <t>21:44:19</t>
  </si>
  <si>
    <t>02:00:58</t>
  </si>
  <si>
    <t>13:20:46</t>
  </si>
  <si>
    <t>16:25:21</t>
  </si>
  <si>
    <t>06:59:00</t>
  </si>
  <si>
    <t>07:25:10</t>
  </si>
  <si>
    <t>08:32:43</t>
  </si>
  <si>
    <t>08:19:05</t>
  </si>
  <si>
    <t>02:50:31</t>
  </si>
  <si>
    <t>01:50:50</t>
  </si>
  <si>
    <t>19:08:12</t>
  </si>
  <si>
    <t>12:16:57</t>
  </si>
  <si>
    <t>19:34:03</t>
  </si>
  <si>
    <t>11:28:47</t>
  </si>
  <si>
    <t>09:39:00</t>
  </si>
  <si>
    <t>21:59:20</t>
  </si>
  <si>
    <t>05:04:17</t>
  </si>
  <si>
    <t>11:37:09</t>
  </si>
  <si>
    <t>17:25:38</t>
  </si>
  <si>
    <t>18:27:11</t>
  </si>
  <si>
    <t>21:08:44</t>
  </si>
  <si>
    <t>20:09:17</t>
  </si>
  <si>
    <t>14:46:30</t>
  </si>
  <si>
    <t>09:33:16</t>
  </si>
  <si>
    <t>07:05:15</t>
  </si>
  <si>
    <t>00:02:36</t>
  </si>
  <si>
    <t>22:56:28</t>
  </si>
  <si>
    <t>14:14:12</t>
  </si>
  <si>
    <t>12:51:07</t>
  </si>
  <si>
    <t>00:28:50</t>
  </si>
  <si>
    <t>03:05:15</t>
  </si>
  <si>
    <t>09:07:13</t>
  </si>
  <si>
    <t>03:04:05</t>
  </si>
  <si>
    <t>21:44:42</t>
  </si>
  <si>
    <t>15:23:12</t>
  </si>
  <si>
    <t>13:36:54</t>
  </si>
  <si>
    <t>08:47:22</t>
  </si>
  <si>
    <t>21:45:40</t>
  </si>
  <si>
    <t>06:11:40</t>
  </si>
  <si>
    <t>15:42:04</t>
  </si>
  <si>
    <t>04:16:47</t>
  </si>
  <si>
    <t>09:59:32</t>
  </si>
  <si>
    <t>11:59:49</t>
  </si>
  <si>
    <t>12:56:22</t>
  </si>
  <si>
    <t>21:42:06</t>
  </si>
  <si>
    <t>16:44:57</t>
  </si>
  <si>
    <t>17:36:14</t>
  </si>
  <si>
    <t>16:42:19</t>
  </si>
  <si>
    <t>22:40:31</t>
  </si>
  <si>
    <t>02:01:04</t>
  </si>
  <si>
    <t>15:20:28</t>
  </si>
  <si>
    <t>17:47:02</t>
  </si>
  <si>
    <t>08:51:53</t>
  </si>
  <si>
    <t>19:00:22</t>
  </si>
  <si>
    <t>23:22:42</t>
  </si>
  <si>
    <t>03:13:05</t>
  </si>
  <si>
    <t>01:00:13</t>
  </si>
  <si>
    <t>20:44:55</t>
  </si>
  <si>
    <t>01:08:30</t>
  </si>
  <si>
    <t>21:47:21</t>
  </si>
  <si>
    <t>17:33:57</t>
  </si>
  <si>
    <t>04:59:17</t>
  </si>
  <si>
    <t>14:38:54</t>
  </si>
  <si>
    <t>01:09:50</t>
  </si>
  <si>
    <t>17:34:49</t>
  </si>
  <si>
    <t>02:28:49</t>
  </si>
  <si>
    <t>21:27:50</t>
  </si>
  <si>
    <t>12:14:21</t>
  </si>
  <si>
    <t>17:49:38</t>
  </si>
  <si>
    <t>19:35:28</t>
  </si>
  <si>
    <t>04:58:31</t>
  </si>
  <si>
    <t>18:13:39</t>
  </si>
  <si>
    <t>23:35:37</t>
  </si>
  <si>
    <t>09:21:55</t>
  </si>
  <si>
    <t>12:33:41</t>
  </si>
  <si>
    <t>21:02:58</t>
  </si>
  <si>
    <t>03:27:53</t>
  </si>
  <si>
    <t>05:54:01</t>
  </si>
  <si>
    <t>01:07:33</t>
  </si>
  <si>
    <t>10:42:30</t>
  </si>
  <si>
    <t>08:37:05</t>
  </si>
  <si>
    <t>02:05:36</t>
  </si>
  <si>
    <t>21:25:49</t>
  </si>
  <si>
    <t>19:08:04</t>
  </si>
  <si>
    <t>13:54:10</t>
  </si>
  <si>
    <t>08:56:26</t>
  </si>
  <si>
    <t>01:03:01</t>
  </si>
  <si>
    <t>14:50:50</t>
  </si>
  <si>
    <t>09:06:17</t>
  </si>
  <si>
    <t>20:24:05</t>
  </si>
  <si>
    <t>14:31:17</t>
  </si>
  <si>
    <t>05:53:02</t>
  </si>
  <si>
    <t>07:21:57</t>
  </si>
  <si>
    <t>13:29:37</t>
  </si>
  <si>
    <t>17:38:34</t>
  </si>
  <si>
    <t>11:02:22</t>
  </si>
  <si>
    <t>10:54:50</t>
  </si>
  <si>
    <t>16:27:07</t>
  </si>
  <si>
    <t>07:32:30</t>
  </si>
  <si>
    <t>23:52:20</t>
  </si>
  <si>
    <t>00:36:27</t>
  </si>
  <si>
    <t>13:14:53</t>
  </si>
  <si>
    <t>04:59:04</t>
  </si>
  <si>
    <t>01:24:43</t>
  </si>
  <si>
    <t>14:09:08</t>
  </si>
  <si>
    <t>06:06:06</t>
  </si>
  <si>
    <t>06:07:19</t>
  </si>
  <si>
    <t>18:59:50</t>
  </si>
  <si>
    <t>22:16:46</t>
  </si>
  <si>
    <t>18:46:24</t>
  </si>
  <si>
    <t>04:46:11</t>
  </si>
  <si>
    <t>12:46:49</t>
  </si>
  <si>
    <t>09:57:31</t>
  </si>
  <si>
    <t>03:36:48</t>
  </si>
  <si>
    <t>04:49:24</t>
  </si>
  <si>
    <t>13:42:51</t>
  </si>
  <si>
    <t>16:10:05</t>
  </si>
  <si>
    <t>03:59:06</t>
  </si>
  <si>
    <t>11:52:17</t>
  </si>
  <si>
    <t>15:04:32</t>
  </si>
  <si>
    <t>15:38:17</t>
  </si>
  <si>
    <t>02:05:56</t>
  </si>
  <si>
    <t>08:44:21</t>
  </si>
  <si>
    <t>08:44:11</t>
  </si>
  <si>
    <t>00:51:58</t>
  </si>
  <si>
    <t>11:51:08</t>
  </si>
  <si>
    <t>09:46:46</t>
  </si>
  <si>
    <t>11:04:54</t>
  </si>
  <si>
    <t>17:31:28</t>
  </si>
  <si>
    <t>20:11:27</t>
  </si>
  <si>
    <t>16:37:55</t>
  </si>
  <si>
    <t>02:50:03</t>
  </si>
  <si>
    <t>08:09:57</t>
  </si>
  <si>
    <t>23:19:39</t>
  </si>
  <si>
    <t>02:04:42</t>
  </si>
  <si>
    <t>13:25:03</t>
  </si>
  <si>
    <t>07:55:22</t>
  </si>
  <si>
    <t>09:27:17</t>
  </si>
  <si>
    <t>07:02:22</t>
  </si>
  <si>
    <t>03:29:41</t>
  </si>
  <si>
    <t>00:07:57</t>
  </si>
  <si>
    <t>10:29:10</t>
  </si>
  <si>
    <t>22:55:18</t>
  </si>
  <si>
    <t>20:47:41</t>
  </si>
  <si>
    <t>15:46:19</t>
  </si>
  <si>
    <t>15:01:12</t>
  </si>
  <si>
    <t>01:22:23</t>
  </si>
  <si>
    <t>02:00:47</t>
  </si>
  <si>
    <t>20:44:24</t>
  </si>
  <si>
    <t>02:45:35</t>
  </si>
  <si>
    <t>14:55:47</t>
  </si>
  <si>
    <t>18:46:37</t>
  </si>
  <si>
    <t>22:31:21</t>
  </si>
  <si>
    <t>11:00:56</t>
  </si>
  <si>
    <t>04:22:40</t>
  </si>
  <si>
    <t>01:32:59</t>
  </si>
  <si>
    <t>03:30:04</t>
  </si>
  <si>
    <t>13:10:53</t>
  </si>
  <si>
    <t>day</t>
  </si>
  <si>
    <t xml:space="preserve">month </t>
  </si>
  <si>
    <t>year</t>
  </si>
  <si>
    <t>Customer_id</t>
  </si>
  <si>
    <t>Store_name</t>
  </si>
  <si>
    <t>Product_category</t>
  </si>
  <si>
    <t>Product_name</t>
  </si>
  <si>
    <t>Quantity</t>
  </si>
  <si>
    <t>Unit_price</t>
  </si>
  <si>
    <t>Total_amount</t>
  </si>
  <si>
    <t>Discount_amount</t>
  </si>
  <si>
    <t>Final_amount</t>
  </si>
  <si>
    <t>Loyalty_points</t>
  </si>
  <si>
    <t>Transaction_time</t>
  </si>
  <si>
    <t>Transaction_date</t>
  </si>
  <si>
    <t>_date</t>
  </si>
  <si>
    <t>Row Labels</t>
  </si>
  <si>
    <t>Grand Total</t>
  </si>
  <si>
    <t>Sum of Final_amount</t>
  </si>
  <si>
    <t>Sum of Discount_amount</t>
  </si>
  <si>
    <t>PaymentMode</t>
  </si>
  <si>
    <t>Gender</t>
  </si>
  <si>
    <t>Rating</t>
  </si>
  <si>
    <t>Debit Card</t>
  </si>
  <si>
    <t>M</t>
  </si>
  <si>
    <t>UPI</t>
  </si>
  <si>
    <t>F</t>
  </si>
  <si>
    <t>Cash</t>
  </si>
  <si>
    <t>Credit Card</t>
  </si>
  <si>
    <t>StoreCity</t>
  </si>
  <si>
    <t>Delhi</t>
  </si>
  <si>
    <t>Mumbai</t>
  </si>
  <si>
    <t>Ahmedabad</t>
  </si>
  <si>
    <t>Hyderabad</t>
  </si>
  <si>
    <t>Bangalore</t>
  </si>
  <si>
    <t>Jaipur</t>
  </si>
  <si>
    <t>Lucknow</t>
  </si>
  <si>
    <t>Kolkata</t>
  </si>
  <si>
    <t>Pune</t>
  </si>
  <si>
    <t>Chennai</t>
  </si>
  <si>
    <t>Column Labels</t>
  </si>
  <si>
    <t>Average of Rating</t>
  </si>
  <si>
    <t>Sum of Total_amount</t>
  </si>
  <si>
    <t>time</t>
  </si>
  <si>
    <t>01:00:08 PM</t>
  </si>
  <si>
    <t>01:00:13 AM</t>
  </si>
  <si>
    <t>01:00:13 PM</t>
  </si>
  <si>
    <t>01:00:27 PM</t>
  </si>
  <si>
    <t>01:00:45 AM</t>
  </si>
  <si>
    <t>01:00:49 AM</t>
  </si>
  <si>
    <t>01:00:51 PM</t>
  </si>
  <si>
    <t>01:00:54 PM</t>
  </si>
  <si>
    <t>01:01:15 AM</t>
  </si>
  <si>
    <t>01:01:46 PM</t>
  </si>
  <si>
    <t>01:01:53 PM</t>
  </si>
  <si>
    <t>01:01:58 PM</t>
  </si>
  <si>
    <t>01:02:13 PM</t>
  </si>
  <si>
    <t>01:02:33 PM</t>
  </si>
  <si>
    <t>01:03:01 AM</t>
  </si>
  <si>
    <t>01:03:12 AM</t>
  </si>
  <si>
    <t>01:03:25 AM</t>
  </si>
  <si>
    <t>01:03:37 AM</t>
  </si>
  <si>
    <t>01:04:40 AM</t>
  </si>
  <si>
    <t>01:04:42 AM</t>
  </si>
  <si>
    <t>01:05:27 AM</t>
  </si>
  <si>
    <t>01:05:39 AM</t>
  </si>
  <si>
    <t>01:06:03 PM</t>
  </si>
  <si>
    <t>01:06:21 PM</t>
  </si>
  <si>
    <t>01:06:39 PM</t>
  </si>
  <si>
    <t>01:07:32 PM</t>
  </si>
  <si>
    <t>01:07:33 AM</t>
  </si>
  <si>
    <t>01:07:41 PM</t>
  </si>
  <si>
    <t>01:07:44 AM</t>
  </si>
  <si>
    <t>01:07:52 AM</t>
  </si>
  <si>
    <t>01:07:58 PM</t>
  </si>
  <si>
    <t>01:08:30 AM</t>
  </si>
  <si>
    <t>01:08:31 AM</t>
  </si>
  <si>
    <t>01:08:35 AM</t>
  </si>
  <si>
    <t>01:08:54 PM</t>
  </si>
  <si>
    <t>01:09:03 PM</t>
  </si>
  <si>
    <t>01:09:50 AM</t>
  </si>
  <si>
    <t>01:10:26 AM</t>
  </si>
  <si>
    <t>01:10:42 AM</t>
  </si>
  <si>
    <t>01:10:53 PM</t>
  </si>
  <si>
    <t>01:11:37 AM</t>
  </si>
  <si>
    <t>01:11:42 PM</t>
  </si>
  <si>
    <t>01:11:45 AM</t>
  </si>
  <si>
    <t>01:11:46 PM</t>
  </si>
  <si>
    <t>01:11:49 PM</t>
  </si>
  <si>
    <t>01:12:07 PM</t>
  </si>
  <si>
    <t>01:12:35 AM</t>
  </si>
  <si>
    <t>01:12:43 AM</t>
  </si>
  <si>
    <t>01:13:06 AM</t>
  </si>
  <si>
    <t>01:13:14 PM</t>
  </si>
  <si>
    <t>01:13:19 PM</t>
  </si>
  <si>
    <t>01:13:24 AM</t>
  </si>
  <si>
    <t>01:14:47 AM</t>
  </si>
  <si>
    <t>01:14:53 PM</t>
  </si>
  <si>
    <t>01:15:45 AM</t>
  </si>
  <si>
    <t>01:16:22 PM</t>
  </si>
  <si>
    <t>01:16:23 AM</t>
  </si>
  <si>
    <t>01:17:06 AM</t>
  </si>
  <si>
    <t>01:18:00 AM</t>
  </si>
  <si>
    <t>01:18:48 PM</t>
  </si>
  <si>
    <t>01:18:56 PM</t>
  </si>
  <si>
    <t>01:19:00 PM</t>
  </si>
  <si>
    <t>01:19:09 PM</t>
  </si>
  <si>
    <t>01:20:38 AM</t>
  </si>
  <si>
    <t>01:20:46 PM</t>
  </si>
  <si>
    <t>01:21:17 PM</t>
  </si>
  <si>
    <t>01:21:33 PM</t>
  </si>
  <si>
    <t>01:21:36 PM</t>
  </si>
  <si>
    <t>01:22:23 AM</t>
  </si>
  <si>
    <t>01:22:47 PM</t>
  </si>
  <si>
    <t>01:23:09 PM</t>
  </si>
  <si>
    <t>01:23:15 AM</t>
  </si>
  <si>
    <t>01:23:43 PM</t>
  </si>
  <si>
    <t>01:23:46 AM</t>
  </si>
  <si>
    <t>01:24:13 AM</t>
  </si>
  <si>
    <t>01:24:39 AM</t>
  </si>
  <si>
    <t>01:24:43 AM</t>
  </si>
  <si>
    <t>01:24:55 AM</t>
  </si>
  <si>
    <t>01:25:00 AM</t>
  </si>
  <si>
    <t>01:25:03 PM</t>
  </si>
  <si>
    <t>01:25:35 PM</t>
  </si>
  <si>
    <t>01:26:18 PM</t>
  </si>
  <si>
    <t>01:26:41 AM</t>
  </si>
  <si>
    <t>01:27:21 AM</t>
  </si>
  <si>
    <t>01:27:49 PM</t>
  </si>
  <si>
    <t>01:28:03 AM</t>
  </si>
  <si>
    <t>01:28:12 PM</t>
  </si>
  <si>
    <t>01:28:25 PM</t>
  </si>
  <si>
    <t>01:29:03 AM</t>
  </si>
  <si>
    <t>01:29:21 AM</t>
  </si>
  <si>
    <t>01:29:37 PM</t>
  </si>
  <si>
    <t>01:30:19 AM</t>
  </si>
  <si>
    <t>01:31:05 AM</t>
  </si>
  <si>
    <t>01:31:56 AM</t>
  </si>
  <si>
    <t>01:32:12 PM</t>
  </si>
  <si>
    <t>01:32:45 PM</t>
  </si>
  <si>
    <t>01:32:59 AM</t>
  </si>
  <si>
    <t>01:33:02 PM</t>
  </si>
  <si>
    <t>01:33:49 AM</t>
  </si>
  <si>
    <t>01:35:01 AM</t>
  </si>
  <si>
    <t>01:35:03 PM</t>
  </si>
  <si>
    <t>01:35:06 AM</t>
  </si>
  <si>
    <t>01:35:10 AM</t>
  </si>
  <si>
    <t>01:35:41 PM</t>
  </si>
  <si>
    <t>01:35:45 AM</t>
  </si>
  <si>
    <t>01:36:54 PM</t>
  </si>
  <si>
    <t>01:37:04 PM</t>
  </si>
  <si>
    <t>01:37:11 AM</t>
  </si>
  <si>
    <t>01:37:18 PM</t>
  </si>
  <si>
    <t>01:37:24 AM</t>
  </si>
  <si>
    <t>01:37:33 PM</t>
  </si>
  <si>
    <t>01:37:46 AM</t>
  </si>
  <si>
    <t>01:38:12 PM</t>
  </si>
  <si>
    <t>01:38:26 PM</t>
  </si>
  <si>
    <t>01:39:11 PM</t>
  </si>
  <si>
    <t>01:39:15 AM</t>
  </si>
  <si>
    <t>01:39:31 AM</t>
  </si>
  <si>
    <t>01:40:07 PM</t>
  </si>
  <si>
    <t>01:40:42 AM</t>
  </si>
  <si>
    <t>01:40:47 AM</t>
  </si>
  <si>
    <t>01:40:49 PM</t>
  </si>
  <si>
    <t>01:41:37 PM</t>
  </si>
  <si>
    <t>01:41:56 AM</t>
  </si>
  <si>
    <t>01:42:01 AM</t>
  </si>
  <si>
    <t>01:42:51 PM</t>
  </si>
  <si>
    <t>01:43:04 AM</t>
  </si>
  <si>
    <t>01:43:07 PM</t>
  </si>
  <si>
    <t>01:43:15 PM</t>
  </si>
  <si>
    <t>01:43:46 PM</t>
  </si>
  <si>
    <t>01:43:47 PM</t>
  </si>
  <si>
    <t>01:44:16 PM</t>
  </si>
  <si>
    <t>01:44:19 PM</t>
  </si>
  <si>
    <t>01:44:20 PM</t>
  </si>
  <si>
    <t>01:44:24 PM</t>
  </si>
  <si>
    <t>01:44:35 AM</t>
  </si>
  <si>
    <t>01:44:49 AM</t>
  </si>
  <si>
    <t>01:45:03 AM</t>
  </si>
  <si>
    <t>01:45:20 AM</t>
  </si>
  <si>
    <t>01:45:41 AM</t>
  </si>
  <si>
    <t>01:45:51 PM</t>
  </si>
  <si>
    <t>01:46:17 AM</t>
  </si>
  <si>
    <t>01:46:52 PM</t>
  </si>
  <si>
    <t>01:47:10 AM</t>
  </si>
  <si>
    <t>01:47:38 AM</t>
  </si>
  <si>
    <t>01:47:45 PM</t>
  </si>
  <si>
    <t>01:47:51 PM</t>
  </si>
  <si>
    <t>01:47:54 AM</t>
  </si>
  <si>
    <t>01:48:02 AM</t>
  </si>
  <si>
    <t>01:48:29 AM</t>
  </si>
  <si>
    <t>01:48:32 AM</t>
  </si>
  <si>
    <t>01:48:40 PM</t>
  </si>
  <si>
    <t>01:48:51 PM</t>
  </si>
  <si>
    <t>01:48:54 PM</t>
  </si>
  <si>
    <t>01:48:57 AM</t>
  </si>
  <si>
    <t>01:49:22 PM</t>
  </si>
  <si>
    <t>01:49:27 AM</t>
  </si>
  <si>
    <t>01:49:28 AM</t>
  </si>
  <si>
    <t>01:49:42 AM</t>
  </si>
  <si>
    <t>01:49:43 AM</t>
  </si>
  <si>
    <t>01:50:05 AM</t>
  </si>
  <si>
    <t>01:50:33 PM</t>
  </si>
  <si>
    <t>01:50:37 AM</t>
  </si>
  <si>
    <t>01:50:50 AM</t>
  </si>
  <si>
    <t>01:51:39 PM</t>
  </si>
  <si>
    <t>01:51:49 PM</t>
  </si>
  <si>
    <t>01:52:03 AM</t>
  </si>
  <si>
    <t>01:52:08 PM</t>
  </si>
  <si>
    <t>01:53:11 PM</t>
  </si>
  <si>
    <t>01:53:26 AM</t>
  </si>
  <si>
    <t>01:54:10 PM</t>
  </si>
  <si>
    <t>01:55:34 AM</t>
  </si>
  <si>
    <t>01:55:55 AM</t>
  </si>
  <si>
    <t>01:56:12 PM</t>
  </si>
  <si>
    <t>01:56:36 AM</t>
  </si>
  <si>
    <t>01:57:04 AM</t>
  </si>
  <si>
    <t>01:57:26 PM</t>
  </si>
  <si>
    <t>01:57:51 PM</t>
  </si>
  <si>
    <t>01:58:05 PM</t>
  </si>
  <si>
    <t>01:58:56 PM</t>
  </si>
  <si>
    <t>01:59:07 PM</t>
  </si>
  <si>
    <t>01:59:55 AM</t>
  </si>
  <si>
    <t>02:00:05 PM</t>
  </si>
  <si>
    <t>02:00:12 AM</t>
  </si>
  <si>
    <t>02:00:13 AM</t>
  </si>
  <si>
    <t>02:00:47 AM</t>
  </si>
  <si>
    <t>02:00:58 AM</t>
  </si>
  <si>
    <t>02:01:04 AM</t>
  </si>
  <si>
    <t>02:01:38 PM</t>
  </si>
  <si>
    <t>02:03:01 AM</t>
  </si>
  <si>
    <t>02:03:30 AM</t>
  </si>
  <si>
    <t>02:03:48 AM</t>
  </si>
  <si>
    <t>02:04:34 PM</t>
  </si>
  <si>
    <t>02:04:37 AM</t>
  </si>
  <si>
    <t>02:04:42 AM</t>
  </si>
  <si>
    <t>02:04:48 PM</t>
  </si>
  <si>
    <t>02:05:36 AM</t>
  </si>
  <si>
    <t>02:05:56 AM</t>
  </si>
  <si>
    <t>02:06:01 PM</t>
  </si>
  <si>
    <t>02:06:12 PM</t>
  </si>
  <si>
    <t>02:06:19 AM</t>
  </si>
  <si>
    <t>02:07:18 PM</t>
  </si>
  <si>
    <t>02:07:28 PM</t>
  </si>
  <si>
    <t>02:07:42 PM</t>
  </si>
  <si>
    <t>02:08:20 AM</t>
  </si>
  <si>
    <t>02:09:08 PM</t>
  </si>
  <si>
    <t>02:09:11 PM</t>
  </si>
  <si>
    <t>02:09:17 PM</t>
  </si>
  <si>
    <t>02:10:05 AM</t>
  </si>
  <si>
    <t>02:10:09 PM</t>
  </si>
  <si>
    <t>02:10:56 PM</t>
  </si>
  <si>
    <t>02:11:16 PM</t>
  </si>
  <si>
    <t>02:11:34 PM</t>
  </si>
  <si>
    <t>02:13:08 AM</t>
  </si>
  <si>
    <t>02:14:12 AM</t>
  </si>
  <si>
    <t>02:14:12 PM</t>
  </si>
  <si>
    <t>02:15:00 PM</t>
  </si>
  <si>
    <t>02:15:55 AM</t>
  </si>
  <si>
    <t>02:16:16 AM</t>
  </si>
  <si>
    <t>02:16:51 PM</t>
  </si>
  <si>
    <t>02:18:17 PM</t>
  </si>
  <si>
    <t>02:18:19 PM</t>
  </si>
  <si>
    <t>02:18:21 PM</t>
  </si>
  <si>
    <t>02:18:23 PM</t>
  </si>
  <si>
    <t>02:18:29 AM</t>
  </si>
  <si>
    <t>02:18:40 PM</t>
  </si>
  <si>
    <t>02:19:37 PM</t>
  </si>
  <si>
    <t>02:20:08 AM</t>
  </si>
  <si>
    <t>02:20:15 AM</t>
  </si>
  <si>
    <t>02:20:52 PM</t>
  </si>
  <si>
    <t>02:21:11 AM</t>
  </si>
  <si>
    <t>02:21:19 PM</t>
  </si>
  <si>
    <t>02:21:40 PM</t>
  </si>
  <si>
    <t>02:21:52 AM</t>
  </si>
  <si>
    <t>02:22:38 AM</t>
  </si>
  <si>
    <t>02:23:11 AM</t>
  </si>
  <si>
    <t>02:23:52 AM</t>
  </si>
  <si>
    <t>02:23:54 AM</t>
  </si>
  <si>
    <t>02:24:03 PM</t>
  </si>
  <si>
    <t>02:25:58 PM</t>
  </si>
  <si>
    <t>02:26:58 PM</t>
  </si>
  <si>
    <t>02:27:01 AM</t>
  </si>
  <si>
    <t>02:27:06 AM</t>
  </si>
  <si>
    <t>02:27:26 PM</t>
  </si>
  <si>
    <t>02:27:31 AM</t>
  </si>
  <si>
    <t>02:27:50 PM</t>
  </si>
  <si>
    <t>02:28:49 AM</t>
  </si>
  <si>
    <t>02:29:22 PM</t>
  </si>
  <si>
    <t>02:30:03 PM</t>
  </si>
  <si>
    <t>02:31:17 PM</t>
  </si>
  <si>
    <t>02:31:47 PM</t>
  </si>
  <si>
    <t>02:32:57 PM</t>
  </si>
  <si>
    <t>02:33:09 AM</t>
  </si>
  <si>
    <t>02:33:38 AM</t>
  </si>
  <si>
    <t>02:34:49 AM</t>
  </si>
  <si>
    <t>02:35:09 AM</t>
  </si>
  <si>
    <t>02:35:14 PM</t>
  </si>
  <si>
    <t>02:35:32 AM</t>
  </si>
  <si>
    <t>02:36:01 AM</t>
  </si>
  <si>
    <t>02:36:46 AM</t>
  </si>
  <si>
    <t>02:36:48 PM</t>
  </si>
  <si>
    <t>02:37:03 AM</t>
  </si>
  <si>
    <t>02:38:54 PM</t>
  </si>
  <si>
    <t>02:39:19 PM</t>
  </si>
  <si>
    <t>02:40:15 PM</t>
  </si>
  <si>
    <t>02:40:55 AM</t>
  </si>
  <si>
    <t>02:41:01 AM</t>
  </si>
  <si>
    <t>02:41:13 PM</t>
  </si>
  <si>
    <t>02:41:51 AM</t>
  </si>
  <si>
    <t>02:41:54 AM</t>
  </si>
  <si>
    <t>02:42:53 PM</t>
  </si>
  <si>
    <t>02:43:44 AM</t>
  </si>
  <si>
    <t>02:43:46 PM</t>
  </si>
  <si>
    <t>02:43:47 AM</t>
  </si>
  <si>
    <t>02:43:52 AM</t>
  </si>
  <si>
    <t>02:44:10 AM</t>
  </si>
  <si>
    <t>02:44:25 AM</t>
  </si>
  <si>
    <t>02:45:26 AM</t>
  </si>
  <si>
    <t>02:45:35 AM</t>
  </si>
  <si>
    <t>02:45:36 AM</t>
  </si>
  <si>
    <t>02:45:42 AM</t>
  </si>
  <si>
    <t>02:46:07 AM</t>
  </si>
  <si>
    <t>02:46:12 AM</t>
  </si>
  <si>
    <t>02:46:30 PM</t>
  </si>
  <si>
    <t>02:46:51 PM</t>
  </si>
  <si>
    <t>02:47:04 AM</t>
  </si>
  <si>
    <t>02:47:16 AM</t>
  </si>
  <si>
    <t>02:47:23 PM</t>
  </si>
  <si>
    <t>02:48:31 PM</t>
  </si>
  <si>
    <t>02:48:57 PM</t>
  </si>
  <si>
    <t>02:49:09 PM</t>
  </si>
  <si>
    <t>02:49:25 AM</t>
  </si>
  <si>
    <t>02:49:36 PM</t>
  </si>
  <si>
    <t>02:49:38 PM</t>
  </si>
  <si>
    <t>02:49:39 PM</t>
  </si>
  <si>
    <t>02:50:03 AM</t>
  </si>
  <si>
    <t>02:50:31 AM</t>
  </si>
  <si>
    <t>02:50:50 PM</t>
  </si>
  <si>
    <t>02:50:57 PM</t>
  </si>
  <si>
    <t>02:51:27 PM</t>
  </si>
  <si>
    <t>02:51:34 AM</t>
  </si>
  <si>
    <t>02:51:44 PM</t>
  </si>
  <si>
    <t>02:52:04 PM</t>
  </si>
  <si>
    <t>02:52:07 PM</t>
  </si>
  <si>
    <t>02:52:21 AM</t>
  </si>
  <si>
    <t>02:52:30 PM</t>
  </si>
  <si>
    <t>02:52:43 AM</t>
  </si>
  <si>
    <t>02:52:46 PM</t>
  </si>
  <si>
    <t>02:52:52 PM</t>
  </si>
  <si>
    <t>02:52:56 PM</t>
  </si>
  <si>
    <t>02:53:19 PM</t>
  </si>
  <si>
    <t>02:53:23 AM</t>
  </si>
  <si>
    <t>02:53:28 AM</t>
  </si>
  <si>
    <t>02:54:03 PM</t>
  </si>
  <si>
    <t>02:54:19 PM</t>
  </si>
  <si>
    <t>02:54:32 PM</t>
  </si>
  <si>
    <t>02:54:42 AM</t>
  </si>
  <si>
    <t>02:54:51 AM</t>
  </si>
  <si>
    <t>02:54:53 PM</t>
  </si>
  <si>
    <t>02:55:04 AM</t>
  </si>
  <si>
    <t>02:55:05 PM</t>
  </si>
  <si>
    <t>02:55:47 PM</t>
  </si>
  <si>
    <t>02:56:18 AM</t>
  </si>
  <si>
    <t>02:56:24 AM</t>
  </si>
  <si>
    <t>02:56:29 AM</t>
  </si>
  <si>
    <t>02:56:42 PM</t>
  </si>
  <si>
    <t>02:56:57 AM</t>
  </si>
  <si>
    <t>02:57:46 AM</t>
  </si>
  <si>
    <t>02:58:00 PM</t>
  </si>
  <si>
    <t>02:58:17 PM</t>
  </si>
  <si>
    <t>02:58:37 AM</t>
  </si>
  <si>
    <t>02:58:45 PM</t>
  </si>
  <si>
    <t>02:58:55 PM</t>
  </si>
  <si>
    <t>02:59:09 PM</t>
  </si>
  <si>
    <t>02:59:10 PM</t>
  </si>
  <si>
    <t>02:59:53 PM</t>
  </si>
  <si>
    <t>02:59:57 AM</t>
  </si>
  <si>
    <t>03:00:19 AM</t>
  </si>
  <si>
    <t>03:00:52 AM</t>
  </si>
  <si>
    <t>03:00:59 PM</t>
  </si>
  <si>
    <t>03:01:12 PM</t>
  </si>
  <si>
    <t>03:03:20 AM</t>
  </si>
  <si>
    <t>03:03:21 PM</t>
  </si>
  <si>
    <t>03:03:34 PM</t>
  </si>
  <si>
    <t>03:03:39 PM</t>
  </si>
  <si>
    <t>03:03:57 AM</t>
  </si>
  <si>
    <t>03:04:05 AM</t>
  </si>
  <si>
    <t>03:04:20 AM</t>
  </si>
  <si>
    <t>03:04:25 PM</t>
  </si>
  <si>
    <t>03:04:32 PM</t>
  </si>
  <si>
    <t>03:04:41 PM</t>
  </si>
  <si>
    <t>03:05:15 AM</t>
  </si>
  <si>
    <t>03:06:19 PM</t>
  </si>
  <si>
    <t>03:07:04 PM</t>
  </si>
  <si>
    <t>03:07:38 AM</t>
  </si>
  <si>
    <t>03:08:14 AM</t>
  </si>
  <si>
    <t>03:09:20 AM</t>
  </si>
  <si>
    <t>03:09:33 AM</t>
  </si>
  <si>
    <t>03:10:36 AM</t>
  </si>
  <si>
    <t>03:10:40 PM</t>
  </si>
  <si>
    <t>03:10:42 PM</t>
  </si>
  <si>
    <t>03:11:37 AM</t>
  </si>
  <si>
    <t>03:11:39 PM</t>
  </si>
  <si>
    <t>03:12:38 AM</t>
  </si>
  <si>
    <t>03:13:01 PM</t>
  </si>
  <si>
    <t>03:13:05 AM</t>
  </si>
  <si>
    <t>03:13:35 AM</t>
  </si>
  <si>
    <t>03:13:47 AM</t>
  </si>
  <si>
    <t>03:15:07 PM</t>
  </si>
  <si>
    <t>03:15:15 AM</t>
  </si>
  <si>
    <t>03:15:30 AM</t>
  </si>
  <si>
    <t>03:15:31 PM</t>
  </si>
  <si>
    <t>03:15:50 AM</t>
  </si>
  <si>
    <t>03:16:28 AM</t>
  </si>
  <si>
    <t>03:16:38 AM</t>
  </si>
  <si>
    <t>03:17:32 PM</t>
  </si>
  <si>
    <t>03:17:47 AM</t>
  </si>
  <si>
    <t>03:17:57 AM</t>
  </si>
  <si>
    <t>03:18:30 PM</t>
  </si>
  <si>
    <t>03:18:51 PM</t>
  </si>
  <si>
    <t>03:19:51 PM</t>
  </si>
  <si>
    <t>03:19:57 AM</t>
  </si>
  <si>
    <t>03:20:04 AM</t>
  </si>
  <si>
    <t>03:20:17 PM</t>
  </si>
  <si>
    <t>03:20:28 PM</t>
  </si>
  <si>
    <t>03:21:09 AM</t>
  </si>
  <si>
    <t>03:21:11 PM</t>
  </si>
  <si>
    <t>03:21:36 PM</t>
  </si>
  <si>
    <t>03:22:33 PM</t>
  </si>
  <si>
    <t>03:22:39 PM</t>
  </si>
  <si>
    <t>03:23:12 PM</t>
  </si>
  <si>
    <t>03:23:54 PM</t>
  </si>
  <si>
    <t>03:24:02 AM</t>
  </si>
  <si>
    <t>03:24:22 PM</t>
  </si>
  <si>
    <t>03:24:57 PM</t>
  </si>
  <si>
    <t>03:25:01 AM</t>
  </si>
  <si>
    <t>03:25:05 AM</t>
  </si>
  <si>
    <t>03:25:29 AM</t>
  </si>
  <si>
    <t>03:25:38 PM</t>
  </si>
  <si>
    <t>03:25:42 PM</t>
  </si>
  <si>
    <t>03:26:21 PM</t>
  </si>
  <si>
    <t>03:26:30 AM</t>
  </si>
  <si>
    <t>03:26:49 PM</t>
  </si>
  <si>
    <t>03:26:51 AM</t>
  </si>
  <si>
    <t>03:26:57 AM</t>
  </si>
  <si>
    <t>03:27:07 PM</t>
  </si>
  <si>
    <t>03:27:24 PM</t>
  </si>
  <si>
    <t>03:27:31 AM</t>
  </si>
  <si>
    <t>03:27:50 PM</t>
  </si>
  <si>
    <t>03:27:53 AM</t>
  </si>
  <si>
    <t>03:28:18 AM</t>
  </si>
  <si>
    <t>03:29:11 PM</t>
  </si>
  <si>
    <t>03:29:18 PM</t>
  </si>
  <si>
    <t>03:29:25 PM</t>
  </si>
  <si>
    <t>03:29:41 AM</t>
  </si>
  <si>
    <t>03:29:55 AM</t>
  </si>
  <si>
    <t>03:30:04 AM</t>
  </si>
  <si>
    <t>03:30:49 AM</t>
  </si>
  <si>
    <t>03:30:54 PM</t>
  </si>
  <si>
    <t>03:31:31 PM</t>
  </si>
  <si>
    <t>03:32:00 AM</t>
  </si>
  <si>
    <t>03:32:08 PM</t>
  </si>
  <si>
    <t>03:32:13 AM</t>
  </si>
  <si>
    <t>03:32:30 AM</t>
  </si>
  <si>
    <t>03:32:37 AM</t>
  </si>
  <si>
    <t>03:34:35 AM</t>
  </si>
  <si>
    <t>03:34:50 PM</t>
  </si>
  <si>
    <t>03:35:27 AM</t>
  </si>
  <si>
    <t>03:35:33 PM</t>
  </si>
  <si>
    <t>03:35:41 PM</t>
  </si>
  <si>
    <t>03:35:58 AM</t>
  </si>
  <si>
    <t>03:36:48 AM</t>
  </si>
  <si>
    <t>03:37:15 PM</t>
  </si>
  <si>
    <t>03:37:20 AM</t>
  </si>
  <si>
    <t>03:37:43 AM</t>
  </si>
  <si>
    <t>03:38:15 PM</t>
  </si>
  <si>
    <t>03:38:17 PM</t>
  </si>
  <si>
    <t>03:38:18 AM</t>
  </si>
  <si>
    <t>03:38:57 PM</t>
  </si>
  <si>
    <t>03:39:01 AM</t>
  </si>
  <si>
    <t>03:39:28 PM</t>
  </si>
  <si>
    <t>03:39:40 PM</t>
  </si>
  <si>
    <t>03:39:48 PM</t>
  </si>
  <si>
    <t>03:41:51 AM</t>
  </si>
  <si>
    <t>03:42:04 PM</t>
  </si>
  <si>
    <t>03:43:01 AM</t>
  </si>
  <si>
    <t>03:43:25 AM</t>
  </si>
  <si>
    <t>03:43:29 AM</t>
  </si>
  <si>
    <t>03:45:16 AM</t>
  </si>
  <si>
    <t>03:46:19 PM</t>
  </si>
  <si>
    <t>03:46:20 PM</t>
  </si>
  <si>
    <t>03:46:53 PM</t>
  </si>
  <si>
    <t>03:47:16 PM</t>
  </si>
  <si>
    <t>03:47:31 AM</t>
  </si>
  <si>
    <t>03:49:44 AM</t>
  </si>
  <si>
    <t>03:50:07 AM</t>
  </si>
  <si>
    <t>03:50:43 PM</t>
  </si>
  <si>
    <t>03:52:12 AM</t>
  </si>
  <si>
    <t>03:52:20 AM</t>
  </si>
  <si>
    <t>03:52:28 PM</t>
  </si>
  <si>
    <t>03:52:31 PM</t>
  </si>
  <si>
    <t>03:52:40 AM</t>
  </si>
  <si>
    <t>03:52:55 PM</t>
  </si>
  <si>
    <t>03:54:14 AM</t>
  </si>
  <si>
    <t>03:54:14 PM</t>
  </si>
  <si>
    <t>03:54:42 PM</t>
  </si>
  <si>
    <t>03:54:55 PM</t>
  </si>
  <si>
    <t>03:54:59 AM</t>
  </si>
  <si>
    <t>03:55:04 AM</t>
  </si>
  <si>
    <t>03:55:14 AM</t>
  </si>
  <si>
    <t>03:56:11 AM</t>
  </si>
  <si>
    <t>03:56:21 AM</t>
  </si>
  <si>
    <t>03:56:36 PM</t>
  </si>
  <si>
    <t>03:56:54 PM</t>
  </si>
  <si>
    <t>03:56:58 PM</t>
  </si>
  <si>
    <t>03:57:00 AM</t>
  </si>
  <si>
    <t>03:57:02 AM</t>
  </si>
  <si>
    <t>03:57:10 PM</t>
  </si>
  <si>
    <t>03:57:14 PM</t>
  </si>
  <si>
    <t>03:59:06 AM</t>
  </si>
  <si>
    <t>03:59:33 PM</t>
  </si>
  <si>
    <t>04:00:11 AM</t>
  </si>
  <si>
    <t>04:00:21 AM</t>
  </si>
  <si>
    <t>04:00:22 AM</t>
  </si>
  <si>
    <t>04:01:08 AM</t>
  </si>
  <si>
    <t>04:02:29 AM</t>
  </si>
  <si>
    <t>04:03:13 AM</t>
  </si>
  <si>
    <t>04:03:50 PM</t>
  </si>
  <si>
    <t>04:04:05 PM</t>
  </si>
  <si>
    <t>04:04:09 PM</t>
  </si>
  <si>
    <t>04:04:13 AM</t>
  </si>
  <si>
    <t>04:04:18 AM</t>
  </si>
  <si>
    <t>04:04:22 AM</t>
  </si>
  <si>
    <t>04:04:24 AM</t>
  </si>
  <si>
    <t>04:04:28 AM</t>
  </si>
  <si>
    <t>04:04:30 PM</t>
  </si>
  <si>
    <t>04:04:39 AM</t>
  </si>
  <si>
    <t>04:04:44 PM</t>
  </si>
  <si>
    <t>04:04:52 AM</t>
  </si>
  <si>
    <t>04:05:07 AM</t>
  </si>
  <si>
    <t>04:05:10 AM</t>
  </si>
  <si>
    <t>04:05:47 PM</t>
  </si>
  <si>
    <t>04:05:56 AM</t>
  </si>
  <si>
    <t>04:05:57 PM</t>
  </si>
  <si>
    <t>04:06:35 PM</t>
  </si>
  <si>
    <t>04:06:43 AM</t>
  </si>
  <si>
    <t>04:07:24 PM</t>
  </si>
  <si>
    <t>04:07:38 AM</t>
  </si>
  <si>
    <t>04:07:42 AM</t>
  </si>
  <si>
    <t>04:07:44 PM</t>
  </si>
  <si>
    <t>04:07:46 PM</t>
  </si>
  <si>
    <t>04:07:51 AM</t>
  </si>
  <si>
    <t>04:08:45 AM</t>
  </si>
  <si>
    <t>04:10:05 PM</t>
  </si>
  <si>
    <t>04:10:37 PM</t>
  </si>
  <si>
    <t>04:10:40 PM</t>
  </si>
  <si>
    <t>04:11:59 AM</t>
  </si>
  <si>
    <t>04:12:24 PM</t>
  </si>
  <si>
    <t>04:12:27 PM</t>
  </si>
  <si>
    <t>04:12:29 AM</t>
  </si>
  <si>
    <t>04:12:33 AM</t>
  </si>
  <si>
    <t>04:12:53 AM</t>
  </si>
  <si>
    <t>04:13:07 PM</t>
  </si>
  <si>
    <t>04:13:32 PM</t>
  </si>
  <si>
    <t>04:13:41 PM</t>
  </si>
  <si>
    <t>04:13:51 PM</t>
  </si>
  <si>
    <t>04:14:13 AM</t>
  </si>
  <si>
    <t>04:14:19 PM</t>
  </si>
  <si>
    <t>04:15:37 AM</t>
  </si>
  <si>
    <t>04:15:46 PM</t>
  </si>
  <si>
    <t>04:16:08 AM</t>
  </si>
  <si>
    <t>04:16:47 AM</t>
  </si>
  <si>
    <t>04:17:05 PM</t>
  </si>
  <si>
    <t>04:18:32 PM</t>
  </si>
  <si>
    <t>04:18:35 AM</t>
  </si>
  <si>
    <t>04:18:38 AM</t>
  </si>
  <si>
    <t>04:20:20 PM</t>
  </si>
  <si>
    <t>04:20:51 AM</t>
  </si>
  <si>
    <t>04:20:52 PM</t>
  </si>
  <si>
    <t>04:21:10 PM</t>
  </si>
  <si>
    <t>04:22:40 AM</t>
  </si>
  <si>
    <t>04:22:57 PM</t>
  </si>
  <si>
    <t>04:23:38 AM</t>
  </si>
  <si>
    <t>04:24:06 PM</t>
  </si>
  <si>
    <t>04:25:21 PM</t>
  </si>
  <si>
    <t>04:25:33 AM</t>
  </si>
  <si>
    <t>04:25:50 PM</t>
  </si>
  <si>
    <t>04:26:09 AM</t>
  </si>
  <si>
    <t>04:26:14 PM</t>
  </si>
  <si>
    <t>04:26:47 PM</t>
  </si>
  <si>
    <t>04:27:06 PM</t>
  </si>
  <si>
    <t>04:27:07 PM</t>
  </si>
  <si>
    <t>04:27:20 PM</t>
  </si>
  <si>
    <t>04:27:24 PM</t>
  </si>
  <si>
    <t>04:28:08 PM</t>
  </si>
  <si>
    <t>04:28:55 AM</t>
  </si>
  <si>
    <t>04:29:21 PM</t>
  </si>
  <si>
    <t>04:29:40 PM</t>
  </si>
  <si>
    <t>04:30:04 PM</t>
  </si>
  <si>
    <t>04:30:43 AM</t>
  </si>
  <si>
    <t>04:30:56 AM</t>
  </si>
  <si>
    <t>04:31:03 PM</t>
  </si>
  <si>
    <t>04:31:10 AM</t>
  </si>
  <si>
    <t>04:31:18 PM</t>
  </si>
  <si>
    <t>04:31:25 PM</t>
  </si>
  <si>
    <t>04:32:24 PM</t>
  </si>
  <si>
    <t>04:32:37 AM</t>
  </si>
  <si>
    <t>04:32:54 AM</t>
  </si>
  <si>
    <t>04:33:22 AM</t>
  </si>
  <si>
    <t>04:33:31 AM</t>
  </si>
  <si>
    <t>04:33:42 AM</t>
  </si>
  <si>
    <t>04:33:51 AM</t>
  </si>
  <si>
    <t>04:34:01 PM</t>
  </si>
  <si>
    <t>04:34:17 PM</t>
  </si>
  <si>
    <t>04:34:19 PM</t>
  </si>
  <si>
    <t>04:34:24 AM</t>
  </si>
  <si>
    <t>04:34:29 AM</t>
  </si>
  <si>
    <t>04:36:19 AM</t>
  </si>
  <si>
    <t>04:36:26 PM</t>
  </si>
  <si>
    <t>04:36:57 PM</t>
  </si>
  <si>
    <t>04:37:05 AM</t>
  </si>
  <si>
    <t>04:37:45 AM</t>
  </si>
  <si>
    <t>04:37:54 AM</t>
  </si>
  <si>
    <t>04:37:55 PM</t>
  </si>
  <si>
    <t>04:38:25 PM</t>
  </si>
  <si>
    <t>04:38:27 PM</t>
  </si>
  <si>
    <t>04:39:04 AM</t>
  </si>
  <si>
    <t>04:39:57 PM</t>
  </si>
  <si>
    <t>04:41:14 AM</t>
  </si>
  <si>
    <t>04:42:19 PM</t>
  </si>
  <si>
    <t>04:43:38 AM</t>
  </si>
  <si>
    <t>04:43:52 AM</t>
  </si>
  <si>
    <t>04:44:02 PM</t>
  </si>
  <si>
    <t>04:44:20 AM</t>
  </si>
  <si>
    <t>04:44:25 AM</t>
  </si>
  <si>
    <t>04:44:27 AM</t>
  </si>
  <si>
    <t>04:44:35 PM</t>
  </si>
  <si>
    <t>04:44:57 PM</t>
  </si>
  <si>
    <t>04:45:05 AM</t>
  </si>
  <si>
    <t>04:46:03 PM</t>
  </si>
  <si>
    <t>04:46:11 AM</t>
  </si>
  <si>
    <t>04:47:02 PM</t>
  </si>
  <si>
    <t>04:47:47 PM</t>
  </si>
  <si>
    <t>04:48:44 PM</t>
  </si>
  <si>
    <t>04:49:16 PM</t>
  </si>
  <si>
    <t>04:49:18 AM</t>
  </si>
  <si>
    <t>04:49:24 AM</t>
  </si>
  <si>
    <t>04:49:29 PM</t>
  </si>
  <si>
    <t>04:49:34 PM</t>
  </si>
  <si>
    <t>04:49:54 PM</t>
  </si>
  <si>
    <t>04:50:01 PM</t>
  </si>
  <si>
    <t>04:50:13 AM</t>
  </si>
  <si>
    <t>04:51:30 AM</t>
  </si>
  <si>
    <t>04:51:36 PM</t>
  </si>
  <si>
    <t>04:53:04 PM</t>
  </si>
  <si>
    <t>04:54:39 PM</t>
  </si>
  <si>
    <t>04:55:14 AM</t>
  </si>
  <si>
    <t>04:55:35 PM</t>
  </si>
  <si>
    <t>04:55:48 PM</t>
  </si>
  <si>
    <t>04:55:54 AM</t>
  </si>
  <si>
    <t>04:55:54 PM</t>
  </si>
  <si>
    <t>04:56:09 AM</t>
  </si>
  <si>
    <t>04:56:16 AM</t>
  </si>
  <si>
    <t>04:56:41 AM</t>
  </si>
  <si>
    <t>04:56:51 AM</t>
  </si>
  <si>
    <t>04:56:59 AM</t>
  </si>
  <si>
    <t>04:57:40 PM</t>
  </si>
  <si>
    <t>04:57:57 PM</t>
  </si>
  <si>
    <t>04:58:02 AM</t>
  </si>
  <si>
    <t>04:58:31 AM</t>
  </si>
  <si>
    <t>04:58:57 PM</t>
  </si>
  <si>
    <t>04:58:59 AM</t>
  </si>
  <si>
    <t>04:59:04 AM</t>
  </si>
  <si>
    <t>04:59:17 AM</t>
  </si>
  <si>
    <t>04:59:23 AM</t>
  </si>
  <si>
    <t>04:59:30 AM</t>
  </si>
  <si>
    <t>05:01:22 PM</t>
  </si>
  <si>
    <t>05:02:02 AM</t>
  </si>
  <si>
    <t>05:02:28 AM</t>
  </si>
  <si>
    <t>05:02:45 PM</t>
  </si>
  <si>
    <t>05:02:59 AM</t>
  </si>
  <si>
    <t>05:03:24 AM</t>
  </si>
  <si>
    <t>05:03:27 PM</t>
  </si>
  <si>
    <t>05:03:56 AM</t>
  </si>
  <si>
    <t>05:04:06 PM</t>
  </si>
  <si>
    <t>05:04:13 PM</t>
  </si>
  <si>
    <t>05:04:17 AM</t>
  </si>
  <si>
    <t>05:04:31 PM</t>
  </si>
  <si>
    <t>05:05:11 AM</t>
  </si>
  <si>
    <t>05:05:46 PM</t>
  </si>
  <si>
    <t>05:06:19 PM</t>
  </si>
  <si>
    <t>05:06:43 PM</t>
  </si>
  <si>
    <t>05:08:06 AM</t>
  </si>
  <si>
    <t>05:09:11 PM</t>
  </si>
  <si>
    <t>05:10:03 AM</t>
  </si>
  <si>
    <t>05:11:24 PM</t>
  </si>
  <si>
    <t>05:11:54 PM</t>
  </si>
  <si>
    <t>05:12:14 AM</t>
  </si>
  <si>
    <t>05:12:33 PM</t>
  </si>
  <si>
    <t>05:12:48 PM</t>
  </si>
  <si>
    <t>05:13:33 PM</t>
  </si>
  <si>
    <t>05:13:39 AM</t>
  </si>
  <si>
    <t>05:13:56 PM</t>
  </si>
  <si>
    <t>05:14:01 AM</t>
  </si>
  <si>
    <t>05:14:25 AM</t>
  </si>
  <si>
    <t>05:14:25 PM</t>
  </si>
  <si>
    <t>05:14:34 PM</t>
  </si>
  <si>
    <t>05:15:09 PM</t>
  </si>
  <si>
    <t>05:16:15 AM</t>
  </si>
  <si>
    <t>05:16:19 PM</t>
  </si>
  <si>
    <t>05:16:34 PM</t>
  </si>
  <si>
    <t>05:17:00 AM</t>
  </si>
  <si>
    <t>05:17:29 AM</t>
  </si>
  <si>
    <t>05:17:35 PM</t>
  </si>
  <si>
    <t>05:17:36 PM</t>
  </si>
  <si>
    <t>05:17:41 AM</t>
  </si>
  <si>
    <t>05:17:54 AM</t>
  </si>
  <si>
    <t>05:17:59 AM</t>
  </si>
  <si>
    <t>05:18:29 PM</t>
  </si>
  <si>
    <t>05:18:32 PM</t>
  </si>
  <si>
    <t>05:18:49 AM</t>
  </si>
  <si>
    <t>05:18:51 PM</t>
  </si>
  <si>
    <t>05:18:53 PM</t>
  </si>
  <si>
    <t>05:18:59 PM</t>
  </si>
  <si>
    <t>05:19:24 PM</t>
  </si>
  <si>
    <t>05:19:57 AM</t>
  </si>
  <si>
    <t>05:20:15 PM</t>
  </si>
  <si>
    <t>05:20:23 AM</t>
  </si>
  <si>
    <t>05:20:28 PM</t>
  </si>
  <si>
    <t>05:21:12 AM</t>
  </si>
  <si>
    <t>05:21:32 PM</t>
  </si>
  <si>
    <t>05:21:35 AM</t>
  </si>
  <si>
    <t>05:22:41 PM</t>
  </si>
  <si>
    <t>05:23:04 PM</t>
  </si>
  <si>
    <t>05:23:36 PM</t>
  </si>
  <si>
    <t>05:24:35 AM</t>
  </si>
  <si>
    <t>05:24:54 PM</t>
  </si>
  <si>
    <t>05:25:32 AM</t>
  </si>
  <si>
    <t>05:25:38 PM</t>
  </si>
  <si>
    <t>05:25:48 PM</t>
  </si>
  <si>
    <t>05:26:16 AM</t>
  </si>
  <si>
    <t>05:26:22 PM</t>
  </si>
  <si>
    <t>05:27:19 AM</t>
  </si>
  <si>
    <t>05:27:48 AM</t>
  </si>
  <si>
    <t>05:27:53 AM</t>
  </si>
  <si>
    <t>05:28:46 PM</t>
  </si>
  <si>
    <t>05:28:47 AM</t>
  </si>
  <si>
    <t>05:29:20 PM</t>
  </si>
  <si>
    <t>05:29:34 PM</t>
  </si>
  <si>
    <t>05:29:54 AM</t>
  </si>
  <si>
    <t>05:30:05 PM</t>
  </si>
  <si>
    <t>05:30:14 PM</t>
  </si>
  <si>
    <t>05:30:17 PM</t>
  </si>
  <si>
    <t>05:30:55 AM</t>
  </si>
  <si>
    <t>05:31:10 PM</t>
  </si>
  <si>
    <t>05:31:28 PM</t>
  </si>
  <si>
    <t>05:31:34 AM</t>
  </si>
  <si>
    <t>05:31:40 AM</t>
  </si>
  <si>
    <t>05:31:42 AM</t>
  </si>
  <si>
    <t>05:32:06 AM</t>
  </si>
  <si>
    <t>05:32:17 PM</t>
  </si>
  <si>
    <t>05:32:37 AM</t>
  </si>
  <si>
    <t>05:33:39 AM</t>
  </si>
  <si>
    <t>05:33:52 AM</t>
  </si>
  <si>
    <t>05:33:57 PM</t>
  </si>
  <si>
    <t>05:34:49 PM</t>
  </si>
  <si>
    <t>05:34:57 PM</t>
  </si>
  <si>
    <t>05:35:31 PM</t>
  </si>
  <si>
    <t>05:36:05 AM</t>
  </si>
  <si>
    <t>05:36:14 PM</t>
  </si>
  <si>
    <t>05:36:29 AM</t>
  </si>
  <si>
    <t>05:36:45 PM</t>
  </si>
  <si>
    <t>05:37:00 AM</t>
  </si>
  <si>
    <t>05:37:09 AM</t>
  </si>
  <si>
    <t>05:37:24 PM</t>
  </si>
  <si>
    <t>05:38:00 AM</t>
  </si>
  <si>
    <t>05:38:01 AM</t>
  </si>
  <si>
    <t>05:38:12 PM</t>
  </si>
  <si>
    <t>05:38:34 PM</t>
  </si>
  <si>
    <t>05:38:52 AM</t>
  </si>
  <si>
    <t>05:39:04 AM</t>
  </si>
  <si>
    <t>05:39:19 PM</t>
  </si>
  <si>
    <t>05:39:29 AM</t>
  </si>
  <si>
    <t>05:39:43 PM</t>
  </si>
  <si>
    <t>05:40:00 PM</t>
  </si>
  <si>
    <t>05:40:36 AM</t>
  </si>
  <si>
    <t>05:40:44 AM</t>
  </si>
  <si>
    <t>05:40:54 PM</t>
  </si>
  <si>
    <t>05:40:59 AM</t>
  </si>
  <si>
    <t>05:41:13 PM</t>
  </si>
  <si>
    <t>05:41:57 PM</t>
  </si>
  <si>
    <t>05:42:09 AM</t>
  </si>
  <si>
    <t>05:42:45 PM</t>
  </si>
  <si>
    <t>05:43:10 PM</t>
  </si>
  <si>
    <t>05:44:17 AM</t>
  </si>
  <si>
    <t>05:45:07 PM</t>
  </si>
  <si>
    <t>05:45:23 AM</t>
  </si>
  <si>
    <t>05:45:39 PM</t>
  </si>
  <si>
    <t>05:46:06 PM</t>
  </si>
  <si>
    <t>05:46:09 AM</t>
  </si>
  <si>
    <t>05:46:17 AM</t>
  </si>
  <si>
    <t>05:46:47 AM</t>
  </si>
  <si>
    <t>05:47:02 PM</t>
  </si>
  <si>
    <t>05:47:15 PM</t>
  </si>
  <si>
    <t>05:48:28 PM</t>
  </si>
  <si>
    <t>05:49:38 PM</t>
  </si>
  <si>
    <t>05:49:42 PM</t>
  </si>
  <si>
    <t>05:49:49 AM</t>
  </si>
  <si>
    <t>05:50:03 AM</t>
  </si>
  <si>
    <t>05:51:02 PM</t>
  </si>
  <si>
    <t>05:51:53 PM</t>
  </si>
  <si>
    <t>05:52:29 PM</t>
  </si>
  <si>
    <t>05:52:52 AM</t>
  </si>
  <si>
    <t>05:52:58 AM</t>
  </si>
  <si>
    <t>05:53:02 AM</t>
  </si>
  <si>
    <t>05:53:11 AM</t>
  </si>
  <si>
    <t>05:53:26 PM</t>
  </si>
  <si>
    <t>05:54:01 AM</t>
  </si>
  <si>
    <t>05:54:13 PM</t>
  </si>
  <si>
    <t>05:54:28 AM</t>
  </si>
  <si>
    <t>05:54:52 AM</t>
  </si>
  <si>
    <t>05:54:57 AM</t>
  </si>
  <si>
    <t>05:55:28 AM</t>
  </si>
  <si>
    <t>05:55:30 AM</t>
  </si>
  <si>
    <t>05:55:50 PM</t>
  </si>
  <si>
    <t>05:56:16 PM</t>
  </si>
  <si>
    <t>05:56:48 AM</t>
  </si>
  <si>
    <t>05:57:32 AM</t>
  </si>
  <si>
    <t>05:57:58 PM</t>
  </si>
  <si>
    <t>05:58:32 PM</t>
  </si>
  <si>
    <t>05:58:55 PM</t>
  </si>
  <si>
    <t>05:59:54 PM</t>
  </si>
  <si>
    <t>05:59:57 PM</t>
  </si>
  <si>
    <t>06:00:40 AM</t>
  </si>
  <si>
    <t>06:00:43 PM</t>
  </si>
  <si>
    <t>06:00:48 PM</t>
  </si>
  <si>
    <t>06:00:53 AM</t>
  </si>
  <si>
    <t>06:01:26 PM</t>
  </si>
  <si>
    <t>06:01:33 AM</t>
  </si>
  <si>
    <t>06:01:43 PM</t>
  </si>
  <si>
    <t>06:02:55 PM</t>
  </si>
  <si>
    <t>06:03:07 PM</t>
  </si>
  <si>
    <t>06:03:08 PM</t>
  </si>
  <si>
    <t>06:03:37 PM</t>
  </si>
  <si>
    <t>06:04:36 PM</t>
  </si>
  <si>
    <t>06:04:49 AM</t>
  </si>
  <si>
    <t>06:04:51 AM</t>
  </si>
  <si>
    <t>06:05:05 AM</t>
  </si>
  <si>
    <t>06:05:15 AM</t>
  </si>
  <si>
    <t>06:05:37 PM</t>
  </si>
  <si>
    <t>06:06:06 AM</t>
  </si>
  <si>
    <t>06:06:07 PM</t>
  </si>
  <si>
    <t>06:07:02 PM</t>
  </si>
  <si>
    <t>06:07:08 PM</t>
  </si>
  <si>
    <t>06:07:19 AM</t>
  </si>
  <si>
    <t>06:07:23 PM</t>
  </si>
  <si>
    <t>06:07:33 PM</t>
  </si>
  <si>
    <t>06:07:49 AM</t>
  </si>
  <si>
    <t>06:08:03 PM</t>
  </si>
  <si>
    <t>06:08:13 AM</t>
  </si>
  <si>
    <t>06:08:19 AM</t>
  </si>
  <si>
    <t>06:08:53 PM</t>
  </si>
  <si>
    <t>06:10:07 PM</t>
  </si>
  <si>
    <t>06:10:15 PM</t>
  </si>
  <si>
    <t>06:10:31 PM</t>
  </si>
  <si>
    <t>06:10:46 AM</t>
  </si>
  <si>
    <t>06:10:57 AM</t>
  </si>
  <si>
    <t>06:11:15 PM</t>
  </si>
  <si>
    <t>06:11:28 PM</t>
  </si>
  <si>
    <t>06:11:29 PM</t>
  </si>
  <si>
    <t>06:11:34 PM</t>
  </si>
  <si>
    <t>06:11:40 AM</t>
  </si>
  <si>
    <t>06:11:53 AM</t>
  </si>
  <si>
    <t>06:12:36 PM</t>
  </si>
  <si>
    <t>06:12:44 PM</t>
  </si>
  <si>
    <t>06:13:24 PM</t>
  </si>
  <si>
    <t>06:13:39 PM</t>
  </si>
  <si>
    <t>06:13:58 PM</t>
  </si>
  <si>
    <t>06:14:11 AM</t>
  </si>
  <si>
    <t>06:14:14 AM</t>
  </si>
  <si>
    <t>06:14:25 AM</t>
  </si>
  <si>
    <t>06:14:59 PM</t>
  </si>
  <si>
    <t>06:16:41 PM</t>
  </si>
  <si>
    <t>06:17:14 AM</t>
  </si>
  <si>
    <t>06:17:18 AM</t>
  </si>
  <si>
    <t>06:17:20 PM</t>
  </si>
  <si>
    <t>06:17:33 PM</t>
  </si>
  <si>
    <t>06:18:14 PM</t>
  </si>
  <si>
    <t>06:18:18 PM</t>
  </si>
  <si>
    <t>06:18:23 AM</t>
  </si>
  <si>
    <t>06:18:48 AM</t>
  </si>
  <si>
    <t>06:18:53 PM</t>
  </si>
  <si>
    <t>06:21:02 PM</t>
  </si>
  <si>
    <t>06:23:25 PM</t>
  </si>
  <si>
    <t>06:23:44 PM</t>
  </si>
  <si>
    <t>06:23:56 PM</t>
  </si>
  <si>
    <t>06:24:26 AM</t>
  </si>
  <si>
    <t>06:25:11 PM</t>
  </si>
  <si>
    <t>06:26:02 PM</t>
  </si>
  <si>
    <t>06:26:05 PM</t>
  </si>
  <si>
    <t>06:26:23 PM</t>
  </si>
  <si>
    <t>06:26:42 AM</t>
  </si>
  <si>
    <t>06:26:45 PM</t>
  </si>
  <si>
    <t>06:27:08 PM</t>
  </si>
  <si>
    <t>06:27:11 PM</t>
  </si>
  <si>
    <t>06:27:14 PM</t>
  </si>
  <si>
    <t>06:27:46 AM</t>
  </si>
  <si>
    <t>06:28:49 PM</t>
  </si>
  <si>
    <t>06:29:13 PM</t>
  </si>
  <si>
    <t>06:29:33 AM</t>
  </si>
  <si>
    <t>06:30:06 AM</t>
  </si>
  <si>
    <t>06:32:03 PM</t>
  </si>
  <si>
    <t>06:33:20 PM</t>
  </si>
  <si>
    <t>06:33:39 AM</t>
  </si>
  <si>
    <t>06:33:40 PM</t>
  </si>
  <si>
    <t>06:33:44 AM</t>
  </si>
  <si>
    <t>06:34:17 AM</t>
  </si>
  <si>
    <t>06:34:46 PM</t>
  </si>
  <si>
    <t>06:35:20 AM</t>
  </si>
  <si>
    <t>06:35:34 AM</t>
  </si>
  <si>
    <t>06:36:21 AM</t>
  </si>
  <si>
    <t>06:36:46 AM</t>
  </si>
  <si>
    <t>06:37:28 PM</t>
  </si>
  <si>
    <t>06:37:30 PM</t>
  </si>
  <si>
    <t>06:37:43 PM</t>
  </si>
  <si>
    <t>06:37:50 AM</t>
  </si>
  <si>
    <t>06:38:00 AM</t>
  </si>
  <si>
    <t>06:38:03 PM</t>
  </si>
  <si>
    <t>06:38:22 PM</t>
  </si>
  <si>
    <t>06:39:10 AM</t>
  </si>
  <si>
    <t>06:40:48 AM</t>
  </si>
  <si>
    <t>06:40:56 AM</t>
  </si>
  <si>
    <t>06:41:38 PM</t>
  </si>
  <si>
    <t>06:41:53 PM</t>
  </si>
  <si>
    <t>06:41:57 PM</t>
  </si>
  <si>
    <t>06:42:09 PM</t>
  </si>
  <si>
    <t>06:42:53 AM</t>
  </si>
  <si>
    <t>06:43:08 PM</t>
  </si>
  <si>
    <t>06:43:39 AM</t>
  </si>
  <si>
    <t>06:43:51 AM</t>
  </si>
  <si>
    <t>06:44:20 PM</t>
  </si>
  <si>
    <t>06:44:21 PM</t>
  </si>
  <si>
    <t>06:44:32 AM</t>
  </si>
  <si>
    <t>06:45:00 AM</t>
  </si>
  <si>
    <t>06:45:26 PM</t>
  </si>
  <si>
    <t>06:45:34 AM</t>
  </si>
  <si>
    <t>06:46:24 PM</t>
  </si>
  <si>
    <t>06:46:37 PM</t>
  </si>
  <si>
    <t>06:46:45 PM</t>
  </si>
  <si>
    <t>06:47:45 PM</t>
  </si>
  <si>
    <t>06:47:51 PM</t>
  </si>
  <si>
    <t>06:47:56 AM</t>
  </si>
  <si>
    <t>06:47:59 PM</t>
  </si>
  <si>
    <t>06:48:14 AM</t>
  </si>
  <si>
    <t>06:48:20 AM</t>
  </si>
  <si>
    <t>06:49:17 AM</t>
  </si>
  <si>
    <t>06:49:32 PM</t>
  </si>
  <si>
    <t>06:49:34 AM</t>
  </si>
  <si>
    <t>06:49:54 PM</t>
  </si>
  <si>
    <t>06:50:03 PM</t>
  </si>
  <si>
    <t>06:50:14 PM</t>
  </si>
  <si>
    <t>06:50:15 AM</t>
  </si>
  <si>
    <t>06:50:15 PM</t>
  </si>
  <si>
    <t>06:50:31 PM</t>
  </si>
  <si>
    <t>06:51:09 PM</t>
  </si>
  <si>
    <t>06:51:30 PM</t>
  </si>
  <si>
    <t>06:51:52 PM</t>
  </si>
  <si>
    <t>06:52:06 PM</t>
  </si>
  <si>
    <t>06:52:18 PM</t>
  </si>
  <si>
    <t>06:52:28 PM</t>
  </si>
  <si>
    <t>06:52:42 AM</t>
  </si>
  <si>
    <t>06:53:46 PM</t>
  </si>
  <si>
    <t>06:54:21 PM</t>
  </si>
  <si>
    <t>06:54:29 PM</t>
  </si>
  <si>
    <t>06:54:52 PM</t>
  </si>
  <si>
    <t>06:54:57 AM</t>
  </si>
  <si>
    <t>06:54:59 PM</t>
  </si>
  <si>
    <t>06:55:05 AM</t>
  </si>
  <si>
    <t>06:55:26 PM</t>
  </si>
  <si>
    <t>06:55:37 AM</t>
  </si>
  <si>
    <t>06:56:05 PM</t>
  </si>
  <si>
    <t>06:56:31 PM</t>
  </si>
  <si>
    <t>06:56:32 AM</t>
  </si>
  <si>
    <t>06:56:41 PM</t>
  </si>
  <si>
    <t>06:57:25 PM</t>
  </si>
  <si>
    <t>06:57:33 AM</t>
  </si>
  <si>
    <t>06:57:43 AM</t>
  </si>
  <si>
    <t>06:59:00 AM</t>
  </si>
  <si>
    <t>06:59:06 PM</t>
  </si>
  <si>
    <t>06:59:11 PM</t>
  </si>
  <si>
    <t>06:59:18 PM</t>
  </si>
  <si>
    <t>06:59:39 PM</t>
  </si>
  <si>
    <t>06:59:50 PM</t>
  </si>
  <si>
    <t>07:00:08 AM</t>
  </si>
  <si>
    <t>07:00:22 PM</t>
  </si>
  <si>
    <t>07:01:44 PM</t>
  </si>
  <si>
    <t>07:01:46 PM</t>
  </si>
  <si>
    <t>07:02:22 AM</t>
  </si>
  <si>
    <t>07:02:25 AM</t>
  </si>
  <si>
    <t>07:02:40 PM</t>
  </si>
  <si>
    <t>07:03:13 PM</t>
  </si>
  <si>
    <t>07:03:57 AM</t>
  </si>
  <si>
    <t>07:04:04 PM</t>
  </si>
  <si>
    <t>07:04:30 AM</t>
  </si>
  <si>
    <t>07:04:47 PM</t>
  </si>
  <si>
    <t>07:05:15 AM</t>
  </si>
  <si>
    <t>07:05:40 AM</t>
  </si>
  <si>
    <t>07:06:34 PM</t>
  </si>
  <si>
    <t>07:06:49 PM</t>
  </si>
  <si>
    <t>07:07:31 AM</t>
  </si>
  <si>
    <t>07:07:38 AM</t>
  </si>
  <si>
    <t>07:07:39 AM</t>
  </si>
  <si>
    <t>07:07:49 AM</t>
  </si>
  <si>
    <t>07:07:52 AM</t>
  </si>
  <si>
    <t>07:08:01 AM</t>
  </si>
  <si>
    <t>07:08:04 PM</t>
  </si>
  <si>
    <t>07:08:12 PM</t>
  </si>
  <si>
    <t>07:09:04 AM</t>
  </si>
  <si>
    <t>07:09:24 AM</t>
  </si>
  <si>
    <t>07:09:26 PM</t>
  </si>
  <si>
    <t>07:09:50 PM</t>
  </si>
  <si>
    <t>07:10:00 AM</t>
  </si>
  <si>
    <t>07:10:00 PM</t>
  </si>
  <si>
    <t>07:11:23 AM</t>
  </si>
  <si>
    <t>07:11:23 PM</t>
  </si>
  <si>
    <t>07:12:08 PM</t>
  </si>
  <si>
    <t>07:12:09 PM</t>
  </si>
  <si>
    <t>07:12:10 PM</t>
  </si>
  <si>
    <t>07:12:20 AM</t>
  </si>
  <si>
    <t>07:12:42 PM</t>
  </si>
  <si>
    <t>07:14:02 AM</t>
  </si>
  <si>
    <t>07:14:16 AM</t>
  </si>
  <si>
    <t>07:14:48 AM</t>
  </si>
  <si>
    <t>07:15:21 PM</t>
  </si>
  <si>
    <t>07:15:33 PM</t>
  </si>
  <si>
    <t>07:16:00 AM</t>
  </si>
  <si>
    <t>07:16:05 PM</t>
  </si>
  <si>
    <t>07:16:28 PM</t>
  </si>
  <si>
    <t>07:16:43 PM</t>
  </si>
  <si>
    <t>07:17:01 AM</t>
  </si>
  <si>
    <t>07:17:21 PM</t>
  </si>
  <si>
    <t>07:17:48 PM</t>
  </si>
  <si>
    <t>07:17:57 PM</t>
  </si>
  <si>
    <t>07:18:24 AM</t>
  </si>
  <si>
    <t>07:18:47 PM</t>
  </si>
  <si>
    <t>07:18:50 PM</t>
  </si>
  <si>
    <t>07:19:09 AM</t>
  </si>
  <si>
    <t>07:19:34 PM</t>
  </si>
  <si>
    <t>07:20:40 PM</t>
  </si>
  <si>
    <t>07:20:53 PM</t>
  </si>
  <si>
    <t>07:21:29 PM</t>
  </si>
  <si>
    <t>07:21:57 AM</t>
  </si>
  <si>
    <t>07:22:04 AM</t>
  </si>
  <si>
    <t>07:23:12 PM</t>
  </si>
  <si>
    <t>07:23:27 PM</t>
  </si>
  <si>
    <t>07:23:31 PM</t>
  </si>
  <si>
    <t>07:23:56 PM</t>
  </si>
  <si>
    <t>07:25:01 PM</t>
  </si>
  <si>
    <t>07:25:03 PM</t>
  </si>
  <si>
    <t>07:25:10 AM</t>
  </si>
  <si>
    <t>07:25:32 AM</t>
  </si>
  <si>
    <t>07:26:18 AM</t>
  </si>
  <si>
    <t>07:26:22 AM</t>
  </si>
  <si>
    <t>07:26:25 AM</t>
  </si>
  <si>
    <t>07:26:53 PM</t>
  </si>
  <si>
    <t>07:27:33 PM</t>
  </si>
  <si>
    <t>07:27:38 PM</t>
  </si>
  <si>
    <t>07:27:42 AM</t>
  </si>
  <si>
    <t>07:27:43 AM</t>
  </si>
  <si>
    <t>07:28:50 AM</t>
  </si>
  <si>
    <t>07:29:02 AM</t>
  </si>
  <si>
    <t>07:29:07 PM</t>
  </si>
  <si>
    <t>07:29:20 PM</t>
  </si>
  <si>
    <t>07:29:27 PM</t>
  </si>
  <si>
    <t>07:29:48 AM</t>
  </si>
  <si>
    <t>07:29:49 AM</t>
  </si>
  <si>
    <t>07:29:56 AM</t>
  </si>
  <si>
    <t>07:30:21 PM</t>
  </si>
  <si>
    <t>07:30:22 AM</t>
  </si>
  <si>
    <t>07:30:27 AM</t>
  </si>
  <si>
    <t>07:31:11 AM</t>
  </si>
  <si>
    <t>07:31:59 AM</t>
  </si>
  <si>
    <t>07:32:00 AM</t>
  </si>
  <si>
    <t>07:32:17 PM</t>
  </si>
  <si>
    <t>07:32:30 AM</t>
  </si>
  <si>
    <t>07:32:55 AM</t>
  </si>
  <si>
    <t>07:33:20 PM</t>
  </si>
  <si>
    <t>07:33:38 PM</t>
  </si>
  <si>
    <t>07:33:57 AM</t>
  </si>
  <si>
    <t>07:34:03 PM</t>
  </si>
  <si>
    <t>07:34:15 AM</t>
  </si>
  <si>
    <t>07:34:28 PM</t>
  </si>
  <si>
    <t>07:34:50 AM</t>
  </si>
  <si>
    <t>07:34:55 AM</t>
  </si>
  <si>
    <t>07:35:12 AM</t>
  </si>
  <si>
    <t>07:35:16 PM</t>
  </si>
  <si>
    <t>07:35:22 PM</t>
  </si>
  <si>
    <t>07:35:28 PM</t>
  </si>
  <si>
    <t>07:35:30 PM</t>
  </si>
  <si>
    <t>07:35:42 PM</t>
  </si>
  <si>
    <t>07:35:49 PM</t>
  </si>
  <si>
    <t>07:35:57 PM</t>
  </si>
  <si>
    <t>07:36:19 PM</t>
  </si>
  <si>
    <t>07:36:39 PM</t>
  </si>
  <si>
    <t>07:38:08 AM</t>
  </si>
  <si>
    <t>07:38:30 PM</t>
  </si>
  <si>
    <t>07:38:33 AM</t>
  </si>
  <si>
    <t>07:38:39 AM</t>
  </si>
  <si>
    <t>07:38:48 PM</t>
  </si>
  <si>
    <t>07:38:59 AM</t>
  </si>
  <si>
    <t>07:39:26 AM</t>
  </si>
  <si>
    <t>07:39:29 AM</t>
  </si>
  <si>
    <t>07:40:32 PM</t>
  </si>
  <si>
    <t>07:40:37 PM</t>
  </si>
  <si>
    <t>07:40:47 PM</t>
  </si>
  <si>
    <t>07:40:56 PM</t>
  </si>
  <si>
    <t>07:42:02 PM</t>
  </si>
  <si>
    <t>07:42:04 PM</t>
  </si>
  <si>
    <t>07:42:45 AM</t>
  </si>
  <si>
    <t>07:45:12 AM</t>
  </si>
  <si>
    <t>07:45:38 AM</t>
  </si>
  <si>
    <t>07:45:39 AM</t>
  </si>
  <si>
    <t>07:45:47 AM</t>
  </si>
  <si>
    <t>07:46:12 AM</t>
  </si>
  <si>
    <t>07:46:51 AM</t>
  </si>
  <si>
    <t>07:47:22 PM</t>
  </si>
  <si>
    <t>07:47:28 AM</t>
  </si>
  <si>
    <t>07:47:55 AM</t>
  </si>
  <si>
    <t>07:47:57 PM</t>
  </si>
  <si>
    <t>07:48:24 PM</t>
  </si>
  <si>
    <t>07:48:26 PM</t>
  </si>
  <si>
    <t>07:48:44 AM</t>
  </si>
  <si>
    <t>07:49:08 PM</t>
  </si>
  <si>
    <t>07:49:23 PM</t>
  </si>
  <si>
    <t>07:49:43 AM</t>
  </si>
  <si>
    <t>07:49:46 PM</t>
  </si>
  <si>
    <t>07:50:02 PM</t>
  </si>
  <si>
    <t>07:50:24 PM</t>
  </si>
  <si>
    <t>07:50:30 PM</t>
  </si>
  <si>
    <t>07:50:45 AM</t>
  </si>
  <si>
    <t>07:50:51 AM</t>
  </si>
  <si>
    <t>07:51:16 PM</t>
  </si>
  <si>
    <t>07:51:28 PM</t>
  </si>
  <si>
    <t>07:51:50 AM</t>
  </si>
  <si>
    <t>07:52:17 PM</t>
  </si>
  <si>
    <t>07:52:22 PM</t>
  </si>
  <si>
    <t>07:52:23 PM</t>
  </si>
  <si>
    <t>07:52:27 PM</t>
  </si>
  <si>
    <t>07:52:30 AM</t>
  </si>
  <si>
    <t>07:52:47 PM</t>
  </si>
  <si>
    <t>07:52:48 AM</t>
  </si>
  <si>
    <t>07:52:49 PM</t>
  </si>
  <si>
    <t>07:52:59 AM</t>
  </si>
  <si>
    <t>07:53:29 AM</t>
  </si>
  <si>
    <t>07:53:31 AM</t>
  </si>
  <si>
    <t>07:53:43 AM</t>
  </si>
  <si>
    <t>07:53:51 AM</t>
  </si>
  <si>
    <t>07:54:02 PM</t>
  </si>
  <si>
    <t>07:54:03 PM</t>
  </si>
  <si>
    <t>07:55:12 AM</t>
  </si>
  <si>
    <t>07:55:21 AM</t>
  </si>
  <si>
    <t>07:55:22 AM</t>
  </si>
  <si>
    <t>07:55:22 PM</t>
  </si>
  <si>
    <t>07:55:29 AM</t>
  </si>
  <si>
    <t>07:55:34 AM</t>
  </si>
  <si>
    <t>07:55:44 PM</t>
  </si>
  <si>
    <t>07:56:01 PM</t>
  </si>
  <si>
    <t>07:56:03 PM</t>
  </si>
  <si>
    <t>07:56:17 AM</t>
  </si>
  <si>
    <t>07:57:12 PM</t>
  </si>
  <si>
    <t>07:57:18 PM</t>
  </si>
  <si>
    <t>07:58:41 PM</t>
  </si>
  <si>
    <t>07:58:54 PM</t>
  </si>
  <si>
    <t>07:59:34 PM</t>
  </si>
  <si>
    <t>08:00:12 PM</t>
  </si>
  <si>
    <t>08:00:19 PM</t>
  </si>
  <si>
    <t>08:00:43 PM</t>
  </si>
  <si>
    <t>08:00:55 AM</t>
  </si>
  <si>
    <t>08:03:17 PM</t>
  </si>
  <si>
    <t>08:03:54 AM</t>
  </si>
  <si>
    <t>08:04:50 AM</t>
  </si>
  <si>
    <t>08:05:00 PM</t>
  </si>
  <si>
    <t>08:05:02 PM</t>
  </si>
  <si>
    <t>08:06:19 PM</t>
  </si>
  <si>
    <t>08:06:41 AM</t>
  </si>
  <si>
    <t>08:06:53 PM</t>
  </si>
  <si>
    <t>08:07:40 PM</t>
  </si>
  <si>
    <t>08:07:48 AM</t>
  </si>
  <si>
    <t>08:07:51 PM</t>
  </si>
  <si>
    <t>08:08:17 PM</t>
  </si>
  <si>
    <t>08:08:27 PM</t>
  </si>
  <si>
    <t>08:09:17 PM</t>
  </si>
  <si>
    <t>08:09:31 AM</t>
  </si>
  <si>
    <t>08:09:31 PM</t>
  </si>
  <si>
    <t>08:09:37 AM</t>
  </si>
  <si>
    <t>08:09:57 AM</t>
  </si>
  <si>
    <t>08:10:16 AM</t>
  </si>
  <si>
    <t>08:10:19 PM</t>
  </si>
  <si>
    <t>08:11:27 PM</t>
  </si>
  <si>
    <t>08:11:36 PM</t>
  </si>
  <si>
    <t>08:12:13 PM</t>
  </si>
  <si>
    <t>08:12:40 PM</t>
  </si>
  <si>
    <t>08:12:59 PM</t>
  </si>
  <si>
    <t>08:13:26 AM</t>
  </si>
  <si>
    <t>08:13:34 PM</t>
  </si>
  <si>
    <t>08:13:54 PM</t>
  </si>
  <si>
    <t>08:14:02 AM</t>
  </si>
  <si>
    <t>08:14:25 AM</t>
  </si>
  <si>
    <t>08:14:44 PM</t>
  </si>
  <si>
    <t>08:14:48 AM</t>
  </si>
  <si>
    <t>08:15:17 AM</t>
  </si>
  <si>
    <t>08:15:41 AM</t>
  </si>
  <si>
    <t>08:16:14 AM</t>
  </si>
  <si>
    <t>08:16:19 PM</t>
  </si>
  <si>
    <t>08:16:28 AM</t>
  </si>
  <si>
    <t>08:16:28 PM</t>
  </si>
  <si>
    <t>08:16:44 PM</t>
  </si>
  <si>
    <t>08:16:47 PM</t>
  </si>
  <si>
    <t>08:18:10 PM</t>
  </si>
  <si>
    <t>08:18:49 PM</t>
  </si>
  <si>
    <t>08:19:05 AM</t>
  </si>
  <si>
    <t>08:19:07 PM</t>
  </si>
  <si>
    <t>08:19:42 PM</t>
  </si>
  <si>
    <t>08:19:47 AM</t>
  </si>
  <si>
    <t>08:20:21 PM</t>
  </si>
  <si>
    <t>08:20:34 AM</t>
  </si>
  <si>
    <t>08:21:08 AM</t>
  </si>
  <si>
    <t>08:21:11 PM</t>
  </si>
  <si>
    <t>08:21:19 PM</t>
  </si>
  <si>
    <t>08:21:20 PM</t>
  </si>
  <si>
    <t>08:21:28 AM</t>
  </si>
  <si>
    <t>08:21:49 AM</t>
  </si>
  <si>
    <t>08:22:02 AM</t>
  </si>
  <si>
    <t>08:22:36 AM</t>
  </si>
  <si>
    <t>08:22:50 PM</t>
  </si>
  <si>
    <t>08:22:57 AM</t>
  </si>
  <si>
    <t>08:23:15 PM</t>
  </si>
  <si>
    <t>08:23:26 PM</t>
  </si>
  <si>
    <t>08:23:36 PM</t>
  </si>
  <si>
    <t>08:23:51 PM</t>
  </si>
  <si>
    <t>08:24:05 PM</t>
  </si>
  <si>
    <t>08:24:13 PM</t>
  </si>
  <si>
    <t>08:24:22 PM</t>
  </si>
  <si>
    <t>08:24:41 PM</t>
  </si>
  <si>
    <t>08:25:08 PM</t>
  </si>
  <si>
    <t>08:26:23 PM</t>
  </si>
  <si>
    <t>08:27:00 PM</t>
  </si>
  <si>
    <t>08:27:49 AM</t>
  </si>
  <si>
    <t>08:28:09 PM</t>
  </si>
  <si>
    <t>08:28:15 AM</t>
  </si>
  <si>
    <t>08:28:29 AM</t>
  </si>
  <si>
    <t>08:28:39 AM</t>
  </si>
  <si>
    <t>08:28:53 PM</t>
  </si>
  <si>
    <t>08:29:00 AM</t>
  </si>
  <si>
    <t>08:29:14 PM</t>
  </si>
  <si>
    <t>08:30:10 AM</t>
  </si>
  <si>
    <t>08:30:11 AM</t>
  </si>
  <si>
    <t>08:30:31 AM</t>
  </si>
  <si>
    <t>08:30:46 AM</t>
  </si>
  <si>
    <t>08:31:40 PM</t>
  </si>
  <si>
    <t>08:32:43 AM</t>
  </si>
  <si>
    <t>08:32:50 PM</t>
  </si>
  <si>
    <t>08:32:52 PM</t>
  </si>
  <si>
    <t>08:33:01 PM</t>
  </si>
  <si>
    <t>08:33:04 PM</t>
  </si>
  <si>
    <t>08:33:11 AM</t>
  </si>
  <si>
    <t>08:33:38 AM</t>
  </si>
  <si>
    <t>08:34:13 PM</t>
  </si>
  <si>
    <t>08:34:19 AM</t>
  </si>
  <si>
    <t>08:34:20 PM</t>
  </si>
  <si>
    <t>08:34:29 PM</t>
  </si>
  <si>
    <t>08:35:45 PM</t>
  </si>
  <si>
    <t>08:36:07 PM</t>
  </si>
  <si>
    <t>08:36:21 AM</t>
  </si>
  <si>
    <t>08:37:05 AM</t>
  </si>
  <si>
    <t>08:37:11 AM</t>
  </si>
  <si>
    <t>08:37:32 PM</t>
  </si>
  <si>
    <t>08:37:47 AM</t>
  </si>
  <si>
    <t>08:38:11 AM</t>
  </si>
  <si>
    <t>08:38:27 PM</t>
  </si>
  <si>
    <t>08:38:45 AM</t>
  </si>
  <si>
    <t>08:38:49 PM</t>
  </si>
  <si>
    <t>08:38:55 PM</t>
  </si>
  <si>
    <t>08:39:44 AM</t>
  </si>
  <si>
    <t>08:40:06 AM</t>
  </si>
  <si>
    <t>08:40:11 AM</t>
  </si>
  <si>
    <t>08:40:28 AM</t>
  </si>
  <si>
    <t>08:40:38 PM</t>
  </si>
  <si>
    <t>08:40:39 AM</t>
  </si>
  <si>
    <t>08:41:09 PM</t>
  </si>
  <si>
    <t>08:41:23 AM</t>
  </si>
  <si>
    <t>08:41:34 PM</t>
  </si>
  <si>
    <t>08:41:41 AM</t>
  </si>
  <si>
    <t>08:42:06 AM</t>
  </si>
  <si>
    <t>08:42:11 PM</t>
  </si>
  <si>
    <t>08:42:18 AM</t>
  </si>
  <si>
    <t>08:43:07 AM</t>
  </si>
  <si>
    <t>08:44:11 AM</t>
  </si>
  <si>
    <t>08:44:21 AM</t>
  </si>
  <si>
    <t>08:44:24 PM</t>
  </si>
  <si>
    <t>08:44:28 PM</t>
  </si>
  <si>
    <t>08:44:34 PM</t>
  </si>
  <si>
    <t>08:44:55 PM</t>
  </si>
  <si>
    <t>08:45:51 AM</t>
  </si>
  <si>
    <t>08:46:29 AM</t>
  </si>
  <si>
    <t>08:46:31 AM</t>
  </si>
  <si>
    <t>08:47:22 AM</t>
  </si>
  <si>
    <t>08:47:40 AM</t>
  </si>
  <si>
    <t>08:47:41 PM</t>
  </si>
  <si>
    <t>08:48:14 AM</t>
  </si>
  <si>
    <t>08:48:58 PM</t>
  </si>
  <si>
    <t>08:49:16 PM</t>
  </si>
  <si>
    <t>08:50:04 PM</t>
  </si>
  <si>
    <t>08:50:09 AM</t>
  </si>
  <si>
    <t>08:50:11 PM</t>
  </si>
  <si>
    <t>08:50:31 AM</t>
  </si>
  <si>
    <t>08:51:13 AM</t>
  </si>
  <si>
    <t>08:51:21 PM</t>
  </si>
  <si>
    <t>08:51:35 AM</t>
  </si>
  <si>
    <t>08:51:53 AM</t>
  </si>
  <si>
    <t>08:52:51 PM</t>
  </si>
  <si>
    <t>08:52:56 PM</t>
  </si>
  <si>
    <t>08:53:36 AM</t>
  </si>
  <si>
    <t>08:55:16 AM</t>
  </si>
  <si>
    <t>08:55:26 PM</t>
  </si>
  <si>
    <t>08:55:47 PM</t>
  </si>
  <si>
    <t>08:55:50 PM</t>
  </si>
  <si>
    <t>08:56:04 PM</t>
  </si>
  <si>
    <t>08:56:26 AM</t>
  </si>
  <si>
    <t>08:56:45 PM</t>
  </si>
  <si>
    <t>08:56:53 PM</t>
  </si>
  <si>
    <t>08:56:56 PM</t>
  </si>
  <si>
    <t>08:58:06 AM</t>
  </si>
  <si>
    <t>08:58:16 AM</t>
  </si>
  <si>
    <t>08:58:19 AM</t>
  </si>
  <si>
    <t>08:58:35 AM</t>
  </si>
  <si>
    <t>08:58:35 PM</t>
  </si>
  <si>
    <t>08:58:36 AM</t>
  </si>
  <si>
    <t>09:01:36 PM</t>
  </si>
  <si>
    <t>09:01:51 PM</t>
  </si>
  <si>
    <t>09:02:02 PM</t>
  </si>
  <si>
    <t>09:02:58 PM</t>
  </si>
  <si>
    <t>09:03:38 AM</t>
  </si>
  <si>
    <t>09:03:44 AM</t>
  </si>
  <si>
    <t>09:04:35 AM</t>
  </si>
  <si>
    <t>09:05:26 AM</t>
  </si>
  <si>
    <t>09:05:32 PM</t>
  </si>
  <si>
    <t>09:05:50 PM</t>
  </si>
  <si>
    <t>09:06:07 AM</t>
  </si>
  <si>
    <t>09:06:17 AM</t>
  </si>
  <si>
    <t>09:06:18 AM</t>
  </si>
  <si>
    <t>09:06:56 PM</t>
  </si>
  <si>
    <t>09:07:13 AM</t>
  </si>
  <si>
    <t>09:07:18 PM</t>
  </si>
  <si>
    <t>09:07:19 PM</t>
  </si>
  <si>
    <t>09:07:24 AM</t>
  </si>
  <si>
    <t>09:07:45 AM</t>
  </si>
  <si>
    <t>09:07:50 AM</t>
  </si>
  <si>
    <t>09:07:56 AM</t>
  </si>
  <si>
    <t>09:08:16 AM</t>
  </si>
  <si>
    <t>09:08:23 AM</t>
  </si>
  <si>
    <t>09:08:44 PM</t>
  </si>
  <si>
    <t>09:09:08 AM</t>
  </si>
  <si>
    <t>09:09:25 PM</t>
  </si>
  <si>
    <t>09:09:56 AM</t>
  </si>
  <si>
    <t>09:10:27 AM</t>
  </si>
  <si>
    <t>09:11:03 PM</t>
  </si>
  <si>
    <t>09:11:23 AM</t>
  </si>
  <si>
    <t>09:11:31 AM</t>
  </si>
  <si>
    <t>09:11:49 PM</t>
  </si>
  <si>
    <t>09:12:01 PM</t>
  </si>
  <si>
    <t>09:12:18 AM</t>
  </si>
  <si>
    <t>09:12:23 AM</t>
  </si>
  <si>
    <t>09:12:23 PM</t>
  </si>
  <si>
    <t>09:13:00 PM</t>
  </si>
  <si>
    <t>09:13:12 PM</t>
  </si>
  <si>
    <t>09:13:23 PM</t>
  </si>
  <si>
    <t>09:13:43 PM</t>
  </si>
  <si>
    <t>09:15:01 AM</t>
  </si>
  <si>
    <t>09:15:24 PM</t>
  </si>
  <si>
    <t>09:15:36 PM</t>
  </si>
  <si>
    <t>09:15:41 PM</t>
  </si>
  <si>
    <t>09:17:30 PM</t>
  </si>
  <si>
    <t>09:18:11 PM</t>
  </si>
  <si>
    <t>09:18:38 AM</t>
  </si>
  <si>
    <t>09:18:48 AM</t>
  </si>
  <si>
    <t>09:19:06 AM</t>
  </si>
  <si>
    <t>09:19:34 AM</t>
  </si>
  <si>
    <t>09:20:00 AM</t>
  </si>
  <si>
    <t>09:20:46 PM</t>
  </si>
  <si>
    <t>09:20:50 PM</t>
  </si>
  <si>
    <t>09:21:16 PM</t>
  </si>
  <si>
    <t>09:21:40 PM</t>
  </si>
  <si>
    <t>09:21:46 PM</t>
  </si>
  <si>
    <t>09:21:49 PM</t>
  </si>
  <si>
    <t>09:21:55 AM</t>
  </si>
  <si>
    <t>09:22:27 PM</t>
  </si>
  <si>
    <t>09:22:30 AM</t>
  </si>
  <si>
    <t>09:22:36 AM</t>
  </si>
  <si>
    <t>09:22:37 PM</t>
  </si>
  <si>
    <t>09:22:46 PM</t>
  </si>
  <si>
    <t>09:23:03 PM</t>
  </si>
  <si>
    <t>09:23:48 AM</t>
  </si>
  <si>
    <t>09:23:55 PM</t>
  </si>
  <si>
    <t>09:24:01 PM</t>
  </si>
  <si>
    <t>09:24:31 AM</t>
  </si>
  <si>
    <t>09:24:53 AM</t>
  </si>
  <si>
    <t>09:25:49 PM</t>
  </si>
  <si>
    <t>09:26:28 AM</t>
  </si>
  <si>
    <t>09:26:39 AM</t>
  </si>
  <si>
    <t>09:26:58 AM</t>
  </si>
  <si>
    <t>09:27:17 AM</t>
  </si>
  <si>
    <t>09:27:42 PM</t>
  </si>
  <si>
    <t>09:27:50 PM</t>
  </si>
  <si>
    <t>09:28:39 AM</t>
  </si>
  <si>
    <t>09:28:45 PM</t>
  </si>
  <si>
    <t>09:28:48 PM</t>
  </si>
  <si>
    <t>09:29:14 AM</t>
  </si>
  <si>
    <t>09:29:24 AM</t>
  </si>
  <si>
    <t>09:29:29 PM</t>
  </si>
  <si>
    <t>09:30:30 PM</t>
  </si>
  <si>
    <t>09:30:31 PM</t>
  </si>
  <si>
    <t>09:30:38 PM</t>
  </si>
  <si>
    <t>09:30:55 AM</t>
  </si>
  <si>
    <t>09:31:07 PM</t>
  </si>
  <si>
    <t>09:31:17 PM</t>
  </si>
  <si>
    <t>09:31:48 PM</t>
  </si>
  <si>
    <t>09:31:57 PM</t>
  </si>
  <si>
    <t>09:31:58 AM</t>
  </si>
  <si>
    <t>09:32:02 PM</t>
  </si>
  <si>
    <t>09:32:16 PM</t>
  </si>
  <si>
    <t>09:32:47 AM</t>
  </si>
  <si>
    <t>09:33:02 PM</t>
  </si>
  <si>
    <t>09:33:08 PM</t>
  </si>
  <si>
    <t>09:33:16 AM</t>
  </si>
  <si>
    <t>09:33:23 AM</t>
  </si>
  <si>
    <t>09:33:43 PM</t>
  </si>
  <si>
    <t>09:33:55 AM</t>
  </si>
  <si>
    <t>09:34:50 AM</t>
  </si>
  <si>
    <t>09:35:35 PM</t>
  </si>
  <si>
    <t>09:36:25 AM</t>
  </si>
  <si>
    <t>09:37:50 AM</t>
  </si>
  <si>
    <t>09:37:53 AM</t>
  </si>
  <si>
    <t>09:38:30 PM</t>
  </si>
  <si>
    <t>09:38:32 PM</t>
  </si>
  <si>
    <t>09:38:49 AM</t>
  </si>
  <si>
    <t>09:39:00 AM</t>
  </si>
  <si>
    <t>09:39:03 PM</t>
  </si>
  <si>
    <t>09:39:13 AM</t>
  </si>
  <si>
    <t>09:40:29 AM</t>
  </si>
  <si>
    <t>09:40:57 PM</t>
  </si>
  <si>
    <t>09:40:59 PM</t>
  </si>
  <si>
    <t>09:41:00 PM</t>
  </si>
  <si>
    <t>09:41:40 PM</t>
  </si>
  <si>
    <t>09:42:06 AM</t>
  </si>
  <si>
    <t>09:42:06 PM</t>
  </si>
  <si>
    <t>09:42:19 AM</t>
  </si>
  <si>
    <t>09:42:30 AM</t>
  </si>
  <si>
    <t>09:42:33 PM</t>
  </si>
  <si>
    <t>09:42:50 AM</t>
  </si>
  <si>
    <t>09:42:56 AM</t>
  </si>
  <si>
    <t>09:42:58 AM</t>
  </si>
  <si>
    <t>09:43:05 PM</t>
  </si>
  <si>
    <t>09:43:16 AM</t>
  </si>
  <si>
    <t>09:44:09 PM</t>
  </si>
  <si>
    <t>09:44:19 PM</t>
  </si>
  <si>
    <t>09:44:42 PM</t>
  </si>
  <si>
    <t>09:44:57 AM</t>
  </si>
  <si>
    <t>09:45:01 AM</t>
  </si>
  <si>
    <t>09:45:28 AM</t>
  </si>
  <si>
    <t>09:45:36 PM</t>
  </si>
  <si>
    <t>09:45:40 PM</t>
  </si>
  <si>
    <t>09:46:46 AM</t>
  </si>
  <si>
    <t>09:46:53 AM</t>
  </si>
  <si>
    <t>09:47:02 AM</t>
  </si>
  <si>
    <t>09:47:21 PM</t>
  </si>
  <si>
    <t>09:47:30 PM</t>
  </si>
  <si>
    <t>09:47:36 PM</t>
  </si>
  <si>
    <t>09:48:17 PM</t>
  </si>
  <si>
    <t>09:48:39 PM</t>
  </si>
  <si>
    <t>09:49:07 AM</t>
  </si>
  <si>
    <t>09:49:31 PM</t>
  </si>
  <si>
    <t>09:49:54 PM</t>
  </si>
  <si>
    <t>09:50:19 AM</t>
  </si>
  <si>
    <t>09:51:01 PM</t>
  </si>
  <si>
    <t>09:51:09 PM</t>
  </si>
  <si>
    <t>09:51:57 PM</t>
  </si>
  <si>
    <t>09:51:58 AM</t>
  </si>
  <si>
    <t>09:52:00 AM</t>
  </si>
  <si>
    <t>09:53:01 AM</t>
  </si>
  <si>
    <t>09:53:06 AM</t>
  </si>
  <si>
    <t>09:53:43 AM</t>
  </si>
  <si>
    <t>09:53:46 AM</t>
  </si>
  <si>
    <t>09:53:51 PM</t>
  </si>
  <si>
    <t>09:54:18 AM</t>
  </si>
  <si>
    <t>09:54:43 PM</t>
  </si>
  <si>
    <t>09:56:16 AM</t>
  </si>
  <si>
    <t>09:56:19 PM</t>
  </si>
  <si>
    <t>09:56:53 AM</t>
  </si>
  <si>
    <t>09:56:58 PM</t>
  </si>
  <si>
    <t>09:57:31 AM</t>
  </si>
  <si>
    <t>09:57:53 PM</t>
  </si>
  <si>
    <t>09:57:58 AM</t>
  </si>
  <si>
    <t>09:58:10 PM</t>
  </si>
  <si>
    <t>09:59:14 PM</t>
  </si>
  <si>
    <t>09:59:20 PM</t>
  </si>
  <si>
    <t>09:59:28 PM</t>
  </si>
  <si>
    <t>09:59:32 AM</t>
  </si>
  <si>
    <t>09:59:38 AM</t>
  </si>
  <si>
    <t>10:01:06 AM</t>
  </si>
  <si>
    <t>10:01:15 PM</t>
  </si>
  <si>
    <t>10:01:45 PM</t>
  </si>
  <si>
    <t>10:01:53 PM</t>
  </si>
  <si>
    <t>10:02:18 AM</t>
  </si>
  <si>
    <t>10:02:24 AM</t>
  </si>
  <si>
    <t>10:03:12 PM</t>
  </si>
  <si>
    <t>10:03:38 AM</t>
  </si>
  <si>
    <t>10:03:52 AM</t>
  </si>
  <si>
    <t>10:05:15 AM</t>
  </si>
  <si>
    <t>10:05:17 PM</t>
  </si>
  <si>
    <t>10:05:19 AM</t>
  </si>
  <si>
    <t>10:05:43 AM</t>
  </si>
  <si>
    <t>10:06:20 AM</t>
  </si>
  <si>
    <t>10:06:43 PM</t>
  </si>
  <si>
    <t>10:07:07 AM</t>
  </si>
  <si>
    <t>10:07:12 AM</t>
  </si>
  <si>
    <t>10:07:14 AM</t>
  </si>
  <si>
    <t>10:07:21 AM</t>
  </si>
  <si>
    <t>10:07:32 AM</t>
  </si>
  <si>
    <t>10:08:20 AM</t>
  </si>
  <si>
    <t>10:08:25 PM</t>
  </si>
  <si>
    <t>10:08:44 AM</t>
  </si>
  <si>
    <t>10:09:24 AM</t>
  </si>
  <si>
    <t>10:09:48 PM</t>
  </si>
  <si>
    <t>10:10:04 PM</t>
  </si>
  <si>
    <t>10:10:24 AM</t>
  </si>
  <si>
    <t>10:10:25 AM</t>
  </si>
  <si>
    <t>10:10:37 AM</t>
  </si>
  <si>
    <t>10:10:46 PM</t>
  </si>
  <si>
    <t>10:11:13 PM</t>
  </si>
  <si>
    <t>10:11:34 PM</t>
  </si>
  <si>
    <t>10:12:46 PM</t>
  </si>
  <si>
    <t>10:13:03 AM</t>
  </si>
  <si>
    <t>10:13:10 AM</t>
  </si>
  <si>
    <t>10:13:34 AM</t>
  </si>
  <si>
    <t>10:14:02 AM</t>
  </si>
  <si>
    <t>10:14:48 AM</t>
  </si>
  <si>
    <t>10:16:00 AM</t>
  </si>
  <si>
    <t>10:16:26 PM</t>
  </si>
  <si>
    <t>10:16:46 PM</t>
  </si>
  <si>
    <t>10:16:48 PM</t>
  </si>
  <si>
    <t>10:17:14 PM</t>
  </si>
  <si>
    <t>10:18:03 PM</t>
  </si>
  <si>
    <t>10:18:11 PM</t>
  </si>
  <si>
    <t>10:18:12 AM</t>
  </si>
  <si>
    <t>10:18:34 AM</t>
  </si>
  <si>
    <t>10:19:08 AM</t>
  </si>
  <si>
    <t>10:19:54 AM</t>
  </si>
  <si>
    <t>10:19:55 AM</t>
  </si>
  <si>
    <t>10:20:19 AM</t>
  </si>
  <si>
    <t>10:20:21 AM</t>
  </si>
  <si>
    <t>10:21:25 PM</t>
  </si>
  <si>
    <t>10:21:44 PM</t>
  </si>
  <si>
    <t>10:21:57 AM</t>
  </si>
  <si>
    <t>10:22:04 PM</t>
  </si>
  <si>
    <t>10:22:22 AM</t>
  </si>
  <si>
    <t>10:22:26 AM</t>
  </si>
  <si>
    <t>10:22:43 AM</t>
  </si>
  <si>
    <t>10:22:52 AM</t>
  </si>
  <si>
    <t>10:23:44 PM</t>
  </si>
  <si>
    <t>10:24:30 PM</t>
  </si>
  <si>
    <t>10:24:39 PM</t>
  </si>
  <si>
    <t>10:24:44 AM</t>
  </si>
  <si>
    <t>10:24:49 AM</t>
  </si>
  <si>
    <t>10:24:58 PM</t>
  </si>
  <si>
    <t>10:25:08 AM</t>
  </si>
  <si>
    <t>10:25:51 AM</t>
  </si>
  <si>
    <t>10:26:04 PM</t>
  </si>
  <si>
    <t>10:26:05 PM</t>
  </si>
  <si>
    <t>10:26:16 PM</t>
  </si>
  <si>
    <t>10:26:47 PM</t>
  </si>
  <si>
    <t>10:26:57 AM</t>
  </si>
  <si>
    <t>10:27:02 PM</t>
  </si>
  <si>
    <t>10:27:16 AM</t>
  </si>
  <si>
    <t>10:27:52 AM</t>
  </si>
  <si>
    <t>10:28:14 PM</t>
  </si>
  <si>
    <t>10:28:18 PM</t>
  </si>
  <si>
    <t>10:29:05 AM</t>
  </si>
  <si>
    <t>10:29:10 AM</t>
  </si>
  <si>
    <t>10:29:15 PM</t>
  </si>
  <si>
    <t>10:29:29 AM</t>
  </si>
  <si>
    <t>10:29:45 AM</t>
  </si>
  <si>
    <t>10:29:59 PM</t>
  </si>
  <si>
    <t>10:30:29 PM</t>
  </si>
  <si>
    <t>10:31:21 PM</t>
  </si>
  <si>
    <t>10:31:25 AM</t>
  </si>
  <si>
    <t>10:31:40 AM</t>
  </si>
  <si>
    <t>10:32:13 PM</t>
  </si>
  <si>
    <t>10:32:41 AM</t>
  </si>
  <si>
    <t>10:33:33 PM</t>
  </si>
  <si>
    <t>10:33:43 AM</t>
  </si>
  <si>
    <t>10:33:50 AM</t>
  </si>
  <si>
    <t>10:34:16 AM</t>
  </si>
  <si>
    <t>10:34:17 PM</t>
  </si>
  <si>
    <t>10:34:18 AM</t>
  </si>
  <si>
    <t>10:35:03 PM</t>
  </si>
  <si>
    <t>10:35:19 AM</t>
  </si>
  <si>
    <t>10:35:29 AM</t>
  </si>
  <si>
    <t>10:35:32 PM</t>
  </si>
  <si>
    <t>10:35:51 AM</t>
  </si>
  <si>
    <t>10:36:12 AM</t>
  </si>
  <si>
    <t>10:36:24 PM</t>
  </si>
  <si>
    <t>10:36:38 PM</t>
  </si>
  <si>
    <t>10:37:04 AM</t>
  </si>
  <si>
    <t>10:37:21 AM</t>
  </si>
  <si>
    <t>10:38:38 AM</t>
  </si>
  <si>
    <t>10:38:52 AM</t>
  </si>
  <si>
    <t>10:40:10 PM</t>
  </si>
  <si>
    <t>10:40:17 PM</t>
  </si>
  <si>
    <t>10:40:24 AM</t>
  </si>
  <si>
    <t>10:40:31 AM</t>
  </si>
  <si>
    <t>10:40:31 PM</t>
  </si>
  <si>
    <t>10:40:42 PM</t>
  </si>
  <si>
    <t>10:41:22 AM</t>
  </si>
  <si>
    <t>10:41:26 AM</t>
  </si>
  <si>
    <t>10:42:30 AM</t>
  </si>
  <si>
    <t>10:42:33 PM</t>
  </si>
  <si>
    <t>10:43:33 PM</t>
  </si>
  <si>
    <t>10:43:34 AM</t>
  </si>
  <si>
    <t>10:44:01 AM</t>
  </si>
  <si>
    <t>10:44:25 PM</t>
  </si>
  <si>
    <t>10:44:37 PM</t>
  </si>
  <si>
    <t>10:45:26 AM</t>
  </si>
  <si>
    <t>10:46:19 AM</t>
  </si>
  <si>
    <t>10:47:32 PM</t>
  </si>
  <si>
    <t>10:47:36 PM</t>
  </si>
  <si>
    <t>10:47:37 PM</t>
  </si>
  <si>
    <t>10:48:37 PM</t>
  </si>
  <si>
    <t>10:48:48 PM</t>
  </si>
  <si>
    <t>10:49:27 PM</t>
  </si>
  <si>
    <t>10:49:31 AM</t>
  </si>
  <si>
    <t>10:49:36 AM</t>
  </si>
  <si>
    <t>10:50:34 PM</t>
  </si>
  <si>
    <t>10:50:48 AM</t>
  </si>
  <si>
    <t>10:51:05 AM</t>
  </si>
  <si>
    <t>10:51:06 PM</t>
  </si>
  <si>
    <t>10:51:20 AM</t>
  </si>
  <si>
    <t>10:51:55 PM</t>
  </si>
  <si>
    <t>10:52:07 AM</t>
  </si>
  <si>
    <t>10:52:36 PM</t>
  </si>
  <si>
    <t>10:52:55 PM</t>
  </si>
  <si>
    <t>10:53:10 AM</t>
  </si>
  <si>
    <t>10:54:01 PM</t>
  </si>
  <si>
    <t>10:54:16 AM</t>
  </si>
  <si>
    <t>10:54:16 PM</t>
  </si>
  <si>
    <t>10:54:20 AM</t>
  </si>
  <si>
    <t>10:54:21 PM</t>
  </si>
  <si>
    <t>10:54:50 AM</t>
  </si>
  <si>
    <t>10:54:54 PM</t>
  </si>
  <si>
    <t>10:55:01 AM</t>
  </si>
  <si>
    <t>10:55:09 AM</t>
  </si>
  <si>
    <t>10:55:18 PM</t>
  </si>
  <si>
    <t>10:55:44 PM</t>
  </si>
  <si>
    <t>10:55:46 PM</t>
  </si>
  <si>
    <t>10:56:21 AM</t>
  </si>
  <si>
    <t>10:56:28 PM</t>
  </si>
  <si>
    <t>10:57:01 PM</t>
  </si>
  <si>
    <t>10:57:30 PM</t>
  </si>
  <si>
    <t>10:57:41 PM</t>
  </si>
  <si>
    <t>10:58:38 AM</t>
  </si>
  <si>
    <t>10:59:19 PM</t>
  </si>
  <si>
    <t>10:59:42 AM</t>
  </si>
  <si>
    <t>10:59:47 PM</t>
  </si>
  <si>
    <t>10:59:59 AM</t>
  </si>
  <si>
    <t>11:00:14 AM</t>
  </si>
  <si>
    <t>11:00:34 PM</t>
  </si>
  <si>
    <t>11:00:56 AM</t>
  </si>
  <si>
    <t>11:02:22 AM</t>
  </si>
  <si>
    <t>11:02:55 PM</t>
  </si>
  <si>
    <t>11:03:12 AM</t>
  </si>
  <si>
    <t>11:03:23 AM</t>
  </si>
  <si>
    <t>11:04:24 AM</t>
  </si>
  <si>
    <t>11:04:54 AM</t>
  </si>
  <si>
    <t>11:04:56 PM</t>
  </si>
  <si>
    <t>11:05:30 AM</t>
  </si>
  <si>
    <t>11:05:43 AM</t>
  </si>
  <si>
    <t>11:06:02 PM</t>
  </si>
  <si>
    <t>11:06:06 PM</t>
  </si>
  <si>
    <t>11:06:08 AM</t>
  </si>
  <si>
    <t>11:06:38 AM</t>
  </si>
  <si>
    <t>11:07:25 AM</t>
  </si>
  <si>
    <t>11:07:26 AM</t>
  </si>
  <si>
    <t>11:07:30 PM</t>
  </si>
  <si>
    <t>11:07:31 AM</t>
  </si>
  <si>
    <t>11:08:03 PM</t>
  </si>
  <si>
    <t>11:08:04 AM</t>
  </si>
  <si>
    <t>11:08:22 AM</t>
  </si>
  <si>
    <t>11:08:25 PM</t>
  </si>
  <si>
    <t>11:08:41 AM</t>
  </si>
  <si>
    <t>11:08:53 AM</t>
  </si>
  <si>
    <t>11:08:57 AM</t>
  </si>
  <si>
    <t>11:09:06 AM</t>
  </si>
  <si>
    <t>11:09:46 PM</t>
  </si>
  <si>
    <t>11:09:58 PM</t>
  </si>
  <si>
    <t>11:10:06 PM</t>
  </si>
  <si>
    <t>11:10:57 PM</t>
  </si>
  <si>
    <t>11:11:07 AM</t>
  </si>
  <si>
    <t>11:11:10 AM</t>
  </si>
  <si>
    <t>11:11:22 PM</t>
  </si>
  <si>
    <t>11:11:58 AM</t>
  </si>
  <si>
    <t>11:12:00 PM</t>
  </si>
  <si>
    <t>11:12:33 AM</t>
  </si>
  <si>
    <t>11:13:18 AM</t>
  </si>
  <si>
    <t>11:13:42 AM</t>
  </si>
  <si>
    <t>11:14:07 PM</t>
  </si>
  <si>
    <t>11:14:19 AM</t>
  </si>
  <si>
    <t>11:14:51 AM</t>
  </si>
  <si>
    <t>11:15:47 AM</t>
  </si>
  <si>
    <t>11:15:57 PM</t>
  </si>
  <si>
    <t>11:17:13 PM</t>
  </si>
  <si>
    <t>11:17:32 PM</t>
  </si>
  <si>
    <t>11:18:25 PM</t>
  </si>
  <si>
    <t>11:18:58 AM</t>
  </si>
  <si>
    <t>11:19:12 PM</t>
  </si>
  <si>
    <t>11:19:33 PM</t>
  </si>
  <si>
    <t>11:19:39 PM</t>
  </si>
  <si>
    <t>11:20:00 AM</t>
  </si>
  <si>
    <t>11:21:13 PM</t>
  </si>
  <si>
    <t>11:21:48 AM</t>
  </si>
  <si>
    <t>11:22:14 PM</t>
  </si>
  <si>
    <t>11:22:42 PM</t>
  </si>
  <si>
    <t>11:23:04 PM</t>
  </si>
  <si>
    <t>11:23:39 AM</t>
  </si>
  <si>
    <t>11:23:40 AM</t>
  </si>
  <si>
    <t>11:23:56 AM</t>
  </si>
  <si>
    <t>11:23:57 PM</t>
  </si>
  <si>
    <t>11:24:04 PM</t>
  </si>
  <si>
    <t>11:24:17 AM</t>
  </si>
  <si>
    <t>11:25:07 PM</t>
  </si>
  <si>
    <t>11:25:28 PM</t>
  </si>
  <si>
    <t>11:26:10 AM</t>
  </si>
  <si>
    <t>11:26:35 AM</t>
  </si>
  <si>
    <t>11:26:37 PM</t>
  </si>
  <si>
    <t>11:27:32 PM</t>
  </si>
  <si>
    <t>11:27:34 PM</t>
  </si>
  <si>
    <t>11:27:51 PM</t>
  </si>
  <si>
    <t>11:28:14 AM</t>
  </si>
  <si>
    <t>11:28:47 AM</t>
  </si>
  <si>
    <t>11:29:25 PM</t>
  </si>
  <si>
    <t>11:29:27 AM</t>
  </si>
  <si>
    <t>11:29:55 PM</t>
  </si>
  <si>
    <t>11:29:58 AM</t>
  </si>
  <si>
    <t>11:29:59 AM</t>
  </si>
  <si>
    <t>11:30:20 AM</t>
  </si>
  <si>
    <t>11:30:31 AM</t>
  </si>
  <si>
    <t>11:30:33 PM</t>
  </si>
  <si>
    <t>11:30:41 PM</t>
  </si>
  <si>
    <t>11:30:53 PM</t>
  </si>
  <si>
    <t>11:31:08 PM</t>
  </si>
  <si>
    <t>11:31:13 PM</t>
  </si>
  <si>
    <t>11:31:30 AM</t>
  </si>
  <si>
    <t>11:31:43 PM</t>
  </si>
  <si>
    <t>11:32:04 PM</t>
  </si>
  <si>
    <t>11:32:11 PM</t>
  </si>
  <si>
    <t>11:33:04 PM</t>
  </si>
  <si>
    <t>11:33:36 PM</t>
  </si>
  <si>
    <t>11:35:16 AM</t>
  </si>
  <si>
    <t>11:35:23 AM</t>
  </si>
  <si>
    <t>11:35:27 AM</t>
  </si>
  <si>
    <t>11:35:29 AM</t>
  </si>
  <si>
    <t>11:35:37 PM</t>
  </si>
  <si>
    <t>11:35:43 PM</t>
  </si>
  <si>
    <t>11:35:57 PM</t>
  </si>
  <si>
    <t>11:36:24 PM</t>
  </si>
  <si>
    <t>11:36:43 PM</t>
  </si>
  <si>
    <t>11:37:09 AM</t>
  </si>
  <si>
    <t>11:37:28 PM</t>
  </si>
  <si>
    <t>11:37:37 AM</t>
  </si>
  <si>
    <t>11:39:40 AM</t>
  </si>
  <si>
    <t>11:40:39 AM</t>
  </si>
  <si>
    <t>11:41:00 AM</t>
  </si>
  <si>
    <t>11:41:28 AM</t>
  </si>
  <si>
    <t>11:42:02 PM</t>
  </si>
  <si>
    <t>11:42:16 AM</t>
  </si>
  <si>
    <t>11:42:48 PM</t>
  </si>
  <si>
    <t>11:43:16 PM</t>
  </si>
  <si>
    <t>11:43:43 AM</t>
  </si>
  <si>
    <t>11:43:52 AM</t>
  </si>
  <si>
    <t>11:43:58 AM</t>
  </si>
  <si>
    <t>11:44:03 PM</t>
  </si>
  <si>
    <t>11:44:13 AM</t>
  </si>
  <si>
    <t>11:44:50 AM</t>
  </si>
  <si>
    <t>11:46:05 AM</t>
  </si>
  <si>
    <t>11:46:37 PM</t>
  </si>
  <si>
    <t>11:46:38 AM</t>
  </si>
  <si>
    <t>11:46:42 PM</t>
  </si>
  <si>
    <t>11:47:41 PM</t>
  </si>
  <si>
    <t>11:47:44 AM</t>
  </si>
  <si>
    <t>11:48:17 PM</t>
  </si>
  <si>
    <t>11:49:04 AM</t>
  </si>
  <si>
    <t>11:49:04 PM</t>
  </si>
  <si>
    <t>11:49:05 PM</t>
  </si>
  <si>
    <t>11:49:26 PM</t>
  </si>
  <si>
    <t>11:49:34 PM</t>
  </si>
  <si>
    <t>11:49:55 AM</t>
  </si>
  <si>
    <t>11:50:10 PM</t>
  </si>
  <si>
    <t>11:50:36 PM</t>
  </si>
  <si>
    <t>11:50:42 AM</t>
  </si>
  <si>
    <t>11:51:08 AM</t>
  </si>
  <si>
    <t>11:51:28 PM</t>
  </si>
  <si>
    <t>11:52:06 AM</t>
  </si>
  <si>
    <t>11:52:17 AM</t>
  </si>
  <si>
    <t>11:52:19 AM</t>
  </si>
  <si>
    <t>11:52:20 PM</t>
  </si>
  <si>
    <t>11:52:25 PM</t>
  </si>
  <si>
    <t>11:53:07 PM</t>
  </si>
  <si>
    <t>11:53:42 AM</t>
  </si>
  <si>
    <t>11:55:23 AM</t>
  </si>
  <si>
    <t>11:55:34 PM</t>
  </si>
  <si>
    <t>11:56:03 PM</t>
  </si>
  <si>
    <t>11:57:26 AM</t>
  </si>
  <si>
    <t>11:57:27 AM</t>
  </si>
  <si>
    <t>11:59:30 PM</t>
  </si>
  <si>
    <t>11:59:43 AM</t>
  </si>
  <si>
    <t>11:59:49 AM</t>
  </si>
  <si>
    <t>12:01:37 PM</t>
  </si>
  <si>
    <t>12:01:41 PM</t>
  </si>
  <si>
    <t>12:02:07 PM</t>
  </si>
  <si>
    <t>12:02:36 AM</t>
  </si>
  <si>
    <t>12:03:03 AM</t>
  </si>
  <si>
    <t>12:04:46 PM</t>
  </si>
  <si>
    <t>12:04:48 PM</t>
  </si>
  <si>
    <t>12:04:51 AM</t>
  </si>
  <si>
    <t>12:05:01 AM</t>
  </si>
  <si>
    <t>12:05:50 AM</t>
  </si>
  <si>
    <t>12:06:40 AM</t>
  </si>
  <si>
    <t>12:06:49 AM</t>
  </si>
  <si>
    <t>12:07:25 AM</t>
  </si>
  <si>
    <t>12:07:51 PM</t>
  </si>
  <si>
    <t>12:07:57 AM</t>
  </si>
  <si>
    <t>12:08:09 PM</t>
  </si>
  <si>
    <t>12:08:19 AM</t>
  </si>
  <si>
    <t>12:08:38 AM</t>
  </si>
  <si>
    <t>12:08:50 AM</t>
  </si>
  <si>
    <t>12:09:04 PM</t>
  </si>
  <si>
    <t>12:09:12 AM</t>
  </si>
  <si>
    <t>12:09:21 PM</t>
  </si>
  <si>
    <t>12:09:50 AM</t>
  </si>
  <si>
    <t>12:10:41 PM</t>
  </si>
  <si>
    <t>12:10:52 PM</t>
  </si>
  <si>
    <t>12:12:16 PM</t>
  </si>
  <si>
    <t>12:12:44 PM</t>
  </si>
  <si>
    <t>12:13:25 AM</t>
  </si>
  <si>
    <t>12:13:30 PM</t>
  </si>
  <si>
    <t>12:13:32 AM</t>
  </si>
  <si>
    <t>12:13:48 PM</t>
  </si>
  <si>
    <t>12:13:57 AM</t>
  </si>
  <si>
    <t>12:14:00 AM</t>
  </si>
  <si>
    <t>12:14:21 PM</t>
  </si>
  <si>
    <t>12:14:48 PM</t>
  </si>
  <si>
    <t>12:14:57 AM</t>
  </si>
  <si>
    <t>12:15:15 PM</t>
  </si>
  <si>
    <t>12:15:21 AM</t>
  </si>
  <si>
    <t>12:15:27 AM</t>
  </si>
  <si>
    <t>12:16:02 AM</t>
  </si>
  <si>
    <t>12:16:16 AM</t>
  </si>
  <si>
    <t>12:16:26 PM</t>
  </si>
  <si>
    <t>12:16:36 PM</t>
  </si>
  <si>
    <t>12:16:56 AM</t>
  </si>
  <si>
    <t>12:16:57 PM</t>
  </si>
  <si>
    <t>12:17:11 PM</t>
  </si>
  <si>
    <t>12:17:30 AM</t>
  </si>
  <si>
    <t>12:17:32 AM</t>
  </si>
  <si>
    <t>12:17:46 PM</t>
  </si>
  <si>
    <t>12:17:51 AM</t>
  </si>
  <si>
    <t>12:18:23 AM</t>
  </si>
  <si>
    <t>12:19:45 AM</t>
  </si>
  <si>
    <t>12:20:03 PM</t>
  </si>
  <si>
    <t>12:20:16 PM</t>
  </si>
  <si>
    <t>12:20:21 PM</t>
  </si>
  <si>
    <t>12:20:25 PM</t>
  </si>
  <si>
    <t>12:20:58 PM</t>
  </si>
  <si>
    <t>12:21:08 PM</t>
  </si>
  <si>
    <t>12:21:12 PM</t>
  </si>
  <si>
    <t>12:21:14 PM</t>
  </si>
  <si>
    <t>12:21:27 PM</t>
  </si>
  <si>
    <t>12:21:43 AM</t>
  </si>
  <si>
    <t>12:21:51 AM</t>
  </si>
  <si>
    <t>12:22:21 AM</t>
  </si>
  <si>
    <t>12:22:48 AM</t>
  </si>
  <si>
    <t>12:22:51 AM</t>
  </si>
  <si>
    <t>12:23:11 AM</t>
  </si>
  <si>
    <t>12:23:44 PM</t>
  </si>
  <si>
    <t>12:24:10 AM</t>
  </si>
  <si>
    <t>12:24:25 PM</t>
  </si>
  <si>
    <t>12:24:29 AM</t>
  </si>
  <si>
    <t>12:24:31 PM</t>
  </si>
  <si>
    <t>12:25:44 PM</t>
  </si>
  <si>
    <t>12:25:47 PM</t>
  </si>
  <si>
    <t>12:25:57 AM</t>
  </si>
  <si>
    <t>12:26:12 AM</t>
  </si>
  <si>
    <t>12:26:26 PM</t>
  </si>
  <si>
    <t>12:26:27 PM</t>
  </si>
  <si>
    <t>12:26:33 AM</t>
  </si>
  <si>
    <t>12:26:44 PM</t>
  </si>
  <si>
    <t>12:27:02 AM</t>
  </si>
  <si>
    <t>12:27:09 AM</t>
  </si>
  <si>
    <t>12:27:10 PM</t>
  </si>
  <si>
    <t>12:27:13 AM</t>
  </si>
  <si>
    <t>12:27:20 AM</t>
  </si>
  <si>
    <t>12:27:35 PM</t>
  </si>
  <si>
    <t>12:27:46 PM</t>
  </si>
  <si>
    <t>12:28:08 AM</t>
  </si>
  <si>
    <t>12:28:10 PM</t>
  </si>
  <si>
    <t>12:28:12 PM</t>
  </si>
  <si>
    <t>12:28:13 PM</t>
  </si>
  <si>
    <t>12:28:24 AM</t>
  </si>
  <si>
    <t>12:28:35 AM</t>
  </si>
  <si>
    <t>12:28:50 AM</t>
  </si>
  <si>
    <t>12:28:59 PM</t>
  </si>
  <si>
    <t>12:29:55 PM</t>
  </si>
  <si>
    <t>12:30:07 PM</t>
  </si>
  <si>
    <t>12:30:30 AM</t>
  </si>
  <si>
    <t>12:30:34 PM</t>
  </si>
  <si>
    <t>12:30:38 PM</t>
  </si>
  <si>
    <t>12:30:41 AM</t>
  </si>
  <si>
    <t>12:30:45 AM</t>
  </si>
  <si>
    <t>12:31:04 PM</t>
  </si>
  <si>
    <t>12:31:19 PM</t>
  </si>
  <si>
    <t>12:31:37 PM</t>
  </si>
  <si>
    <t>12:31:54 AM</t>
  </si>
  <si>
    <t>12:32:11 AM</t>
  </si>
  <si>
    <t>12:32:22 PM</t>
  </si>
  <si>
    <t>12:32:29 AM</t>
  </si>
  <si>
    <t>12:33:05 AM</t>
  </si>
  <si>
    <t>12:33:22 PM</t>
  </si>
  <si>
    <t>12:33:41 PM</t>
  </si>
  <si>
    <t>12:33:42 PM</t>
  </si>
  <si>
    <t>12:33:58 AM</t>
  </si>
  <si>
    <t>12:34:12 PM</t>
  </si>
  <si>
    <t>12:35:59 PM</t>
  </si>
  <si>
    <t>12:36:04 PM</t>
  </si>
  <si>
    <t>12:36:27 AM</t>
  </si>
  <si>
    <t>12:36:38 AM</t>
  </si>
  <si>
    <t>12:36:39 PM</t>
  </si>
  <si>
    <t>12:36:58 AM</t>
  </si>
  <si>
    <t>12:37:41 AM</t>
  </si>
  <si>
    <t>12:39:21 AM</t>
  </si>
  <si>
    <t>12:39:38 PM</t>
  </si>
  <si>
    <t>12:39:59 PM</t>
  </si>
  <si>
    <t>12:40:47 PM</t>
  </si>
  <si>
    <t>12:40:58 AM</t>
  </si>
  <si>
    <t>12:41:49 AM</t>
  </si>
  <si>
    <t>12:41:52 AM</t>
  </si>
  <si>
    <t>12:42:18 AM</t>
  </si>
  <si>
    <t>12:42:21 AM</t>
  </si>
  <si>
    <t>12:42:47 PM</t>
  </si>
  <si>
    <t>12:43:10 PM</t>
  </si>
  <si>
    <t>12:43:36 AM</t>
  </si>
  <si>
    <t>12:44:01 AM</t>
  </si>
  <si>
    <t>12:44:01 PM</t>
  </si>
  <si>
    <t>12:44:04 PM</t>
  </si>
  <si>
    <t>12:44:15 PM</t>
  </si>
  <si>
    <t>12:45:14 AM</t>
  </si>
  <si>
    <t>12:45:20 PM</t>
  </si>
  <si>
    <t>12:45:34 AM</t>
  </si>
  <si>
    <t>12:45:46 PM</t>
  </si>
  <si>
    <t>12:46:12 AM</t>
  </si>
  <si>
    <t>12:46:31 AM</t>
  </si>
  <si>
    <t>12:46:49 PM</t>
  </si>
  <si>
    <t>12:47:57 PM</t>
  </si>
  <si>
    <t>12:48:06 AM</t>
  </si>
  <si>
    <t>12:48:16 PM</t>
  </si>
  <si>
    <t>12:49:23 AM</t>
  </si>
  <si>
    <t>12:49:33 AM</t>
  </si>
  <si>
    <t>12:50:40 AM</t>
  </si>
  <si>
    <t>12:50:55 PM</t>
  </si>
  <si>
    <t>12:51:04 AM</t>
  </si>
  <si>
    <t>12:51:07 PM</t>
  </si>
  <si>
    <t>12:51:37 AM</t>
  </si>
  <si>
    <t>12:51:42 AM</t>
  </si>
  <si>
    <t>12:51:58 AM</t>
  </si>
  <si>
    <t>12:52:30 AM</t>
  </si>
  <si>
    <t>12:52:58 PM</t>
  </si>
  <si>
    <t>12:53:30 AM</t>
  </si>
  <si>
    <t>12:53:33 PM</t>
  </si>
  <si>
    <t>12:53:51 PM</t>
  </si>
  <si>
    <t>12:54:18 AM</t>
  </si>
  <si>
    <t>12:54:54 PM</t>
  </si>
  <si>
    <t>12:54:56 AM</t>
  </si>
  <si>
    <t>12:55:03 AM</t>
  </si>
  <si>
    <t>12:55:56 PM</t>
  </si>
  <si>
    <t>12:56:19 PM</t>
  </si>
  <si>
    <t>12:56:22 PM</t>
  </si>
  <si>
    <t>12:56:24 AM</t>
  </si>
  <si>
    <t>12:57:02 PM</t>
  </si>
  <si>
    <t>12:57:03 PM</t>
  </si>
  <si>
    <t>12:57:15 AM</t>
  </si>
  <si>
    <t>12:57:15 PM</t>
  </si>
  <si>
    <t>12:57:29 PM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</si>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</sst>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h:mm:ss;@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4" tint="0.79998168889431442"/>
      <name val="Times New Roman"/>
      <family val="1"/>
    </font>
    <font>
      <b/>
      <sz val="14"/>
      <color theme="3" tint="-0.249977111117893"/>
      <name val="Times New Roman"/>
      <family val="1"/>
    </font>
    <font>
      <sz val="11"/>
      <color theme="4" tint="0.79998168889431442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sz val="12"/>
      <color rgb="FF474747"/>
      <name val="Arial"/>
      <family val="2"/>
    </font>
    <font>
      <sz val="11"/>
      <color theme="0" tint="-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theme="4" tint="0.79998168889431442"/>
      </left>
      <right style="double">
        <color theme="4" tint="0.79998168889431442"/>
      </right>
      <top style="double">
        <color theme="4" tint="0.79998168889431442"/>
      </top>
      <bottom style="double">
        <color theme="4" tint="0.79998168889431442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 applyAlignment="1">
      <alignment horizontal="left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0" fillId="0" borderId="0" xfId="0" pivotButton="1"/>
    <xf numFmtId="0" fontId="3" fillId="0" borderId="0" xfId="0" applyFont="1"/>
    <xf numFmtId="0" fontId="1" fillId="0" borderId="2" xfId="0" applyFont="1" applyBorder="1" applyAlignment="1">
      <alignment horizontal="left" vertical="top"/>
    </xf>
    <xf numFmtId="165" fontId="3" fillId="0" borderId="0" xfId="0" applyNumberFormat="1" applyFont="1"/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7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4" xfId="0" applyBorder="1"/>
    <xf numFmtId="0" fontId="0" fillId="0" borderId="0" xfId="0" applyNumberFormat="1"/>
  </cellXfs>
  <cellStyles count="1">
    <cellStyle name="Normal" xfId="0" builtinId="0"/>
  </cellStyles>
  <dxfs count="6"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65" formatCode="h:mm:ss;@"/>
    </dxf>
    <dxf>
      <alignment horizontal="left" vertical="bottom" textRotation="0" wrapText="0" indent="0" justifyLastLine="0" shrinkToFit="0" readingOrder="0"/>
    </dxf>
    <dxf>
      <numFmt numFmtId="164" formatCode="yyyy\-mm\-dd\ hh:mm:ss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4844EA"/>
      <color rgb="FFECF1F8"/>
      <color rgb="FFB4A9F9"/>
      <color rgb="FFD4CDFB"/>
      <color rgb="FFEFEDFD"/>
      <color rgb="FFECE9FD"/>
      <color rgb="FFCDC5FB"/>
      <color rgb="FFA09EF4"/>
      <color rgb="FF827FF1"/>
      <color rgb="FF1713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pivotCacheDefinition" Target="pivotCache/pivotCacheDefinition2.xml"/><Relationship Id="rId10" Type="http://schemas.microsoft.com/office/2017/06/relationships/rdRichValue" Target="richData/rdrichvalue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[grocery_chain_dataset.xlsb.xlsx]Sheet2!PivotTable4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Sheet2!$B$3:$B$13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Lucknow</c:v>
                </c:pt>
                <c:pt idx="8">
                  <c:v>Mumbai</c:v>
                </c:pt>
                <c:pt idx="9">
                  <c:v>Pune</c:v>
                </c:pt>
              </c:strCache>
            </c:strRef>
          </c:cat>
          <c:val>
            <c:numRef>
              <c:f>Sheet2!$C$3:$C$13</c:f>
              <c:numCache>
                <c:formatCode>General</c:formatCode>
                <c:ptCount val="10"/>
                <c:pt idx="0">
                  <c:v>654875.80999999971</c:v>
                </c:pt>
                <c:pt idx="1">
                  <c:v>615263.23</c:v>
                </c:pt>
                <c:pt idx="2">
                  <c:v>722473.5</c:v>
                </c:pt>
                <c:pt idx="3">
                  <c:v>794395.49</c:v>
                </c:pt>
                <c:pt idx="4">
                  <c:v>651324.24000000011</c:v>
                </c:pt>
                <c:pt idx="5">
                  <c:v>650775.61000000034</c:v>
                </c:pt>
                <c:pt idx="6">
                  <c:v>734938.43999999959</c:v>
                </c:pt>
                <c:pt idx="7">
                  <c:v>628480.15000000026</c:v>
                </c:pt>
                <c:pt idx="8">
                  <c:v>639966.51999999979</c:v>
                </c:pt>
                <c:pt idx="9">
                  <c:v>716603.74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F-4EA6-9A2B-54FF9E168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68248672"/>
        <c:axId val="1168234272"/>
      </c:barChart>
      <c:catAx>
        <c:axId val="116824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234272"/>
        <c:crossesAt val="0"/>
        <c:auto val="1"/>
        <c:lblAlgn val="ctr"/>
        <c:lblOffset val="100"/>
        <c:noMultiLvlLbl val="0"/>
      </c:catAx>
      <c:valAx>
        <c:axId val="11682342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24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[grocery_chain_dataset.xlsb.xlsx]Sheet2!PivotTable5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Sheet2!$C$16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8D-4151-9AB8-1E214264AA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8D-4151-9AB8-1E214264AA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8D-4151-9AB8-1E214264AA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8D-4151-9AB8-1E214264AA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Sheet2!$B$17:$B$21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Sheet2!$C$17:$C$21</c:f>
              <c:numCache>
                <c:formatCode>General</c:formatCode>
                <c:ptCount val="4"/>
                <c:pt idx="0">
                  <c:v>1811966.3599999989</c:v>
                </c:pt>
                <c:pt idx="1">
                  <c:v>1682204.1599999997</c:v>
                </c:pt>
                <c:pt idx="2">
                  <c:v>1650143.7499999986</c:v>
                </c:pt>
                <c:pt idx="3">
                  <c:v>1664782.459999999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9-4A76-A40A-5FEC48156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[grocery_chain_dataset.xlsb.xlsx]Sheet2!PivotTable9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63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Sheet2!$M$2</c:f>
              <c:strCache>
                <c:ptCount val="1"/>
                <c:pt idx="0">
                  <c:v>Total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Sheet2!$L$3:$L$692</c:f>
              <c:strCache>
                <c:ptCount val="689"/>
                <c:pt idx="0">
                  <c:v>8/7/2023</c:v>
                </c:pt>
                <c:pt idx="1">
                  <c:v>8/8/2023</c:v>
                </c:pt>
                <c:pt idx="2">
                  <c:v>8/11/2023</c:v>
                </c:pt>
                <c:pt idx="3">
                  <c:v>8/12/2023</c:v>
                </c:pt>
                <c:pt idx="4">
                  <c:v>8/13/2023</c:v>
                </c:pt>
                <c:pt idx="5">
                  <c:v>8/14/2023</c:v>
                </c:pt>
                <c:pt idx="6">
                  <c:v>8/16/2023</c:v>
                </c:pt>
                <c:pt idx="7">
                  <c:v>8/17/2023</c:v>
                </c:pt>
                <c:pt idx="8">
                  <c:v>8/18/2023</c:v>
                </c:pt>
                <c:pt idx="9">
                  <c:v>8/19/2023</c:v>
                </c:pt>
                <c:pt idx="10">
                  <c:v>8/20/2023</c:v>
                </c:pt>
                <c:pt idx="11">
                  <c:v>8/21/2023</c:v>
                </c:pt>
                <c:pt idx="12">
                  <c:v>8/23/2023</c:v>
                </c:pt>
                <c:pt idx="13">
                  <c:v>8/24/2023</c:v>
                </c:pt>
                <c:pt idx="14">
                  <c:v>8/25/2023</c:v>
                </c:pt>
                <c:pt idx="15">
                  <c:v>8/26/2023</c:v>
                </c:pt>
                <c:pt idx="16">
                  <c:v>8/27/2023</c:v>
                </c:pt>
                <c:pt idx="17">
                  <c:v>8/28/2023</c:v>
                </c:pt>
                <c:pt idx="18">
                  <c:v>8/29/2023</c:v>
                </c:pt>
                <c:pt idx="19">
                  <c:v>8/30/2023</c:v>
                </c:pt>
                <c:pt idx="20">
                  <c:v>8/31/2023</c:v>
                </c:pt>
                <c:pt idx="21">
                  <c:v>9/1/2023</c:v>
                </c:pt>
                <c:pt idx="22">
                  <c:v>9/3/2023</c:v>
                </c:pt>
                <c:pt idx="23">
                  <c:v>9/4/2023</c:v>
                </c:pt>
                <c:pt idx="24">
                  <c:v>9/5/2023</c:v>
                </c:pt>
                <c:pt idx="25">
                  <c:v>9/6/2023</c:v>
                </c:pt>
                <c:pt idx="26">
                  <c:v>9/7/2023</c:v>
                </c:pt>
                <c:pt idx="27">
                  <c:v>9/8/2023</c:v>
                </c:pt>
                <c:pt idx="28">
                  <c:v>9/9/2023</c:v>
                </c:pt>
                <c:pt idx="29">
                  <c:v>9/10/2023</c:v>
                </c:pt>
                <c:pt idx="30">
                  <c:v>9/11/2023</c:v>
                </c:pt>
                <c:pt idx="31">
                  <c:v>9/12/2023</c:v>
                </c:pt>
                <c:pt idx="32">
                  <c:v>9/13/2023</c:v>
                </c:pt>
                <c:pt idx="33">
                  <c:v>9/15/2023</c:v>
                </c:pt>
                <c:pt idx="34">
                  <c:v>9/16/2023</c:v>
                </c:pt>
                <c:pt idx="35">
                  <c:v>9/17/2023</c:v>
                </c:pt>
                <c:pt idx="36">
                  <c:v>9/18/2023</c:v>
                </c:pt>
                <c:pt idx="37">
                  <c:v>9/19/2023</c:v>
                </c:pt>
                <c:pt idx="38">
                  <c:v>9/20/2023</c:v>
                </c:pt>
                <c:pt idx="39">
                  <c:v>9/21/2023</c:v>
                </c:pt>
                <c:pt idx="40">
                  <c:v>9/22/2023</c:v>
                </c:pt>
                <c:pt idx="41">
                  <c:v>9/23/2023</c:v>
                </c:pt>
                <c:pt idx="42">
                  <c:v>9/24/2023</c:v>
                </c:pt>
                <c:pt idx="43">
                  <c:v>9/25/2023</c:v>
                </c:pt>
                <c:pt idx="44">
                  <c:v>9/27/2023</c:v>
                </c:pt>
                <c:pt idx="45">
                  <c:v>9/28/2023</c:v>
                </c:pt>
                <c:pt idx="46">
                  <c:v>9/29/2023</c:v>
                </c:pt>
                <c:pt idx="47">
                  <c:v>9/30/2023</c:v>
                </c:pt>
                <c:pt idx="48">
                  <c:v>10/1/2023</c:v>
                </c:pt>
                <c:pt idx="49">
                  <c:v>10/2/2023</c:v>
                </c:pt>
                <c:pt idx="50">
                  <c:v>10/3/2023</c:v>
                </c:pt>
                <c:pt idx="51">
                  <c:v>10/4/2023</c:v>
                </c:pt>
                <c:pt idx="52">
                  <c:v>10/5/2023</c:v>
                </c:pt>
                <c:pt idx="53">
                  <c:v>10/6/2023</c:v>
                </c:pt>
                <c:pt idx="54">
                  <c:v>10/7/2023</c:v>
                </c:pt>
                <c:pt idx="55">
                  <c:v>10/8/2023</c:v>
                </c:pt>
                <c:pt idx="56">
                  <c:v>10/9/2023</c:v>
                </c:pt>
                <c:pt idx="57">
                  <c:v>10/10/2023</c:v>
                </c:pt>
                <c:pt idx="58">
                  <c:v>10/11/2023</c:v>
                </c:pt>
                <c:pt idx="59">
                  <c:v>10/12/2023</c:v>
                </c:pt>
                <c:pt idx="60">
                  <c:v>10/13/2023</c:v>
                </c:pt>
                <c:pt idx="61">
                  <c:v>10/14/2023</c:v>
                </c:pt>
                <c:pt idx="62">
                  <c:v>10/15/2023</c:v>
                </c:pt>
                <c:pt idx="63">
                  <c:v>10/16/2023</c:v>
                </c:pt>
                <c:pt idx="64">
                  <c:v>10/17/2023</c:v>
                </c:pt>
                <c:pt idx="65">
                  <c:v>10/18/2023</c:v>
                </c:pt>
                <c:pt idx="66">
                  <c:v>10/19/2023</c:v>
                </c:pt>
                <c:pt idx="67">
                  <c:v>10/21/2023</c:v>
                </c:pt>
                <c:pt idx="68">
                  <c:v>10/22/2023</c:v>
                </c:pt>
                <c:pt idx="69">
                  <c:v>10/23/2023</c:v>
                </c:pt>
                <c:pt idx="70">
                  <c:v>10/24/2023</c:v>
                </c:pt>
                <c:pt idx="71">
                  <c:v>10/25/2023</c:v>
                </c:pt>
                <c:pt idx="72">
                  <c:v>10/26/2023</c:v>
                </c:pt>
                <c:pt idx="73">
                  <c:v>10/27/2023</c:v>
                </c:pt>
                <c:pt idx="74">
                  <c:v>10/28/2023</c:v>
                </c:pt>
                <c:pt idx="75">
                  <c:v>10/29/2023</c:v>
                </c:pt>
                <c:pt idx="76">
                  <c:v>10/30/2023</c:v>
                </c:pt>
                <c:pt idx="77">
                  <c:v>10/31/2023</c:v>
                </c:pt>
                <c:pt idx="78">
                  <c:v>11/1/2023</c:v>
                </c:pt>
                <c:pt idx="79">
                  <c:v>11/2/2023</c:v>
                </c:pt>
                <c:pt idx="80">
                  <c:v>11/3/2023</c:v>
                </c:pt>
                <c:pt idx="81">
                  <c:v>11/4/2023</c:v>
                </c:pt>
                <c:pt idx="82">
                  <c:v>11/5/2023</c:v>
                </c:pt>
                <c:pt idx="83">
                  <c:v>11/7/2023</c:v>
                </c:pt>
                <c:pt idx="84">
                  <c:v>11/8/2023</c:v>
                </c:pt>
                <c:pt idx="85">
                  <c:v>11/9/2023</c:v>
                </c:pt>
                <c:pt idx="86">
                  <c:v>11/10/2023</c:v>
                </c:pt>
                <c:pt idx="87">
                  <c:v>11/12/2023</c:v>
                </c:pt>
                <c:pt idx="88">
                  <c:v>11/13/2023</c:v>
                </c:pt>
                <c:pt idx="89">
                  <c:v>11/14/2023</c:v>
                </c:pt>
                <c:pt idx="90">
                  <c:v>11/15/2023</c:v>
                </c:pt>
                <c:pt idx="91">
                  <c:v>11/16/2023</c:v>
                </c:pt>
                <c:pt idx="92">
                  <c:v>11/17/2023</c:v>
                </c:pt>
                <c:pt idx="93">
                  <c:v>11/18/2023</c:v>
                </c:pt>
                <c:pt idx="94">
                  <c:v>11/19/2023</c:v>
                </c:pt>
                <c:pt idx="95">
                  <c:v>11/20/2023</c:v>
                </c:pt>
                <c:pt idx="96">
                  <c:v>11/21/2023</c:v>
                </c:pt>
                <c:pt idx="97">
                  <c:v>11/22/2023</c:v>
                </c:pt>
                <c:pt idx="98">
                  <c:v>11/23/2023</c:v>
                </c:pt>
                <c:pt idx="99">
                  <c:v>11/24/2023</c:v>
                </c:pt>
                <c:pt idx="100">
                  <c:v>11/25/2023</c:v>
                </c:pt>
                <c:pt idx="101">
                  <c:v>11/28/2023</c:v>
                </c:pt>
                <c:pt idx="102">
                  <c:v>11/29/2023</c:v>
                </c:pt>
                <c:pt idx="103">
                  <c:v>11/30/2023</c:v>
                </c:pt>
                <c:pt idx="104">
                  <c:v>12/1/2023</c:v>
                </c:pt>
                <c:pt idx="105">
                  <c:v>12/2/2023</c:v>
                </c:pt>
                <c:pt idx="106">
                  <c:v>12/3/2023</c:v>
                </c:pt>
                <c:pt idx="107">
                  <c:v>12/4/2023</c:v>
                </c:pt>
                <c:pt idx="108">
                  <c:v>12/5/2023</c:v>
                </c:pt>
                <c:pt idx="109">
                  <c:v>12/6/2023</c:v>
                </c:pt>
                <c:pt idx="110">
                  <c:v>12/7/2023</c:v>
                </c:pt>
                <c:pt idx="111">
                  <c:v>12/8/2023</c:v>
                </c:pt>
                <c:pt idx="112">
                  <c:v>12/9/2023</c:v>
                </c:pt>
                <c:pt idx="113">
                  <c:v>12/10/2023</c:v>
                </c:pt>
                <c:pt idx="114">
                  <c:v>12/11/2023</c:v>
                </c:pt>
                <c:pt idx="115">
                  <c:v>12/12/2023</c:v>
                </c:pt>
                <c:pt idx="116">
                  <c:v>12/13/2023</c:v>
                </c:pt>
                <c:pt idx="117">
                  <c:v>12/14/2023</c:v>
                </c:pt>
                <c:pt idx="118">
                  <c:v>12/15/2023</c:v>
                </c:pt>
                <c:pt idx="119">
                  <c:v>12/16/2023</c:v>
                </c:pt>
                <c:pt idx="120">
                  <c:v>12/17/2023</c:v>
                </c:pt>
                <c:pt idx="121">
                  <c:v>12/20/2023</c:v>
                </c:pt>
                <c:pt idx="122">
                  <c:v>12/21/2023</c:v>
                </c:pt>
                <c:pt idx="123">
                  <c:v>12/22/2023</c:v>
                </c:pt>
                <c:pt idx="124">
                  <c:v>12/23/2023</c:v>
                </c:pt>
                <c:pt idx="125">
                  <c:v>12/24/2023</c:v>
                </c:pt>
                <c:pt idx="126">
                  <c:v>12/25/2023</c:v>
                </c:pt>
                <c:pt idx="127">
                  <c:v>12/26/2023</c:v>
                </c:pt>
                <c:pt idx="128">
                  <c:v>12/27/2023</c:v>
                </c:pt>
                <c:pt idx="129">
                  <c:v>12/28/2023</c:v>
                </c:pt>
                <c:pt idx="130">
                  <c:v>12/29/2023</c:v>
                </c:pt>
                <c:pt idx="131">
                  <c:v>12/30/2023</c:v>
                </c:pt>
                <c:pt idx="132">
                  <c:v>12/31/2023</c:v>
                </c:pt>
                <c:pt idx="133">
                  <c:v>1/1/2024</c:v>
                </c:pt>
                <c:pt idx="134">
                  <c:v>1/2/2024</c:v>
                </c:pt>
                <c:pt idx="135">
                  <c:v>1/3/2024</c:v>
                </c:pt>
                <c:pt idx="136">
                  <c:v>1/4/2024</c:v>
                </c:pt>
                <c:pt idx="137">
                  <c:v>1/6/2024</c:v>
                </c:pt>
                <c:pt idx="138">
                  <c:v>1/7/2024</c:v>
                </c:pt>
                <c:pt idx="139">
                  <c:v>1/8/2024</c:v>
                </c:pt>
                <c:pt idx="140">
                  <c:v>1/9/2024</c:v>
                </c:pt>
                <c:pt idx="141">
                  <c:v>1/10/2024</c:v>
                </c:pt>
                <c:pt idx="142">
                  <c:v>1/11/2024</c:v>
                </c:pt>
                <c:pt idx="143">
                  <c:v>1/12/2024</c:v>
                </c:pt>
                <c:pt idx="144">
                  <c:v>1/13/2024</c:v>
                </c:pt>
                <c:pt idx="145">
                  <c:v>1/14/2024</c:v>
                </c:pt>
                <c:pt idx="146">
                  <c:v>1/17/2024</c:v>
                </c:pt>
                <c:pt idx="147">
                  <c:v>1/18/2024</c:v>
                </c:pt>
                <c:pt idx="148">
                  <c:v>1/19/2024</c:v>
                </c:pt>
                <c:pt idx="149">
                  <c:v>1/20/2024</c:v>
                </c:pt>
                <c:pt idx="150">
                  <c:v>1/21/2024</c:v>
                </c:pt>
                <c:pt idx="151">
                  <c:v>1/22/2024</c:v>
                </c:pt>
                <c:pt idx="152">
                  <c:v>1/23/2024</c:v>
                </c:pt>
                <c:pt idx="153">
                  <c:v>1/24/2024</c:v>
                </c:pt>
                <c:pt idx="154">
                  <c:v>1/25/2024</c:v>
                </c:pt>
                <c:pt idx="155">
                  <c:v>1/26/2024</c:v>
                </c:pt>
                <c:pt idx="156">
                  <c:v>1/27/2024</c:v>
                </c:pt>
                <c:pt idx="157">
                  <c:v>1/28/2024</c:v>
                </c:pt>
                <c:pt idx="158">
                  <c:v>1/29/2024</c:v>
                </c:pt>
                <c:pt idx="159">
                  <c:v>1/30/2024</c:v>
                </c:pt>
                <c:pt idx="160">
                  <c:v>1/31/2024</c:v>
                </c:pt>
                <c:pt idx="161">
                  <c:v>2/1/2024</c:v>
                </c:pt>
                <c:pt idx="162">
                  <c:v>2/2/2024</c:v>
                </c:pt>
                <c:pt idx="163">
                  <c:v>2/3/2024</c:v>
                </c:pt>
                <c:pt idx="164">
                  <c:v>2/4/2024</c:v>
                </c:pt>
                <c:pt idx="165">
                  <c:v>2/5/2024</c:v>
                </c:pt>
                <c:pt idx="166">
                  <c:v>2/6/2024</c:v>
                </c:pt>
                <c:pt idx="167">
                  <c:v>2/7/2024</c:v>
                </c:pt>
                <c:pt idx="168">
                  <c:v>2/8/2024</c:v>
                </c:pt>
                <c:pt idx="169">
                  <c:v>2/9/2024</c:v>
                </c:pt>
                <c:pt idx="170">
                  <c:v>2/10/2024</c:v>
                </c:pt>
                <c:pt idx="171">
                  <c:v>2/11/2024</c:v>
                </c:pt>
                <c:pt idx="172">
                  <c:v>2/12/2024</c:v>
                </c:pt>
                <c:pt idx="173">
                  <c:v>2/13/2024</c:v>
                </c:pt>
                <c:pt idx="174">
                  <c:v>2/14/2024</c:v>
                </c:pt>
                <c:pt idx="175">
                  <c:v>2/15/2024</c:v>
                </c:pt>
                <c:pt idx="176">
                  <c:v>2/16/2024</c:v>
                </c:pt>
                <c:pt idx="177">
                  <c:v>2/17/2024</c:v>
                </c:pt>
                <c:pt idx="178">
                  <c:v>2/18/2024</c:v>
                </c:pt>
                <c:pt idx="179">
                  <c:v>2/19/2024</c:v>
                </c:pt>
                <c:pt idx="180">
                  <c:v>2/20/2024</c:v>
                </c:pt>
                <c:pt idx="181">
                  <c:v>2/21/2024</c:v>
                </c:pt>
                <c:pt idx="182">
                  <c:v>2/22/2024</c:v>
                </c:pt>
                <c:pt idx="183">
                  <c:v>2/25/2024</c:v>
                </c:pt>
                <c:pt idx="184">
                  <c:v>2/26/2024</c:v>
                </c:pt>
                <c:pt idx="185">
                  <c:v>2/27/2024</c:v>
                </c:pt>
                <c:pt idx="186">
                  <c:v>2/28/2024</c:v>
                </c:pt>
                <c:pt idx="187">
                  <c:v>2/29/2024</c:v>
                </c:pt>
                <c:pt idx="188">
                  <c:v>3/1/2024</c:v>
                </c:pt>
                <c:pt idx="189">
                  <c:v>3/2/2024</c:v>
                </c:pt>
                <c:pt idx="190">
                  <c:v>3/4/2024</c:v>
                </c:pt>
                <c:pt idx="191">
                  <c:v>3/5/2024</c:v>
                </c:pt>
                <c:pt idx="192">
                  <c:v>3/6/2024</c:v>
                </c:pt>
                <c:pt idx="193">
                  <c:v>3/7/2024</c:v>
                </c:pt>
                <c:pt idx="194">
                  <c:v>3/8/2024</c:v>
                </c:pt>
                <c:pt idx="195">
                  <c:v>3/9/2024</c:v>
                </c:pt>
                <c:pt idx="196">
                  <c:v>3/10/2024</c:v>
                </c:pt>
                <c:pt idx="197">
                  <c:v>3/11/2024</c:v>
                </c:pt>
                <c:pt idx="198">
                  <c:v>3/12/2024</c:v>
                </c:pt>
                <c:pt idx="199">
                  <c:v>3/13/2024</c:v>
                </c:pt>
                <c:pt idx="200">
                  <c:v>3/14/2024</c:v>
                </c:pt>
                <c:pt idx="201">
                  <c:v>3/15/2024</c:v>
                </c:pt>
                <c:pt idx="202">
                  <c:v>3/16/2024</c:v>
                </c:pt>
                <c:pt idx="203">
                  <c:v>3/17/2024</c:v>
                </c:pt>
                <c:pt idx="204">
                  <c:v>3/18/2024</c:v>
                </c:pt>
                <c:pt idx="205">
                  <c:v>3/19/2024</c:v>
                </c:pt>
                <c:pt idx="206">
                  <c:v>3/20/2024</c:v>
                </c:pt>
                <c:pt idx="207">
                  <c:v>3/21/2024</c:v>
                </c:pt>
                <c:pt idx="208">
                  <c:v>3/23/2024</c:v>
                </c:pt>
                <c:pt idx="209">
                  <c:v>3/24/2024</c:v>
                </c:pt>
                <c:pt idx="210">
                  <c:v>3/25/2024</c:v>
                </c:pt>
                <c:pt idx="211">
                  <c:v>3/26/2024</c:v>
                </c:pt>
                <c:pt idx="212">
                  <c:v>3/27/2024</c:v>
                </c:pt>
                <c:pt idx="213">
                  <c:v>3/28/2024</c:v>
                </c:pt>
                <c:pt idx="214">
                  <c:v>3/29/2024</c:v>
                </c:pt>
                <c:pt idx="215">
                  <c:v>3/30/2024</c:v>
                </c:pt>
                <c:pt idx="216">
                  <c:v>3/31/2024</c:v>
                </c:pt>
                <c:pt idx="217">
                  <c:v>4/1/2024</c:v>
                </c:pt>
                <c:pt idx="218">
                  <c:v>4/2/2024</c:v>
                </c:pt>
                <c:pt idx="219">
                  <c:v>4/3/2024</c:v>
                </c:pt>
                <c:pt idx="220">
                  <c:v>4/4/2024</c:v>
                </c:pt>
                <c:pt idx="221">
                  <c:v>4/5/2024</c:v>
                </c:pt>
                <c:pt idx="222">
                  <c:v>4/6/2024</c:v>
                </c:pt>
                <c:pt idx="223">
                  <c:v>4/7/2024</c:v>
                </c:pt>
                <c:pt idx="224">
                  <c:v>4/8/2024</c:v>
                </c:pt>
                <c:pt idx="225">
                  <c:v>4/9/2024</c:v>
                </c:pt>
                <c:pt idx="226">
                  <c:v>4/10/2024</c:v>
                </c:pt>
                <c:pt idx="227">
                  <c:v>4/12/2024</c:v>
                </c:pt>
                <c:pt idx="228">
                  <c:v>4/13/2024</c:v>
                </c:pt>
                <c:pt idx="229">
                  <c:v>4/14/2024</c:v>
                </c:pt>
                <c:pt idx="230">
                  <c:v>4/15/2024</c:v>
                </c:pt>
                <c:pt idx="231">
                  <c:v>4/16/2024</c:v>
                </c:pt>
                <c:pt idx="232">
                  <c:v>4/17/2024</c:v>
                </c:pt>
                <c:pt idx="233">
                  <c:v>4/18/2024</c:v>
                </c:pt>
                <c:pt idx="234">
                  <c:v>4/19/2024</c:v>
                </c:pt>
                <c:pt idx="235">
                  <c:v>4/20/2024</c:v>
                </c:pt>
                <c:pt idx="236">
                  <c:v>4/21/2024</c:v>
                </c:pt>
                <c:pt idx="237">
                  <c:v>4/22/2024</c:v>
                </c:pt>
                <c:pt idx="238">
                  <c:v>4/23/2024</c:v>
                </c:pt>
                <c:pt idx="239">
                  <c:v>4/24/2024</c:v>
                </c:pt>
                <c:pt idx="240">
                  <c:v>4/25/2024</c:v>
                </c:pt>
                <c:pt idx="241">
                  <c:v>4/26/2024</c:v>
                </c:pt>
                <c:pt idx="242">
                  <c:v>4/27/2024</c:v>
                </c:pt>
                <c:pt idx="243">
                  <c:v>4/28/2024</c:v>
                </c:pt>
                <c:pt idx="244">
                  <c:v>4/29/2024</c:v>
                </c:pt>
                <c:pt idx="245">
                  <c:v>4/30/2024</c:v>
                </c:pt>
                <c:pt idx="246">
                  <c:v>5/1/2024</c:v>
                </c:pt>
                <c:pt idx="247">
                  <c:v>5/2/2024</c:v>
                </c:pt>
                <c:pt idx="248">
                  <c:v>5/3/2024</c:v>
                </c:pt>
                <c:pt idx="249">
                  <c:v>5/4/2024</c:v>
                </c:pt>
                <c:pt idx="250">
                  <c:v>5/5/2024</c:v>
                </c:pt>
                <c:pt idx="251">
                  <c:v>5/6/2024</c:v>
                </c:pt>
                <c:pt idx="252">
                  <c:v>5/7/2024</c:v>
                </c:pt>
                <c:pt idx="253">
                  <c:v>5/8/2024</c:v>
                </c:pt>
                <c:pt idx="254">
                  <c:v>5/9/2024</c:v>
                </c:pt>
                <c:pt idx="255">
                  <c:v>5/10/2024</c:v>
                </c:pt>
                <c:pt idx="256">
                  <c:v>5/11/2024</c:v>
                </c:pt>
                <c:pt idx="257">
                  <c:v>5/12/2024</c:v>
                </c:pt>
                <c:pt idx="258">
                  <c:v>5/13/2024</c:v>
                </c:pt>
                <c:pt idx="259">
                  <c:v>5/14/2024</c:v>
                </c:pt>
                <c:pt idx="260">
                  <c:v>5/15/2024</c:v>
                </c:pt>
                <c:pt idx="261">
                  <c:v>5/16/2024</c:v>
                </c:pt>
                <c:pt idx="262">
                  <c:v>5/17/2024</c:v>
                </c:pt>
                <c:pt idx="263">
                  <c:v>5/18/2024</c:v>
                </c:pt>
                <c:pt idx="264">
                  <c:v>5/19/2024</c:v>
                </c:pt>
                <c:pt idx="265">
                  <c:v>5/20/2024</c:v>
                </c:pt>
                <c:pt idx="266">
                  <c:v>5/21/2024</c:v>
                </c:pt>
                <c:pt idx="267">
                  <c:v>5/22/2024</c:v>
                </c:pt>
                <c:pt idx="268">
                  <c:v>5/23/2024</c:v>
                </c:pt>
                <c:pt idx="269">
                  <c:v>5/24/2024</c:v>
                </c:pt>
                <c:pt idx="270">
                  <c:v>5/25/2024</c:v>
                </c:pt>
                <c:pt idx="271">
                  <c:v>5/27/2024</c:v>
                </c:pt>
                <c:pt idx="272">
                  <c:v>5/28/2024</c:v>
                </c:pt>
                <c:pt idx="273">
                  <c:v>5/29/2024</c:v>
                </c:pt>
                <c:pt idx="274">
                  <c:v>5/30/2024</c:v>
                </c:pt>
                <c:pt idx="275">
                  <c:v>5/31/2024</c:v>
                </c:pt>
                <c:pt idx="276">
                  <c:v>6/1/2024</c:v>
                </c:pt>
                <c:pt idx="277">
                  <c:v>6/2/2024</c:v>
                </c:pt>
                <c:pt idx="278">
                  <c:v>6/4/2024</c:v>
                </c:pt>
                <c:pt idx="279">
                  <c:v>6/5/2024</c:v>
                </c:pt>
                <c:pt idx="280">
                  <c:v>6/7/2024</c:v>
                </c:pt>
                <c:pt idx="281">
                  <c:v>6/9/2024</c:v>
                </c:pt>
                <c:pt idx="282">
                  <c:v>6/10/2024</c:v>
                </c:pt>
                <c:pt idx="283">
                  <c:v>6/11/2024</c:v>
                </c:pt>
                <c:pt idx="284">
                  <c:v>6/12/2024</c:v>
                </c:pt>
                <c:pt idx="285">
                  <c:v>6/13/2024</c:v>
                </c:pt>
                <c:pt idx="286">
                  <c:v>6/14/2024</c:v>
                </c:pt>
                <c:pt idx="287">
                  <c:v>6/15/2024</c:v>
                </c:pt>
                <c:pt idx="288">
                  <c:v>6/16/2024</c:v>
                </c:pt>
                <c:pt idx="289">
                  <c:v>6/17/2024</c:v>
                </c:pt>
                <c:pt idx="290">
                  <c:v>6/18/2024</c:v>
                </c:pt>
                <c:pt idx="291">
                  <c:v>6/19/2024</c:v>
                </c:pt>
                <c:pt idx="292">
                  <c:v>6/20/2024</c:v>
                </c:pt>
                <c:pt idx="293">
                  <c:v>6/21/2024</c:v>
                </c:pt>
                <c:pt idx="294">
                  <c:v>6/22/2024</c:v>
                </c:pt>
                <c:pt idx="295">
                  <c:v>6/23/2024</c:v>
                </c:pt>
                <c:pt idx="296">
                  <c:v>6/24/2024</c:v>
                </c:pt>
                <c:pt idx="297">
                  <c:v>6/25/2024</c:v>
                </c:pt>
                <c:pt idx="298">
                  <c:v>6/26/2024</c:v>
                </c:pt>
                <c:pt idx="299">
                  <c:v>6/27/2024</c:v>
                </c:pt>
                <c:pt idx="300">
                  <c:v>6/28/2024</c:v>
                </c:pt>
                <c:pt idx="301">
                  <c:v>6/29/2024</c:v>
                </c:pt>
                <c:pt idx="302">
                  <c:v>6/30/2024</c:v>
                </c:pt>
                <c:pt idx="303">
                  <c:v>7/1/2024</c:v>
                </c:pt>
                <c:pt idx="304">
                  <c:v>7/2/2024</c:v>
                </c:pt>
                <c:pt idx="305">
                  <c:v>7/3/2024</c:v>
                </c:pt>
                <c:pt idx="306">
                  <c:v>7/4/2024</c:v>
                </c:pt>
                <c:pt idx="307">
                  <c:v>7/5/2024</c:v>
                </c:pt>
                <c:pt idx="308">
                  <c:v>7/6/2024</c:v>
                </c:pt>
                <c:pt idx="309">
                  <c:v>7/7/2024</c:v>
                </c:pt>
                <c:pt idx="310">
                  <c:v>7/8/2024</c:v>
                </c:pt>
                <c:pt idx="311">
                  <c:v>7/9/2024</c:v>
                </c:pt>
                <c:pt idx="312">
                  <c:v>7/10/2024</c:v>
                </c:pt>
                <c:pt idx="313">
                  <c:v>7/11/2024</c:v>
                </c:pt>
                <c:pt idx="314">
                  <c:v>7/12/2024</c:v>
                </c:pt>
                <c:pt idx="315">
                  <c:v>7/13/2024</c:v>
                </c:pt>
                <c:pt idx="316">
                  <c:v>7/14/2024</c:v>
                </c:pt>
                <c:pt idx="317">
                  <c:v>7/15/2024</c:v>
                </c:pt>
                <c:pt idx="318">
                  <c:v>7/16/2024</c:v>
                </c:pt>
                <c:pt idx="319">
                  <c:v>7/17/2024</c:v>
                </c:pt>
                <c:pt idx="320">
                  <c:v>7/18/2024</c:v>
                </c:pt>
                <c:pt idx="321">
                  <c:v>7/20/2024</c:v>
                </c:pt>
                <c:pt idx="322">
                  <c:v>7/21/2024</c:v>
                </c:pt>
                <c:pt idx="323">
                  <c:v>7/22/2024</c:v>
                </c:pt>
                <c:pt idx="324">
                  <c:v>7/23/2024</c:v>
                </c:pt>
                <c:pt idx="325">
                  <c:v>7/24/2024</c:v>
                </c:pt>
                <c:pt idx="326">
                  <c:v>7/25/2024</c:v>
                </c:pt>
                <c:pt idx="327">
                  <c:v>7/26/2024</c:v>
                </c:pt>
                <c:pt idx="328">
                  <c:v>7/27/2024</c:v>
                </c:pt>
                <c:pt idx="329">
                  <c:v>7/28/2024</c:v>
                </c:pt>
                <c:pt idx="330">
                  <c:v>7/29/2024</c:v>
                </c:pt>
                <c:pt idx="331">
                  <c:v>7/30/2024</c:v>
                </c:pt>
                <c:pt idx="332">
                  <c:v>7/31/2024</c:v>
                </c:pt>
                <c:pt idx="333">
                  <c:v>8/1/2024</c:v>
                </c:pt>
                <c:pt idx="334">
                  <c:v>8/2/2024</c:v>
                </c:pt>
                <c:pt idx="335">
                  <c:v>8/3/2024</c:v>
                </c:pt>
                <c:pt idx="336">
                  <c:v>8/4/2024</c:v>
                </c:pt>
                <c:pt idx="337">
                  <c:v>8/5/2024</c:v>
                </c:pt>
                <c:pt idx="338">
                  <c:v>8/6/2024</c:v>
                </c:pt>
                <c:pt idx="339">
                  <c:v>8/7/2024</c:v>
                </c:pt>
                <c:pt idx="340">
                  <c:v>8/8/2024</c:v>
                </c:pt>
                <c:pt idx="341">
                  <c:v>8/9/2024</c:v>
                </c:pt>
                <c:pt idx="342">
                  <c:v>8/10/2024</c:v>
                </c:pt>
                <c:pt idx="343">
                  <c:v>8/11/2024</c:v>
                </c:pt>
                <c:pt idx="344">
                  <c:v>8/12/2024</c:v>
                </c:pt>
                <c:pt idx="345">
                  <c:v>8/13/2024</c:v>
                </c:pt>
                <c:pt idx="346">
                  <c:v>8/16/2024</c:v>
                </c:pt>
                <c:pt idx="347">
                  <c:v>8/17/2024</c:v>
                </c:pt>
                <c:pt idx="348">
                  <c:v>8/18/2024</c:v>
                </c:pt>
                <c:pt idx="349">
                  <c:v>8/19/2024</c:v>
                </c:pt>
                <c:pt idx="350">
                  <c:v>8/20/2024</c:v>
                </c:pt>
                <c:pt idx="351">
                  <c:v>8/21/2024</c:v>
                </c:pt>
                <c:pt idx="352">
                  <c:v>8/22/2024</c:v>
                </c:pt>
                <c:pt idx="353">
                  <c:v>8/24/2024</c:v>
                </c:pt>
                <c:pt idx="354">
                  <c:v>8/25/2024</c:v>
                </c:pt>
                <c:pt idx="355">
                  <c:v>8/26/2024</c:v>
                </c:pt>
                <c:pt idx="356">
                  <c:v>8/27/2024</c:v>
                </c:pt>
                <c:pt idx="357">
                  <c:v>8/28/2024</c:v>
                </c:pt>
                <c:pt idx="358">
                  <c:v>8/29/2024</c:v>
                </c:pt>
                <c:pt idx="359">
                  <c:v>8/30/2024</c:v>
                </c:pt>
                <c:pt idx="360">
                  <c:v>8/31/2024</c:v>
                </c:pt>
                <c:pt idx="361">
                  <c:v>9/1/2024</c:v>
                </c:pt>
                <c:pt idx="362">
                  <c:v>9/2/2024</c:v>
                </c:pt>
                <c:pt idx="363">
                  <c:v>9/3/2024</c:v>
                </c:pt>
                <c:pt idx="364">
                  <c:v>9/4/2024</c:v>
                </c:pt>
                <c:pt idx="365">
                  <c:v>9/5/2024</c:v>
                </c:pt>
                <c:pt idx="366">
                  <c:v>9/6/2024</c:v>
                </c:pt>
                <c:pt idx="367">
                  <c:v>9/7/2024</c:v>
                </c:pt>
                <c:pt idx="368">
                  <c:v>9/8/2024</c:v>
                </c:pt>
                <c:pt idx="369">
                  <c:v>9/9/2024</c:v>
                </c:pt>
                <c:pt idx="370">
                  <c:v>9/10/2024</c:v>
                </c:pt>
                <c:pt idx="371">
                  <c:v>9/11/2024</c:v>
                </c:pt>
                <c:pt idx="372">
                  <c:v>9/12/2024</c:v>
                </c:pt>
                <c:pt idx="373">
                  <c:v>9/13/2024</c:v>
                </c:pt>
                <c:pt idx="374">
                  <c:v>9/14/2024</c:v>
                </c:pt>
                <c:pt idx="375">
                  <c:v>9/16/2024</c:v>
                </c:pt>
                <c:pt idx="376">
                  <c:v>9/17/2024</c:v>
                </c:pt>
                <c:pt idx="377">
                  <c:v>9/18/2024</c:v>
                </c:pt>
                <c:pt idx="378">
                  <c:v>9/19/2024</c:v>
                </c:pt>
                <c:pt idx="379">
                  <c:v>9/20/2024</c:v>
                </c:pt>
                <c:pt idx="380">
                  <c:v>9/21/2024</c:v>
                </c:pt>
                <c:pt idx="381">
                  <c:v>9/22/2024</c:v>
                </c:pt>
                <c:pt idx="382">
                  <c:v>9/23/2024</c:v>
                </c:pt>
                <c:pt idx="383">
                  <c:v>9/24/2024</c:v>
                </c:pt>
                <c:pt idx="384">
                  <c:v>9/25/2024</c:v>
                </c:pt>
                <c:pt idx="385">
                  <c:v>9/26/2024</c:v>
                </c:pt>
                <c:pt idx="386">
                  <c:v>9/27/2024</c:v>
                </c:pt>
                <c:pt idx="387">
                  <c:v>9/28/2024</c:v>
                </c:pt>
                <c:pt idx="388">
                  <c:v>9/29/2024</c:v>
                </c:pt>
                <c:pt idx="389">
                  <c:v>9/30/2024</c:v>
                </c:pt>
                <c:pt idx="390">
                  <c:v>10/1/2024</c:v>
                </c:pt>
                <c:pt idx="391">
                  <c:v>10/2/2024</c:v>
                </c:pt>
                <c:pt idx="392">
                  <c:v>10/3/2024</c:v>
                </c:pt>
                <c:pt idx="393">
                  <c:v>10/4/2024</c:v>
                </c:pt>
                <c:pt idx="394">
                  <c:v>10/6/2024</c:v>
                </c:pt>
                <c:pt idx="395">
                  <c:v>10/7/2024</c:v>
                </c:pt>
                <c:pt idx="396">
                  <c:v>10/8/2024</c:v>
                </c:pt>
                <c:pt idx="397">
                  <c:v>10/9/2024</c:v>
                </c:pt>
                <c:pt idx="398">
                  <c:v>10/10/2024</c:v>
                </c:pt>
                <c:pt idx="399">
                  <c:v>10/11/2024</c:v>
                </c:pt>
                <c:pt idx="400">
                  <c:v>10/12/2024</c:v>
                </c:pt>
                <c:pt idx="401">
                  <c:v>10/13/2024</c:v>
                </c:pt>
                <c:pt idx="402">
                  <c:v>10/14/2024</c:v>
                </c:pt>
                <c:pt idx="403">
                  <c:v>10/15/2024</c:v>
                </c:pt>
                <c:pt idx="404">
                  <c:v>10/16/2024</c:v>
                </c:pt>
                <c:pt idx="405">
                  <c:v>10/17/2024</c:v>
                </c:pt>
                <c:pt idx="406">
                  <c:v>10/18/2024</c:v>
                </c:pt>
                <c:pt idx="407">
                  <c:v>10/19/2024</c:v>
                </c:pt>
                <c:pt idx="408">
                  <c:v>10/20/2024</c:v>
                </c:pt>
                <c:pt idx="409">
                  <c:v>10/21/2024</c:v>
                </c:pt>
                <c:pt idx="410">
                  <c:v>10/22/2024</c:v>
                </c:pt>
                <c:pt idx="411">
                  <c:v>10/23/2024</c:v>
                </c:pt>
                <c:pt idx="412">
                  <c:v>10/24/2024</c:v>
                </c:pt>
                <c:pt idx="413">
                  <c:v>10/25/2024</c:v>
                </c:pt>
                <c:pt idx="414">
                  <c:v>10/26/2024</c:v>
                </c:pt>
                <c:pt idx="415">
                  <c:v>10/27/2024</c:v>
                </c:pt>
                <c:pt idx="416">
                  <c:v>10/28/2024</c:v>
                </c:pt>
                <c:pt idx="417">
                  <c:v>10/29/2024</c:v>
                </c:pt>
                <c:pt idx="418">
                  <c:v>10/30/2024</c:v>
                </c:pt>
                <c:pt idx="419">
                  <c:v>10/31/2024</c:v>
                </c:pt>
                <c:pt idx="420">
                  <c:v>11/1/2024</c:v>
                </c:pt>
                <c:pt idx="421">
                  <c:v>11/2/2024</c:v>
                </c:pt>
                <c:pt idx="422">
                  <c:v>11/3/2024</c:v>
                </c:pt>
                <c:pt idx="423">
                  <c:v>11/4/2024</c:v>
                </c:pt>
                <c:pt idx="424">
                  <c:v>11/5/2024</c:v>
                </c:pt>
                <c:pt idx="425">
                  <c:v>11/6/2024</c:v>
                </c:pt>
                <c:pt idx="426">
                  <c:v>11/7/2024</c:v>
                </c:pt>
                <c:pt idx="427">
                  <c:v>11/8/2024</c:v>
                </c:pt>
                <c:pt idx="428">
                  <c:v>11/10/2024</c:v>
                </c:pt>
                <c:pt idx="429">
                  <c:v>11/11/2024</c:v>
                </c:pt>
                <c:pt idx="430">
                  <c:v>11/12/2024</c:v>
                </c:pt>
                <c:pt idx="431">
                  <c:v>11/13/2024</c:v>
                </c:pt>
                <c:pt idx="432">
                  <c:v>11/14/2024</c:v>
                </c:pt>
                <c:pt idx="433">
                  <c:v>11/16/2024</c:v>
                </c:pt>
                <c:pt idx="434">
                  <c:v>11/17/2024</c:v>
                </c:pt>
                <c:pt idx="435">
                  <c:v>11/18/2024</c:v>
                </c:pt>
                <c:pt idx="436">
                  <c:v>11/19/2024</c:v>
                </c:pt>
                <c:pt idx="437">
                  <c:v>11/20/2024</c:v>
                </c:pt>
                <c:pt idx="438">
                  <c:v>11/22/2024</c:v>
                </c:pt>
                <c:pt idx="439">
                  <c:v>11/23/2024</c:v>
                </c:pt>
                <c:pt idx="440">
                  <c:v>11/24/2024</c:v>
                </c:pt>
                <c:pt idx="441">
                  <c:v>11/26/2024</c:v>
                </c:pt>
                <c:pt idx="442">
                  <c:v>11/27/2024</c:v>
                </c:pt>
                <c:pt idx="443">
                  <c:v>11/28/2024</c:v>
                </c:pt>
                <c:pt idx="444">
                  <c:v>11/29/2024</c:v>
                </c:pt>
                <c:pt idx="445">
                  <c:v>11/30/2024</c:v>
                </c:pt>
                <c:pt idx="446">
                  <c:v>12/1/2024</c:v>
                </c:pt>
                <c:pt idx="447">
                  <c:v>12/2/2024</c:v>
                </c:pt>
                <c:pt idx="448">
                  <c:v>12/3/2024</c:v>
                </c:pt>
                <c:pt idx="449">
                  <c:v>12/4/2024</c:v>
                </c:pt>
                <c:pt idx="450">
                  <c:v>12/5/2024</c:v>
                </c:pt>
                <c:pt idx="451">
                  <c:v>12/6/2024</c:v>
                </c:pt>
                <c:pt idx="452">
                  <c:v>12/7/2024</c:v>
                </c:pt>
                <c:pt idx="453">
                  <c:v>12/8/2024</c:v>
                </c:pt>
                <c:pt idx="454">
                  <c:v>12/9/2024</c:v>
                </c:pt>
                <c:pt idx="455">
                  <c:v>12/10/2024</c:v>
                </c:pt>
                <c:pt idx="456">
                  <c:v>12/12/2024</c:v>
                </c:pt>
                <c:pt idx="457">
                  <c:v>12/13/2024</c:v>
                </c:pt>
                <c:pt idx="458">
                  <c:v>12/14/2024</c:v>
                </c:pt>
                <c:pt idx="459">
                  <c:v>12/15/2024</c:v>
                </c:pt>
                <c:pt idx="460">
                  <c:v>12/16/2024</c:v>
                </c:pt>
                <c:pt idx="461">
                  <c:v>12/17/2024</c:v>
                </c:pt>
                <c:pt idx="462">
                  <c:v>12/18/2024</c:v>
                </c:pt>
                <c:pt idx="463">
                  <c:v>12/19/2024</c:v>
                </c:pt>
                <c:pt idx="464">
                  <c:v>12/20/2024</c:v>
                </c:pt>
                <c:pt idx="465">
                  <c:v>12/21/2024</c:v>
                </c:pt>
                <c:pt idx="466">
                  <c:v>12/22/2024</c:v>
                </c:pt>
                <c:pt idx="467">
                  <c:v>12/23/2024</c:v>
                </c:pt>
                <c:pt idx="468">
                  <c:v>12/24/2024</c:v>
                </c:pt>
                <c:pt idx="469">
                  <c:v>12/25/2024</c:v>
                </c:pt>
                <c:pt idx="470">
                  <c:v>12/26/2024</c:v>
                </c:pt>
                <c:pt idx="471">
                  <c:v>12/27/2024</c:v>
                </c:pt>
                <c:pt idx="472">
                  <c:v>12/28/2024</c:v>
                </c:pt>
                <c:pt idx="473">
                  <c:v>12/29/2024</c:v>
                </c:pt>
                <c:pt idx="474">
                  <c:v>12/30/2024</c:v>
                </c:pt>
                <c:pt idx="475">
                  <c:v>12/31/2024</c:v>
                </c:pt>
                <c:pt idx="476">
                  <c:v>1/1/2025</c:v>
                </c:pt>
                <c:pt idx="477">
                  <c:v>1/2/2025</c:v>
                </c:pt>
                <c:pt idx="478">
                  <c:v>1/3/2025</c:v>
                </c:pt>
                <c:pt idx="479">
                  <c:v>1/4/2025</c:v>
                </c:pt>
                <c:pt idx="480">
                  <c:v>1/5/2025</c:v>
                </c:pt>
                <c:pt idx="481">
                  <c:v>1/6/2025</c:v>
                </c:pt>
                <c:pt idx="482">
                  <c:v>1/7/2025</c:v>
                </c:pt>
                <c:pt idx="483">
                  <c:v>1/8/2025</c:v>
                </c:pt>
                <c:pt idx="484">
                  <c:v>1/9/2025</c:v>
                </c:pt>
                <c:pt idx="485">
                  <c:v>1/10/2025</c:v>
                </c:pt>
                <c:pt idx="486">
                  <c:v>1/11/2025</c:v>
                </c:pt>
                <c:pt idx="487">
                  <c:v>1/12/2025</c:v>
                </c:pt>
                <c:pt idx="488">
                  <c:v>1/13/2025</c:v>
                </c:pt>
                <c:pt idx="489">
                  <c:v>1/14/2025</c:v>
                </c:pt>
                <c:pt idx="490">
                  <c:v>1/15/2025</c:v>
                </c:pt>
                <c:pt idx="491">
                  <c:v>1/16/2025</c:v>
                </c:pt>
                <c:pt idx="492">
                  <c:v>1/17/2025</c:v>
                </c:pt>
                <c:pt idx="493">
                  <c:v>1/18/2025</c:v>
                </c:pt>
                <c:pt idx="494">
                  <c:v>1/19/2025</c:v>
                </c:pt>
                <c:pt idx="495">
                  <c:v>1/20/2025</c:v>
                </c:pt>
                <c:pt idx="496">
                  <c:v>1/21/2025</c:v>
                </c:pt>
                <c:pt idx="497">
                  <c:v>1/23/2025</c:v>
                </c:pt>
                <c:pt idx="498">
                  <c:v>1/24/2025</c:v>
                </c:pt>
                <c:pt idx="499">
                  <c:v>1/25/2025</c:v>
                </c:pt>
                <c:pt idx="500">
                  <c:v>1/26/2025</c:v>
                </c:pt>
                <c:pt idx="501">
                  <c:v>1/27/2025</c:v>
                </c:pt>
                <c:pt idx="502">
                  <c:v>1/28/2025</c:v>
                </c:pt>
                <c:pt idx="503">
                  <c:v>1/29/2025</c:v>
                </c:pt>
                <c:pt idx="504">
                  <c:v>1/30/2025</c:v>
                </c:pt>
                <c:pt idx="505">
                  <c:v>1/31/2025</c:v>
                </c:pt>
                <c:pt idx="506">
                  <c:v>2/1/2025</c:v>
                </c:pt>
                <c:pt idx="507">
                  <c:v>2/2/2025</c:v>
                </c:pt>
                <c:pt idx="508">
                  <c:v>2/3/2025</c:v>
                </c:pt>
                <c:pt idx="509">
                  <c:v>2/4/2025</c:v>
                </c:pt>
                <c:pt idx="510">
                  <c:v>2/5/2025</c:v>
                </c:pt>
                <c:pt idx="511">
                  <c:v>2/6/2025</c:v>
                </c:pt>
                <c:pt idx="512">
                  <c:v>2/7/2025</c:v>
                </c:pt>
                <c:pt idx="513">
                  <c:v>2/8/2025</c:v>
                </c:pt>
                <c:pt idx="514">
                  <c:v>2/9/2025</c:v>
                </c:pt>
                <c:pt idx="515">
                  <c:v>2/10/2025</c:v>
                </c:pt>
                <c:pt idx="516">
                  <c:v>2/11/2025</c:v>
                </c:pt>
                <c:pt idx="517">
                  <c:v>2/12/2025</c:v>
                </c:pt>
                <c:pt idx="518">
                  <c:v>2/13/2025</c:v>
                </c:pt>
                <c:pt idx="519">
                  <c:v>2/14/2025</c:v>
                </c:pt>
                <c:pt idx="520">
                  <c:v>2/15/2025</c:v>
                </c:pt>
                <c:pt idx="521">
                  <c:v>2/16/2025</c:v>
                </c:pt>
                <c:pt idx="522">
                  <c:v>2/17/2025</c:v>
                </c:pt>
                <c:pt idx="523">
                  <c:v>2/18/2025</c:v>
                </c:pt>
                <c:pt idx="524">
                  <c:v>2/19/2025</c:v>
                </c:pt>
                <c:pt idx="525">
                  <c:v>2/20/2025</c:v>
                </c:pt>
                <c:pt idx="526">
                  <c:v>2/21/2025</c:v>
                </c:pt>
                <c:pt idx="527">
                  <c:v>2/22/2025</c:v>
                </c:pt>
                <c:pt idx="528">
                  <c:v>2/23/2025</c:v>
                </c:pt>
                <c:pt idx="529">
                  <c:v>2/24/2025</c:v>
                </c:pt>
                <c:pt idx="530">
                  <c:v>2/25/2025</c:v>
                </c:pt>
                <c:pt idx="531">
                  <c:v>2/26/2025</c:v>
                </c:pt>
                <c:pt idx="532">
                  <c:v>2/27/2025</c:v>
                </c:pt>
                <c:pt idx="533">
                  <c:v>2/28/2025</c:v>
                </c:pt>
                <c:pt idx="534">
                  <c:v>3/1/2025</c:v>
                </c:pt>
                <c:pt idx="535">
                  <c:v>3/2/2025</c:v>
                </c:pt>
                <c:pt idx="536">
                  <c:v>3/3/2025</c:v>
                </c:pt>
                <c:pt idx="537">
                  <c:v>3/4/2025</c:v>
                </c:pt>
                <c:pt idx="538">
                  <c:v>3/5/2025</c:v>
                </c:pt>
                <c:pt idx="539">
                  <c:v>3/6/2025</c:v>
                </c:pt>
                <c:pt idx="540">
                  <c:v>3/7/2025</c:v>
                </c:pt>
                <c:pt idx="541">
                  <c:v>3/8/2025</c:v>
                </c:pt>
                <c:pt idx="542">
                  <c:v>3/9/2025</c:v>
                </c:pt>
                <c:pt idx="543">
                  <c:v>3/10/2025</c:v>
                </c:pt>
                <c:pt idx="544">
                  <c:v>3/11/2025</c:v>
                </c:pt>
                <c:pt idx="545">
                  <c:v>3/12/2025</c:v>
                </c:pt>
                <c:pt idx="546">
                  <c:v>3/13/2025</c:v>
                </c:pt>
                <c:pt idx="547">
                  <c:v>3/14/2025</c:v>
                </c:pt>
                <c:pt idx="548">
                  <c:v>3/15/2025</c:v>
                </c:pt>
                <c:pt idx="549">
                  <c:v>3/16/2025</c:v>
                </c:pt>
                <c:pt idx="550">
                  <c:v>3/17/2025</c:v>
                </c:pt>
                <c:pt idx="551">
                  <c:v>3/18/2025</c:v>
                </c:pt>
                <c:pt idx="552">
                  <c:v>3/19/2025</c:v>
                </c:pt>
                <c:pt idx="553">
                  <c:v>3/20/2025</c:v>
                </c:pt>
                <c:pt idx="554">
                  <c:v>3/21/2025</c:v>
                </c:pt>
                <c:pt idx="555">
                  <c:v>3/22/2025</c:v>
                </c:pt>
                <c:pt idx="556">
                  <c:v>3/23/2025</c:v>
                </c:pt>
                <c:pt idx="557">
                  <c:v>3/24/2025</c:v>
                </c:pt>
                <c:pt idx="558">
                  <c:v>3/25/2025</c:v>
                </c:pt>
                <c:pt idx="559">
                  <c:v>3/26/2025</c:v>
                </c:pt>
                <c:pt idx="560">
                  <c:v>3/27/2025</c:v>
                </c:pt>
                <c:pt idx="561">
                  <c:v>3/28/2025</c:v>
                </c:pt>
                <c:pt idx="562">
                  <c:v>3/29/2025</c:v>
                </c:pt>
                <c:pt idx="563">
                  <c:v>3/30/2025</c:v>
                </c:pt>
                <c:pt idx="564">
                  <c:v>3/31/2025</c:v>
                </c:pt>
                <c:pt idx="565">
                  <c:v>4/1/2025</c:v>
                </c:pt>
                <c:pt idx="566">
                  <c:v>4/2/2025</c:v>
                </c:pt>
                <c:pt idx="567">
                  <c:v>4/3/2025</c:v>
                </c:pt>
                <c:pt idx="568">
                  <c:v>4/4/2025</c:v>
                </c:pt>
                <c:pt idx="569">
                  <c:v>4/5/2025</c:v>
                </c:pt>
                <c:pt idx="570">
                  <c:v>4/6/2025</c:v>
                </c:pt>
                <c:pt idx="571">
                  <c:v>4/7/2025</c:v>
                </c:pt>
                <c:pt idx="572">
                  <c:v>4/8/2025</c:v>
                </c:pt>
                <c:pt idx="573">
                  <c:v>4/9/2025</c:v>
                </c:pt>
                <c:pt idx="574">
                  <c:v>4/10/2025</c:v>
                </c:pt>
                <c:pt idx="575">
                  <c:v>4/11/2025</c:v>
                </c:pt>
                <c:pt idx="576">
                  <c:v>4/12/2025</c:v>
                </c:pt>
                <c:pt idx="577">
                  <c:v>4/13/2025</c:v>
                </c:pt>
                <c:pt idx="578">
                  <c:v>4/14/2025</c:v>
                </c:pt>
                <c:pt idx="579">
                  <c:v>4/15/2025</c:v>
                </c:pt>
                <c:pt idx="580">
                  <c:v>4/16/2025</c:v>
                </c:pt>
                <c:pt idx="581">
                  <c:v>4/17/2025</c:v>
                </c:pt>
                <c:pt idx="582">
                  <c:v>4/18/2025</c:v>
                </c:pt>
                <c:pt idx="583">
                  <c:v>4/19/2025</c:v>
                </c:pt>
                <c:pt idx="584">
                  <c:v>4/20/2025</c:v>
                </c:pt>
                <c:pt idx="585">
                  <c:v>4/21/2025</c:v>
                </c:pt>
                <c:pt idx="586">
                  <c:v>4/22/2025</c:v>
                </c:pt>
                <c:pt idx="587">
                  <c:v>4/23/2025</c:v>
                </c:pt>
                <c:pt idx="588">
                  <c:v>4/24/2025</c:v>
                </c:pt>
                <c:pt idx="589">
                  <c:v>4/25/2025</c:v>
                </c:pt>
                <c:pt idx="590">
                  <c:v>4/26/2025</c:v>
                </c:pt>
                <c:pt idx="591">
                  <c:v>4/27/2025</c:v>
                </c:pt>
                <c:pt idx="592">
                  <c:v>4/28/2025</c:v>
                </c:pt>
                <c:pt idx="593">
                  <c:v>4/29/2025</c:v>
                </c:pt>
                <c:pt idx="594">
                  <c:v>4/30/2025</c:v>
                </c:pt>
                <c:pt idx="595">
                  <c:v>5/1/2025</c:v>
                </c:pt>
                <c:pt idx="596">
                  <c:v>5/2/2025</c:v>
                </c:pt>
                <c:pt idx="597">
                  <c:v>5/3/2025</c:v>
                </c:pt>
                <c:pt idx="598">
                  <c:v>5/4/2025</c:v>
                </c:pt>
                <c:pt idx="599">
                  <c:v>5/5/2025</c:v>
                </c:pt>
                <c:pt idx="600">
                  <c:v>5/6/2025</c:v>
                </c:pt>
                <c:pt idx="601">
                  <c:v>5/7/2025</c:v>
                </c:pt>
                <c:pt idx="602">
                  <c:v>5/8/2025</c:v>
                </c:pt>
                <c:pt idx="603">
                  <c:v>5/9/2025</c:v>
                </c:pt>
                <c:pt idx="604">
                  <c:v>5/10/2025</c:v>
                </c:pt>
                <c:pt idx="605">
                  <c:v>5/11/2025</c:v>
                </c:pt>
                <c:pt idx="606">
                  <c:v>5/12/2025</c:v>
                </c:pt>
                <c:pt idx="607">
                  <c:v>5/13/2025</c:v>
                </c:pt>
                <c:pt idx="608">
                  <c:v>5/14/2025</c:v>
                </c:pt>
                <c:pt idx="609">
                  <c:v>5/15/2025</c:v>
                </c:pt>
                <c:pt idx="610">
                  <c:v>5/16/2025</c:v>
                </c:pt>
                <c:pt idx="611">
                  <c:v>5/17/2025</c:v>
                </c:pt>
                <c:pt idx="612">
                  <c:v>5/18/2025</c:v>
                </c:pt>
                <c:pt idx="613">
                  <c:v>5/19/2025</c:v>
                </c:pt>
                <c:pt idx="614">
                  <c:v>5/20/2025</c:v>
                </c:pt>
                <c:pt idx="615">
                  <c:v>5/21/2025</c:v>
                </c:pt>
                <c:pt idx="616">
                  <c:v>5/22/2025</c:v>
                </c:pt>
                <c:pt idx="617">
                  <c:v>5/23/2025</c:v>
                </c:pt>
                <c:pt idx="618">
                  <c:v>5/24/2025</c:v>
                </c:pt>
                <c:pt idx="619">
                  <c:v>5/25/2025</c:v>
                </c:pt>
                <c:pt idx="620">
                  <c:v>5/26/2025</c:v>
                </c:pt>
                <c:pt idx="621">
                  <c:v>5/27/2025</c:v>
                </c:pt>
                <c:pt idx="622">
                  <c:v>5/28/2025</c:v>
                </c:pt>
                <c:pt idx="623">
                  <c:v>5/29/2025</c:v>
                </c:pt>
                <c:pt idx="624">
                  <c:v>5/30/2025</c:v>
                </c:pt>
                <c:pt idx="625">
                  <c:v>5/31/2025</c:v>
                </c:pt>
                <c:pt idx="626">
                  <c:v>6/1/2025</c:v>
                </c:pt>
                <c:pt idx="627">
                  <c:v>6/2/2025</c:v>
                </c:pt>
                <c:pt idx="628">
                  <c:v>6/3/2025</c:v>
                </c:pt>
                <c:pt idx="629">
                  <c:v>6/4/2025</c:v>
                </c:pt>
                <c:pt idx="630">
                  <c:v>6/5/2025</c:v>
                </c:pt>
                <c:pt idx="631">
                  <c:v>6/6/2025</c:v>
                </c:pt>
                <c:pt idx="632">
                  <c:v>6/7/2025</c:v>
                </c:pt>
                <c:pt idx="633">
                  <c:v>6/8/2025</c:v>
                </c:pt>
                <c:pt idx="634">
                  <c:v>6/9/2025</c:v>
                </c:pt>
                <c:pt idx="635">
                  <c:v>6/10/2025</c:v>
                </c:pt>
                <c:pt idx="636">
                  <c:v>6/11/2025</c:v>
                </c:pt>
                <c:pt idx="637">
                  <c:v>6/12/2025</c:v>
                </c:pt>
                <c:pt idx="638">
                  <c:v>6/13/2025</c:v>
                </c:pt>
                <c:pt idx="639">
                  <c:v>6/14/2025</c:v>
                </c:pt>
                <c:pt idx="640">
                  <c:v>6/15/2025</c:v>
                </c:pt>
                <c:pt idx="641">
                  <c:v>6/16/2025</c:v>
                </c:pt>
                <c:pt idx="642">
                  <c:v>6/17/2025</c:v>
                </c:pt>
                <c:pt idx="643">
                  <c:v>6/18/2025</c:v>
                </c:pt>
                <c:pt idx="644">
                  <c:v>6/19/2025</c:v>
                </c:pt>
                <c:pt idx="645">
                  <c:v>6/20/2025</c:v>
                </c:pt>
                <c:pt idx="646">
                  <c:v>6/21/2025</c:v>
                </c:pt>
                <c:pt idx="647">
                  <c:v>6/22/2025</c:v>
                </c:pt>
                <c:pt idx="648">
                  <c:v>6/23/2025</c:v>
                </c:pt>
                <c:pt idx="649">
                  <c:v>6/24/2025</c:v>
                </c:pt>
                <c:pt idx="650">
                  <c:v>6/25/2025</c:v>
                </c:pt>
                <c:pt idx="651">
                  <c:v>6/26/2025</c:v>
                </c:pt>
                <c:pt idx="652">
                  <c:v>6/27/2025</c:v>
                </c:pt>
                <c:pt idx="653">
                  <c:v>6/28/2025</c:v>
                </c:pt>
                <c:pt idx="654">
                  <c:v>6/30/2025</c:v>
                </c:pt>
                <c:pt idx="655">
                  <c:v>7/1/2025</c:v>
                </c:pt>
                <c:pt idx="656">
                  <c:v>7/2/2025</c:v>
                </c:pt>
                <c:pt idx="657">
                  <c:v>7/3/2025</c:v>
                </c:pt>
                <c:pt idx="658">
                  <c:v>7/4/2025</c:v>
                </c:pt>
                <c:pt idx="659">
                  <c:v>7/5/2025</c:v>
                </c:pt>
                <c:pt idx="660">
                  <c:v>7/6/2025</c:v>
                </c:pt>
                <c:pt idx="661">
                  <c:v>7/7/2025</c:v>
                </c:pt>
                <c:pt idx="662">
                  <c:v>7/8/2025</c:v>
                </c:pt>
                <c:pt idx="663">
                  <c:v>7/9/2025</c:v>
                </c:pt>
                <c:pt idx="664">
                  <c:v>7/10/2025</c:v>
                </c:pt>
                <c:pt idx="665">
                  <c:v>7/12/2025</c:v>
                </c:pt>
                <c:pt idx="666">
                  <c:v>7/13/2025</c:v>
                </c:pt>
                <c:pt idx="667">
                  <c:v>7/14/2025</c:v>
                </c:pt>
                <c:pt idx="668">
                  <c:v>7/15/2025</c:v>
                </c:pt>
                <c:pt idx="669">
                  <c:v>7/16/2025</c:v>
                </c:pt>
                <c:pt idx="670">
                  <c:v>7/17/2025</c:v>
                </c:pt>
                <c:pt idx="671">
                  <c:v>7/18/2025</c:v>
                </c:pt>
                <c:pt idx="672">
                  <c:v>7/19/2025</c:v>
                </c:pt>
                <c:pt idx="673">
                  <c:v>7/20/2025</c:v>
                </c:pt>
                <c:pt idx="674">
                  <c:v>7/21/2025</c:v>
                </c:pt>
                <c:pt idx="675">
                  <c:v>7/22/2025</c:v>
                </c:pt>
                <c:pt idx="676">
                  <c:v>7/23/2025</c:v>
                </c:pt>
                <c:pt idx="677">
                  <c:v>7/24/2025</c:v>
                </c:pt>
                <c:pt idx="678">
                  <c:v>7/25/2025</c:v>
                </c:pt>
                <c:pt idx="679">
                  <c:v>7/26/2025</c:v>
                </c:pt>
                <c:pt idx="680">
                  <c:v>7/27/2025</c:v>
                </c:pt>
                <c:pt idx="681">
                  <c:v>7/28/2025</c:v>
                </c:pt>
                <c:pt idx="682">
                  <c:v>7/29/2025</c:v>
                </c:pt>
                <c:pt idx="683">
                  <c:v>7/30/2025</c:v>
                </c:pt>
                <c:pt idx="684">
                  <c:v>7/31/2025</c:v>
                </c:pt>
                <c:pt idx="685">
                  <c:v>8/1/2025</c:v>
                </c:pt>
                <c:pt idx="686">
                  <c:v>8/2/2025</c:v>
                </c:pt>
                <c:pt idx="687">
                  <c:v>8/4/2025</c:v>
                </c:pt>
                <c:pt idx="688">
                  <c:v>8/5/2025</c:v>
                </c:pt>
              </c:strCache>
            </c:strRef>
          </c:cat>
          <c:val>
            <c:numRef>
              <c:f>Sheet2!$M$3:$M$692</c:f>
              <c:numCache>
                <c:formatCode>General</c:formatCode>
                <c:ptCount val="689"/>
                <c:pt idx="0">
                  <c:v>3363.16</c:v>
                </c:pt>
                <c:pt idx="1">
                  <c:v>18971.310000000001</c:v>
                </c:pt>
                <c:pt idx="2">
                  <c:v>7967.17</c:v>
                </c:pt>
                <c:pt idx="3">
                  <c:v>10785.02</c:v>
                </c:pt>
                <c:pt idx="4">
                  <c:v>6434.99</c:v>
                </c:pt>
                <c:pt idx="5">
                  <c:v>26791.57</c:v>
                </c:pt>
                <c:pt idx="6">
                  <c:v>17571.93</c:v>
                </c:pt>
                <c:pt idx="7">
                  <c:v>15472.029999999999</c:v>
                </c:pt>
                <c:pt idx="8">
                  <c:v>8226.9599999999991</c:v>
                </c:pt>
                <c:pt idx="9">
                  <c:v>44199.159999999996</c:v>
                </c:pt>
                <c:pt idx="10">
                  <c:v>4694.4799999999996</c:v>
                </c:pt>
                <c:pt idx="11">
                  <c:v>3257.75</c:v>
                </c:pt>
                <c:pt idx="12">
                  <c:v>4505.24</c:v>
                </c:pt>
                <c:pt idx="13">
                  <c:v>7372.0599999999995</c:v>
                </c:pt>
                <c:pt idx="14">
                  <c:v>4548.3999999999996</c:v>
                </c:pt>
                <c:pt idx="15">
                  <c:v>12658.33</c:v>
                </c:pt>
                <c:pt idx="16">
                  <c:v>19952.37</c:v>
                </c:pt>
                <c:pt idx="17">
                  <c:v>1206.82</c:v>
                </c:pt>
                <c:pt idx="18">
                  <c:v>8788.0400000000009</c:v>
                </c:pt>
                <c:pt idx="19">
                  <c:v>780.2</c:v>
                </c:pt>
                <c:pt idx="20">
                  <c:v>12957.130000000001</c:v>
                </c:pt>
                <c:pt idx="21">
                  <c:v>6559.49</c:v>
                </c:pt>
                <c:pt idx="22">
                  <c:v>4264.54</c:v>
                </c:pt>
                <c:pt idx="23">
                  <c:v>5019.84</c:v>
                </c:pt>
                <c:pt idx="24">
                  <c:v>9632.98</c:v>
                </c:pt>
                <c:pt idx="25">
                  <c:v>8163.05</c:v>
                </c:pt>
                <c:pt idx="26">
                  <c:v>531.20000000000005</c:v>
                </c:pt>
                <c:pt idx="27">
                  <c:v>4329.28</c:v>
                </c:pt>
                <c:pt idx="28">
                  <c:v>17024.96</c:v>
                </c:pt>
                <c:pt idx="29">
                  <c:v>6087.22</c:v>
                </c:pt>
                <c:pt idx="30">
                  <c:v>27133.53</c:v>
                </c:pt>
                <c:pt idx="31">
                  <c:v>4317.66</c:v>
                </c:pt>
                <c:pt idx="32">
                  <c:v>3910.96</c:v>
                </c:pt>
                <c:pt idx="33">
                  <c:v>6564.47</c:v>
                </c:pt>
                <c:pt idx="34">
                  <c:v>22405.02</c:v>
                </c:pt>
                <c:pt idx="35">
                  <c:v>9096.7999999999993</c:v>
                </c:pt>
                <c:pt idx="36">
                  <c:v>6191.8</c:v>
                </c:pt>
                <c:pt idx="37">
                  <c:v>2597.0699999999997</c:v>
                </c:pt>
                <c:pt idx="38">
                  <c:v>17552.010000000002</c:v>
                </c:pt>
                <c:pt idx="39">
                  <c:v>4432.2</c:v>
                </c:pt>
                <c:pt idx="40">
                  <c:v>8900.92</c:v>
                </c:pt>
                <c:pt idx="41">
                  <c:v>27170.05</c:v>
                </c:pt>
                <c:pt idx="42">
                  <c:v>2851.0499999999997</c:v>
                </c:pt>
                <c:pt idx="43">
                  <c:v>2825.32</c:v>
                </c:pt>
                <c:pt idx="44">
                  <c:v>19034.39</c:v>
                </c:pt>
                <c:pt idx="45">
                  <c:v>11452.34</c:v>
                </c:pt>
                <c:pt idx="46">
                  <c:v>15059.519999999997</c:v>
                </c:pt>
                <c:pt idx="47">
                  <c:v>7874.21</c:v>
                </c:pt>
                <c:pt idx="48">
                  <c:v>7069.9400000000005</c:v>
                </c:pt>
                <c:pt idx="49">
                  <c:v>5404.96</c:v>
                </c:pt>
                <c:pt idx="50">
                  <c:v>15189</c:v>
                </c:pt>
                <c:pt idx="51">
                  <c:v>19221.97</c:v>
                </c:pt>
                <c:pt idx="52">
                  <c:v>9596.4599999999991</c:v>
                </c:pt>
                <c:pt idx="53">
                  <c:v>10160.030000000001</c:v>
                </c:pt>
                <c:pt idx="54">
                  <c:v>9200.5500000000011</c:v>
                </c:pt>
                <c:pt idx="55">
                  <c:v>9857.91</c:v>
                </c:pt>
                <c:pt idx="56">
                  <c:v>5489.62</c:v>
                </c:pt>
                <c:pt idx="57">
                  <c:v>7793.7000000000007</c:v>
                </c:pt>
                <c:pt idx="58">
                  <c:v>4325.13</c:v>
                </c:pt>
                <c:pt idx="59">
                  <c:v>12697.34</c:v>
                </c:pt>
                <c:pt idx="60">
                  <c:v>9374.02</c:v>
                </c:pt>
                <c:pt idx="61">
                  <c:v>11164.33</c:v>
                </c:pt>
                <c:pt idx="62">
                  <c:v>4392.3599999999997</c:v>
                </c:pt>
                <c:pt idx="63">
                  <c:v>16211.560000000001</c:v>
                </c:pt>
                <c:pt idx="64">
                  <c:v>16582.57</c:v>
                </c:pt>
                <c:pt idx="65">
                  <c:v>36813.82</c:v>
                </c:pt>
                <c:pt idx="66">
                  <c:v>4464.57</c:v>
                </c:pt>
                <c:pt idx="67">
                  <c:v>7632.6799999999994</c:v>
                </c:pt>
                <c:pt idx="68">
                  <c:v>42.33</c:v>
                </c:pt>
                <c:pt idx="69">
                  <c:v>23826.809999999998</c:v>
                </c:pt>
                <c:pt idx="70">
                  <c:v>6324.5999999999995</c:v>
                </c:pt>
                <c:pt idx="71">
                  <c:v>14136.56</c:v>
                </c:pt>
                <c:pt idx="72">
                  <c:v>14756.57</c:v>
                </c:pt>
                <c:pt idx="73">
                  <c:v>7025.95</c:v>
                </c:pt>
                <c:pt idx="74">
                  <c:v>9735.9</c:v>
                </c:pt>
                <c:pt idx="75">
                  <c:v>1661.66</c:v>
                </c:pt>
                <c:pt idx="76">
                  <c:v>6918.88</c:v>
                </c:pt>
                <c:pt idx="77">
                  <c:v>5687.16</c:v>
                </c:pt>
                <c:pt idx="78">
                  <c:v>6185.16</c:v>
                </c:pt>
                <c:pt idx="79">
                  <c:v>4524.33</c:v>
                </c:pt>
                <c:pt idx="80">
                  <c:v>5787.59</c:v>
                </c:pt>
                <c:pt idx="81">
                  <c:v>3446.16</c:v>
                </c:pt>
                <c:pt idx="82">
                  <c:v>21091.129999999997</c:v>
                </c:pt>
                <c:pt idx="83">
                  <c:v>21653.870000000003</c:v>
                </c:pt>
                <c:pt idx="84">
                  <c:v>7353.7999999999993</c:v>
                </c:pt>
                <c:pt idx="85">
                  <c:v>15942.640000000001</c:v>
                </c:pt>
                <c:pt idx="86">
                  <c:v>3301.74</c:v>
                </c:pt>
                <c:pt idx="87">
                  <c:v>2976.38</c:v>
                </c:pt>
                <c:pt idx="88">
                  <c:v>21897.06</c:v>
                </c:pt>
                <c:pt idx="89">
                  <c:v>9509.3100000000013</c:v>
                </c:pt>
                <c:pt idx="90">
                  <c:v>5658.11</c:v>
                </c:pt>
                <c:pt idx="91">
                  <c:v>666.49</c:v>
                </c:pt>
                <c:pt idx="92">
                  <c:v>13156.329999999998</c:v>
                </c:pt>
                <c:pt idx="93">
                  <c:v>22158.510000000002</c:v>
                </c:pt>
                <c:pt idx="94">
                  <c:v>1231.72</c:v>
                </c:pt>
                <c:pt idx="95">
                  <c:v>25462.739999999998</c:v>
                </c:pt>
                <c:pt idx="96">
                  <c:v>23931.39</c:v>
                </c:pt>
                <c:pt idx="97">
                  <c:v>2476.7199999999998</c:v>
                </c:pt>
                <c:pt idx="98">
                  <c:v>17662.400000000001</c:v>
                </c:pt>
                <c:pt idx="99">
                  <c:v>8599.6299999999992</c:v>
                </c:pt>
                <c:pt idx="100">
                  <c:v>3344.07</c:v>
                </c:pt>
                <c:pt idx="101">
                  <c:v>22243.17</c:v>
                </c:pt>
                <c:pt idx="102">
                  <c:v>8840.33</c:v>
                </c:pt>
                <c:pt idx="103">
                  <c:v>18865.900000000001</c:v>
                </c:pt>
                <c:pt idx="104">
                  <c:v>2569.6800000000003</c:v>
                </c:pt>
                <c:pt idx="105">
                  <c:v>5236.4699999999993</c:v>
                </c:pt>
                <c:pt idx="106">
                  <c:v>13508.25</c:v>
                </c:pt>
                <c:pt idx="107">
                  <c:v>9804.7899999999991</c:v>
                </c:pt>
                <c:pt idx="108">
                  <c:v>13701.64</c:v>
                </c:pt>
                <c:pt idx="109">
                  <c:v>11295.470000000001</c:v>
                </c:pt>
                <c:pt idx="110">
                  <c:v>9379</c:v>
                </c:pt>
                <c:pt idx="111">
                  <c:v>690.56</c:v>
                </c:pt>
                <c:pt idx="112">
                  <c:v>4098.54</c:v>
                </c:pt>
                <c:pt idx="113">
                  <c:v>6493.92</c:v>
                </c:pt>
                <c:pt idx="114">
                  <c:v>5440.65</c:v>
                </c:pt>
                <c:pt idx="115">
                  <c:v>7867.57</c:v>
                </c:pt>
                <c:pt idx="116">
                  <c:v>8897.6</c:v>
                </c:pt>
                <c:pt idx="117">
                  <c:v>23308.890000000003</c:v>
                </c:pt>
                <c:pt idx="118">
                  <c:v>17519.64</c:v>
                </c:pt>
                <c:pt idx="119">
                  <c:v>13166.29</c:v>
                </c:pt>
                <c:pt idx="120">
                  <c:v>9709.34</c:v>
                </c:pt>
                <c:pt idx="121">
                  <c:v>6970.34</c:v>
                </c:pt>
                <c:pt idx="122">
                  <c:v>14801.39</c:v>
                </c:pt>
                <c:pt idx="123">
                  <c:v>7395.2999999999993</c:v>
                </c:pt>
                <c:pt idx="124">
                  <c:v>3021.2</c:v>
                </c:pt>
                <c:pt idx="125">
                  <c:v>11663.99</c:v>
                </c:pt>
                <c:pt idx="126">
                  <c:v>3198.8199999999997</c:v>
                </c:pt>
                <c:pt idx="127">
                  <c:v>8026.93</c:v>
                </c:pt>
                <c:pt idx="128">
                  <c:v>6760.35</c:v>
                </c:pt>
                <c:pt idx="129">
                  <c:v>2219.42</c:v>
                </c:pt>
                <c:pt idx="130">
                  <c:v>2173.77</c:v>
                </c:pt>
                <c:pt idx="131">
                  <c:v>4220.55</c:v>
                </c:pt>
                <c:pt idx="132">
                  <c:v>6924.69</c:v>
                </c:pt>
                <c:pt idx="133">
                  <c:v>10396.58</c:v>
                </c:pt>
                <c:pt idx="134">
                  <c:v>5162.6000000000004</c:v>
                </c:pt>
                <c:pt idx="135">
                  <c:v>14693.490000000002</c:v>
                </c:pt>
                <c:pt idx="136">
                  <c:v>4773.33</c:v>
                </c:pt>
                <c:pt idx="137">
                  <c:v>1419.3</c:v>
                </c:pt>
                <c:pt idx="138">
                  <c:v>1636.7600000000002</c:v>
                </c:pt>
                <c:pt idx="139">
                  <c:v>763.6</c:v>
                </c:pt>
                <c:pt idx="140">
                  <c:v>2502.4499999999998</c:v>
                </c:pt>
                <c:pt idx="141">
                  <c:v>8611.25</c:v>
                </c:pt>
                <c:pt idx="142">
                  <c:v>3239.49</c:v>
                </c:pt>
                <c:pt idx="143">
                  <c:v>11785.17</c:v>
                </c:pt>
                <c:pt idx="144">
                  <c:v>6926.35</c:v>
                </c:pt>
                <c:pt idx="145">
                  <c:v>1221.76</c:v>
                </c:pt>
                <c:pt idx="146">
                  <c:v>8148.1100000000006</c:v>
                </c:pt>
                <c:pt idx="147">
                  <c:v>7943.1</c:v>
                </c:pt>
                <c:pt idx="148">
                  <c:v>14761.55</c:v>
                </c:pt>
                <c:pt idx="149">
                  <c:v>21995.83</c:v>
                </c:pt>
                <c:pt idx="150">
                  <c:v>9094.31</c:v>
                </c:pt>
                <c:pt idx="151">
                  <c:v>4563.34</c:v>
                </c:pt>
                <c:pt idx="152">
                  <c:v>6670.71</c:v>
                </c:pt>
                <c:pt idx="153">
                  <c:v>2974.72</c:v>
                </c:pt>
                <c:pt idx="154">
                  <c:v>2232.6999999999998</c:v>
                </c:pt>
                <c:pt idx="155">
                  <c:v>21404.04</c:v>
                </c:pt>
                <c:pt idx="156">
                  <c:v>1824.34</c:v>
                </c:pt>
                <c:pt idx="157">
                  <c:v>19729.099999999999</c:v>
                </c:pt>
                <c:pt idx="158">
                  <c:v>316.23</c:v>
                </c:pt>
                <c:pt idx="159">
                  <c:v>7038.4</c:v>
                </c:pt>
                <c:pt idx="160">
                  <c:v>23561.21</c:v>
                </c:pt>
                <c:pt idx="161">
                  <c:v>4047.9100000000003</c:v>
                </c:pt>
                <c:pt idx="162">
                  <c:v>8874.36</c:v>
                </c:pt>
                <c:pt idx="163">
                  <c:v>6252.39</c:v>
                </c:pt>
                <c:pt idx="164">
                  <c:v>4506.07</c:v>
                </c:pt>
                <c:pt idx="165">
                  <c:v>10432.27</c:v>
                </c:pt>
                <c:pt idx="166">
                  <c:v>5410.77</c:v>
                </c:pt>
                <c:pt idx="167">
                  <c:v>14234.5</c:v>
                </c:pt>
                <c:pt idx="168">
                  <c:v>28926.329999999998</c:v>
                </c:pt>
                <c:pt idx="169">
                  <c:v>5451.4400000000005</c:v>
                </c:pt>
                <c:pt idx="170">
                  <c:v>3915.94</c:v>
                </c:pt>
                <c:pt idx="171">
                  <c:v>10084.5</c:v>
                </c:pt>
                <c:pt idx="172">
                  <c:v>26848.84</c:v>
                </c:pt>
                <c:pt idx="173">
                  <c:v>6976.1500000000005</c:v>
                </c:pt>
                <c:pt idx="174">
                  <c:v>5217.38</c:v>
                </c:pt>
                <c:pt idx="175">
                  <c:v>27877.21</c:v>
                </c:pt>
                <c:pt idx="176">
                  <c:v>8539.0399999999991</c:v>
                </c:pt>
                <c:pt idx="177">
                  <c:v>10871.34</c:v>
                </c:pt>
                <c:pt idx="178">
                  <c:v>17449.919999999998</c:v>
                </c:pt>
                <c:pt idx="179">
                  <c:v>11810.9</c:v>
                </c:pt>
                <c:pt idx="180">
                  <c:v>2149.6999999999998</c:v>
                </c:pt>
                <c:pt idx="181">
                  <c:v>230.74</c:v>
                </c:pt>
                <c:pt idx="182">
                  <c:v>12292.3</c:v>
                </c:pt>
                <c:pt idx="183">
                  <c:v>16291.240000000002</c:v>
                </c:pt>
                <c:pt idx="184">
                  <c:v>8781.4</c:v>
                </c:pt>
                <c:pt idx="185">
                  <c:v>6104.65</c:v>
                </c:pt>
                <c:pt idx="186">
                  <c:v>17871.559999999998</c:v>
                </c:pt>
                <c:pt idx="187">
                  <c:v>7960.5300000000007</c:v>
                </c:pt>
                <c:pt idx="188">
                  <c:v>13260.08</c:v>
                </c:pt>
                <c:pt idx="189">
                  <c:v>10459.66</c:v>
                </c:pt>
                <c:pt idx="190">
                  <c:v>8682.630000000001</c:v>
                </c:pt>
                <c:pt idx="191">
                  <c:v>22902.19</c:v>
                </c:pt>
                <c:pt idx="192">
                  <c:v>4118.46</c:v>
                </c:pt>
                <c:pt idx="193">
                  <c:v>13817.84</c:v>
                </c:pt>
                <c:pt idx="194">
                  <c:v>9714.32</c:v>
                </c:pt>
                <c:pt idx="195">
                  <c:v>9346.630000000001</c:v>
                </c:pt>
                <c:pt idx="196">
                  <c:v>18718.990000000002</c:v>
                </c:pt>
                <c:pt idx="197">
                  <c:v>1378.63</c:v>
                </c:pt>
                <c:pt idx="198">
                  <c:v>3744.96</c:v>
                </c:pt>
                <c:pt idx="199">
                  <c:v>653.21</c:v>
                </c:pt>
                <c:pt idx="200">
                  <c:v>14372.279999999999</c:v>
                </c:pt>
                <c:pt idx="201">
                  <c:v>5184.18</c:v>
                </c:pt>
                <c:pt idx="202">
                  <c:v>5469.7000000000007</c:v>
                </c:pt>
                <c:pt idx="203">
                  <c:v>11891.410000000002</c:v>
                </c:pt>
                <c:pt idx="204">
                  <c:v>21926.940000000002</c:v>
                </c:pt>
                <c:pt idx="205">
                  <c:v>9952.5299999999988</c:v>
                </c:pt>
                <c:pt idx="206">
                  <c:v>9960</c:v>
                </c:pt>
                <c:pt idx="207">
                  <c:v>7887.49</c:v>
                </c:pt>
                <c:pt idx="208">
                  <c:v>14451.96</c:v>
                </c:pt>
                <c:pt idx="209">
                  <c:v>10076.199999999999</c:v>
                </c:pt>
                <c:pt idx="210">
                  <c:v>6844.18</c:v>
                </c:pt>
                <c:pt idx="211">
                  <c:v>17441.62</c:v>
                </c:pt>
                <c:pt idx="212">
                  <c:v>5432.35</c:v>
                </c:pt>
                <c:pt idx="213">
                  <c:v>2861.84</c:v>
                </c:pt>
                <c:pt idx="214">
                  <c:v>6283.93</c:v>
                </c:pt>
                <c:pt idx="215">
                  <c:v>17600.150000000001</c:v>
                </c:pt>
                <c:pt idx="216">
                  <c:v>18059.14</c:v>
                </c:pt>
                <c:pt idx="217">
                  <c:v>9923.48</c:v>
                </c:pt>
                <c:pt idx="218">
                  <c:v>6996.07</c:v>
                </c:pt>
                <c:pt idx="219">
                  <c:v>14978.18</c:v>
                </c:pt>
                <c:pt idx="220">
                  <c:v>991.02</c:v>
                </c:pt>
                <c:pt idx="221">
                  <c:v>9720.9600000000009</c:v>
                </c:pt>
                <c:pt idx="222">
                  <c:v>3193.84</c:v>
                </c:pt>
                <c:pt idx="223">
                  <c:v>16758.53</c:v>
                </c:pt>
                <c:pt idx="224">
                  <c:v>17759.510000000002</c:v>
                </c:pt>
                <c:pt idx="225">
                  <c:v>286.35000000000002</c:v>
                </c:pt>
                <c:pt idx="226">
                  <c:v>8015.3100000000013</c:v>
                </c:pt>
                <c:pt idx="227">
                  <c:v>2542.29</c:v>
                </c:pt>
                <c:pt idx="228">
                  <c:v>5826.5999999999995</c:v>
                </c:pt>
                <c:pt idx="229">
                  <c:v>4410.62</c:v>
                </c:pt>
                <c:pt idx="230">
                  <c:v>1470.76</c:v>
                </c:pt>
                <c:pt idx="231">
                  <c:v>26193.14</c:v>
                </c:pt>
                <c:pt idx="232">
                  <c:v>14311.689999999999</c:v>
                </c:pt>
                <c:pt idx="233">
                  <c:v>5610.8</c:v>
                </c:pt>
                <c:pt idx="234">
                  <c:v>5474.68</c:v>
                </c:pt>
                <c:pt idx="235">
                  <c:v>10434.759999999998</c:v>
                </c:pt>
                <c:pt idx="236">
                  <c:v>16554.349999999999</c:v>
                </c:pt>
                <c:pt idx="237">
                  <c:v>1187.73</c:v>
                </c:pt>
                <c:pt idx="238">
                  <c:v>2861.01</c:v>
                </c:pt>
                <c:pt idx="239">
                  <c:v>3443.67</c:v>
                </c:pt>
                <c:pt idx="240">
                  <c:v>12386.09</c:v>
                </c:pt>
                <c:pt idx="241">
                  <c:v>10166.67</c:v>
                </c:pt>
                <c:pt idx="242">
                  <c:v>21066.23</c:v>
                </c:pt>
                <c:pt idx="243">
                  <c:v>4761.71</c:v>
                </c:pt>
                <c:pt idx="244">
                  <c:v>425.79</c:v>
                </c:pt>
                <c:pt idx="245">
                  <c:v>6707.23</c:v>
                </c:pt>
                <c:pt idx="246">
                  <c:v>13775.51</c:v>
                </c:pt>
                <c:pt idx="247">
                  <c:v>22546.95</c:v>
                </c:pt>
                <c:pt idx="248">
                  <c:v>27819.940000000002</c:v>
                </c:pt>
                <c:pt idx="249">
                  <c:v>15322.63</c:v>
                </c:pt>
                <c:pt idx="250">
                  <c:v>3541.61</c:v>
                </c:pt>
                <c:pt idx="251">
                  <c:v>12811.88</c:v>
                </c:pt>
                <c:pt idx="252">
                  <c:v>9400.58</c:v>
                </c:pt>
                <c:pt idx="253">
                  <c:v>15887.86</c:v>
                </c:pt>
                <c:pt idx="254">
                  <c:v>1457.48</c:v>
                </c:pt>
                <c:pt idx="255">
                  <c:v>8107.44</c:v>
                </c:pt>
                <c:pt idx="256">
                  <c:v>15525.150000000001</c:v>
                </c:pt>
                <c:pt idx="257">
                  <c:v>1462.46</c:v>
                </c:pt>
                <c:pt idx="258">
                  <c:v>3461.9300000000003</c:v>
                </c:pt>
                <c:pt idx="259">
                  <c:v>13642.71</c:v>
                </c:pt>
                <c:pt idx="260">
                  <c:v>10460.490000000002</c:v>
                </c:pt>
                <c:pt idx="261">
                  <c:v>14043.6</c:v>
                </c:pt>
                <c:pt idx="262">
                  <c:v>1940.54</c:v>
                </c:pt>
                <c:pt idx="263">
                  <c:v>13200.32</c:v>
                </c:pt>
                <c:pt idx="264">
                  <c:v>2672.6</c:v>
                </c:pt>
                <c:pt idx="265">
                  <c:v>8346.48</c:v>
                </c:pt>
                <c:pt idx="266">
                  <c:v>7864.25</c:v>
                </c:pt>
                <c:pt idx="267">
                  <c:v>20506.810000000001</c:v>
                </c:pt>
                <c:pt idx="268">
                  <c:v>5780.95</c:v>
                </c:pt>
                <c:pt idx="269">
                  <c:v>12656.67</c:v>
                </c:pt>
                <c:pt idx="270">
                  <c:v>6276.46</c:v>
                </c:pt>
                <c:pt idx="271">
                  <c:v>11667.31</c:v>
                </c:pt>
                <c:pt idx="272">
                  <c:v>24284.969999999998</c:v>
                </c:pt>
                <c:pt idx="273">
                  <c:v>6298.04</c:v>
                </c:pt>
                <c:pt idx="274">
                  <c:v>13660.14</c:v>
                </c:pt>
                <c:pt idx="275">
                  <c:v>3818</c:v>
                </c:pt>
                <c:pt idx="276">
                  <c:v>8392.9599999999991</c:v>
                </c:pt>
                <c:pt idx="277">
                  <c:v>3842.0699999999997</c:v>
                </c:pt>
                <c:pt idx="278">
                  <c:v>9504.33</c:v>
                </c:pt>
                <c:pt idx="279">
                  <c:v>8341.5</c:v>
                </c:pt>
                <c:pt idx="280">
                  <c:v>2342.2600000000002</c:v>
                </c:pt>
                <c:pt idx="281">
                  <c:v>19960.669999999998</c:v>
                </c:pt>
                <c:pt idx="282">
                  <c:v>9968.2999999999993</c:v>
                </c:pt>
                <c:pt idx="283">
                  <c:v>14320.819999999998</c:v>
                </c:pt>
                <c:pt idx="284">
                  <c:v>173.47</c:v>
                </c:pt>
                <c:pt idx="285">
                  <c:v>15866.28</c:v>
                </c:pt>
                <c:pt idx="286">
                  <c:v>12782</c:v>
                </c:pt>
                <c:pt idx="287">
                  <c:v>1405.19</c:v>
                </c:pt>
                <c:pt idx="288">
                  <c:v>3116.65</c:v>
                </c:pt>
                <c:pt idx="289">
                  <c:v>4158.3</c:v>
                </c:pt>
                <c:pt idx="290">
                  <c:v>16100.34</c:v>
                </c:pt>
                <c:pt idx="291">
                  <c:v>10531.04</c:v>
                </c:pt>
                <c:pt idx="292">
                  <c:v>8853.61</c:v>
                </c:pt>
                <c:pt idx="293">
                  <c:v>3783.14</c:v>
                </c:pt>
                <c:pt idx="294">
                  <c:v>10584.99</c:v>
                </c:pt>
                <c:pt idx="295">
                  <c:v>4262.05</c:v>
                </c:pt>
                <c:pt idx="296">
                  <c:v>18988.739999999998</c:v>
                </c:pt>
                <c:pt idx="297">
                  <c:v>14451.960000000001</c:v>
                </c:pt>
                <c:pt idx="298">
                  <c:v>8778.91</c:v>
                </c:pt>
                <c:pt idx="299">
                  <c:v>19700.88</c:v>
                </c:pt>
                <c:pt idx="300">
                  <c:v>10067.9</c:v>
                </c:pt>
                <c:pt idx="301">
                  <c:v>4516.03</c:v>
                </c:pt>
                <c:pt idx="302">
                  <c:v>9445.4000000000015</c:v>
                </c:pt>
                <c:pt idx="303">
                  <c:v>2773.0299999999997</c:v>
                </c:pt>
                <c:pt idx="304">
                  <c:v>7572.92</c:v>
                </c:pt>
                <c:pt idx="305">
                  <c:v>1941.37</c:v>
                </c:pt>
                <c:pt idx="306">
                  <c:v>9240.39</c:v>
                </c:pt>
                <c:pt idx="307">
                  <c:v>13190.36</c:v>
                </c:pt>
                <c:pt idx="308">
                  <c:v>9495.2000000000007</c:v>
                </c:pt>
                <c:pt idx="309">
                  <c:v>4543.42</c:v>
                </c:pt>
                <c:pt idx="310">
                  <c:v>3990.64</c:v>
                </c:pt>
                <c:pt idx="311">
                  <c:v>5868.1</c:v>
                </c:pt>
                <c:pt idx="312">
                  <c:v>11129.470000000001</c:v>
                </c:pt>
                <c:pt idx="313">
                  <c:v>9696.89</c:v>
                </c:pt>
                <c:pt idx="314">
                  <c:v>5486.2999999999993</c:v>
                </c:pt>
                <c:pt idx="315">
                  <c:v>27673.859999999997</c:v>
                </c:pt>
                <c:pt idx="316">
                  <c:v>18502.36</c:v>
                </c:pt>
                <c:pt idx="317">
                  <c:v>15745.93</c:v>
                </c:pt>
                <c:pt idx="318">
                  <c:v>4894.51</c:v>
                </c:pt>
                <c:pt idx="319">
                  <c:v>10745.18</c:v>
                </c:pt>
                <c:pt idx="320">
                  <c:v>16113.619999999999</c:v>
                </c:pt>
                <c:pt idx="321">
                  <c:v>18725.63</c:v>
                </c:pt>
                <c:pt idx="322">
                  <c:v>16228.16</c:v>
                </c:pt>
                <c:pt idx="323">
                  <c:v>2064.21</c:v>
                </c:pt>
                <c:pt idx="324">
                  <c:v>7826.9</c:v>
                </c:pt>
                <c:pt idx="325">
                  <c:v>8767.2900000000009</c:v>
                </c:pt>
                <c:pt idx="326">
                  <c:v>16729.48</c:v>
                </c:pt>
                <c:pt idx="327">
                  <c:v>8666.0300000000007</c:v>
                </c:pt>
                <c:pt idx="328">
                  <c:v>17636.669999999998</c:v>
                </c:pt>
                <c:pt idx="329">
                  <c:v>6816.79</c:v>
                </c:pt>
                <c:pt idx="330">
                  <c:v>3278.5</c:v>
                </c:pt>
                <c:pt idx="331">
                  <c:v>20116.71</c:v>
                </c:pt>
                <c:pt idx="332">
                  <c:v>366.86</c:v>
                </c:pt>
                <c:pt idx="333">
                  <c:v>15965.05</c:v>
                </c:pt>
                <c:pt idx="334">
                  <c:v>22454.82</c:v>
                </c:pt>
                <c:pt idx="335">
                  <c:v>2412.81</c:v>
                </c:pt>
                <c:pt idx="336">
                  <c:v>9480.26</c:v>
                </c:pt>
                <c:pt idx="337">
                  <c:v>16658.099999999999</c:v>
                </c:pt>
                <c:pt idx="338">
                  <c:v>8392.9599999999991</c:v>
                </c:pt>
                <c:pt idx="339">
                  <c:v>13708.28</c:v>
                </c:pt>
                <c:pt idx="340">
                  <c:v>12575.33</c:v>
                </c:pt>
                <c:pt idx="341">
                  <c:v>9090.16</c:v>
                </c:pt>
                <c:pt idx="342">
                  <c:v>7475.8099999999995</c:v>
                </c:pt>
                <c:pt idx="343">
                  <c:v>9669.5</c:v>
                </c:pt>
                <c:pt idx="344">
                  <c:v>1466.61</c:v>
                </c:pt>
                <c:pt idx="345">
                  <c:v>3498.45</c:v>
                </c:pt>
                <c:pt idx="346">
                  <c:v>2693.35</c:v>
                </c:pt>
                <c:pt idx="347">
                  <c:v>5799.21</c:v>
                </c:pt>
                <c:pt idx="348">
                  <c:v>15810.669999999998</c:v>
                </c:pt>
                <c:pt idx="349">
                  <c:v>4286.12</c:v>
                </c:pt>
                <c:pt idx="350">
                  <c:v>18984.59</c:v>
                </c:pt>
                <c:pt idx="351">
                  <c:v>7681.65</c:v>
                </c:pt>
                <c:pt idx="352">
                  <c:v>344.45</c:v>
                </c:pt>
                <c:pt idx="353">
                  <c:v>9888.6200000000008</c:v>
                </c:pt>
                <c:pt idx="354">
                  <c:v>7759.67</c:v>
                </c:pt>
                <c:pt idx="355">
                  <c:v>12687.380000000001</c:v>
                </c:pt>
                <c:pt idx="356">
                  <c:v>11709.64</c:v>
                </c:pt>
                <c:pt idx="357">
                  <c:v>20844.620000000003</c:v>
                </c:pt>
                <c:pt idx="358">
                  <c:v>10455.51</c:v>
                </c:pt>
                <c:pt idx="359">
                  <c:v>3301.74</c:v>
                </c:pt>
                <c:pt idx="360">
                  <c:v>14886.05</c:v>
                </c:pt>
                <c:pt idx="361">
                  <c:v>7397.79</c:v>
                </c:pt>
                <c:pt idx="362">
                  <c:v>14695.98</c:v>
                </c:pt>
                <c:pt idx="363">
                  <c:v>1293.97</c:v>
                </c:pt>
                <c:pt idx="364">
                  <c:v>12371.15</c:v>
                </c:pt>
                <c:pt idx="365">
                  <c:v>3265.2200000000003</c:v>
                </c:pt>
                <c:pt idx="366">
                  <c:v>10010.629999999999</c:v>
                </c:pt>
                <c:pt idx="367">
                  <c:v>6967.0199999999995</c:v>
                </c:pt>
                <c:pt idx="368">
                  <c:v>16600</c:v>
                </c:pt>
                <c:pt idx="369">
                  <c:v>6208.4</c:v>
                </c:pt>
                <c:pt idx="370">
                  <c:v>13920.759999999998</c:v>
                </c:pt>
                <c:pt idx="371">
                  <c:v>3229.53</c:v>
                </c:pt>
                <c:pt idx="372">
                  <c:v>9048.66</c:v>
                </c:pt>
                <c:pt idx="373">
                  <c:v>12993.65</c:v>
                </c:pt>
                <c:pt idx="374">
                  <c:v>1304.76</c:v>
                </c:pt>
                <c:pt idx="375">
                  <c:v>9271.1</c:v>
                </c:pt>
                <c:pt idx="376">
                  <c:v>14609.66</c:v>
                </c:pt>
                <c:pt idx="377">
                  <c:v>9974.11</c:v>
                </c:pt>
                <c:pt idx="378">
                  <c:v>10815.73</c:v>
                </c:pt>
                <c:pt idx="379">
                  <c:v>13173.76</c:v>
                </c:pt>
                <c:pt idx="380">
                  <c:v>5008.22</c:v>
                </c:pt>
                <c:pt idx="381">
                  <c:v>19281.73</c:v>
                </c:pt>
                <c:pt idx="382">
                  <c:v>19346.47</c:v>
                </c:pt>
                <c:pt idx="383">
                  <c:v>4768.3499999999995</c:v>
                </c:pt>
                <c:pt idx="384">
                  <c:v>4912.7700000000004</c:v>
                </c:pt>
                <c:pt idx="385">
                  <c:v>9270.27</c:v>
                </c:pt>
                <c:pt idx="386">
                  <c:v>7589.5199999999995</c:v>
                </c:pt>
                <c:pt idx="387">
                  <c:v>6729.6399999999994</c:v>
                </c:pt>
                <c:pt idx="388">
                  <c:v>3294.27</c:v>
                </c:pt>
                <c:pt idx="389">
                  <c:v>6767.82</c:v>
                </c:pt>
                <c:pt idx="390">
                  <c:v>4132.57</c:v>
                </c:pt>
                <c:pt idx="391">
                  <c:v>9939.25</c:v>
                </c:pt>
                <c:pt idx="392">
                  <c:v>8498.369999999999</c:v>
                </c:pt>
                <c:pt idx="393">
                  <c:v>3683.54</c:v>
                </c:pt>
                <c:pt idx="394">
                  <c:v>16224.009999999998</c:v>
                </c:pt>
                <c:pt idx="395">
                  <c:v>4318.49</c:v>
                </c:pt>
                <c:pt idx="396">
                  <c:v>5091.22</c:v>
                </c:pt>
                <c:pt idx="397">
                  <c:v>35129.750000000007</c:v>
                </c:pt>
                <c:pt idx="398">
                  <c:v>10271.25</c:v>
                </c:pt>
                <c:pt idx="399">
                  <c:v>10726.089999999998</c:v>
                </c:pt>
                <c:pt idx="400">
                  <c:v>11034.85</c:v>
                </c:pt>
                <c:pt idx="401">
                  <c:v>2460.9499999999998</c:v>
                </c:pt>
                <c:pt idx="402">
                  <c:v>8009.5</c:v>
                </c:pt>
                <c:pt idx="403">
                  <c:v>14490.97</c:v>
                </c:pt>
                <c:pt idx="404">
                  <c:v>4769.18</c:v>
                </c:pt>
                <c:pt idx="405">
                  <c:v>27686.31</c:v>
                </c:pt>
                <c:pt idx="406">
                  <c:v>13090.76</c:v>
                </c:pt>
                <c:pt idx="407">
                  <c:v>20027.899999999998</c:v>
                </c:pt>
                <c:pt idx="408">
                  <c:v>9276.91</c:v>
                </c:pt>
                <c:pt idx="409">
                  <c:v>7948.08</c:v>
                </c:pt>
                <c:pt idx="410">
                  <c:v>17003.38</c:v>
                </c:pt>
                <c:pt idx="411">
                  <c:v>10879.64</c:v>
                </c:pt>
                <c:pt idx="412">
                  <c:v>6039.08</c:v>
                </c:pt>
                <c:pt idx="413">
                  <c:v>25840.39</c:v>
                </c:pt>
                <c:pt idx="414">
                  <c:v>7419.3700000000008</c:v>
                </c:pt>
                <c:pt idx="415">
                  <c:v>14694.32</c:v>
                </c:pt>
                <c:pt idx="416">
                  <c:v>27544.379999999997</c:v>
                </c:pt>
                <c:pt idx="417">
                  <c:v>2096.58</c:v>
                </c:pt>
                <c:pt idx="418">
                  <c:v>1163.6600000000001</c:v>
                </c:pt>
                <c:pt idx="419">
                  <c:v>668.98</c:v>
                </c:pt>
                <c:pt idx="420">
                  <c:v>22805.91</c:v>
                </c:pt>
                <c:pt idx="421">
                  <c:v>7457.5499999999993</c:v>
                </c:pt>
                <c:pt idx="422">
                  <c:v>8339.84</c:v>
                </c:pt>
                <c:pt idx="423">
                  <c:v>25801.38</c:v>
                </c:pt>
                <c:pt idx="424">
                  <c:v>1996.15</c:v>
                </c:pt>
                <c:pt idx="425">
                  <c:v>15375.75</c:v>
                </c:pt>
                <c:pt idx="426">
                  <c:v>1943.86</c:v>
                </c:pt>
                <c:pt idx="427">
                  <c:v>13532.320000000002</c:v>
                </c:pt>
                <c:pt idx="428">
                  <c:v>10292.829999999998</c:v>
                </c:pt>
                <c:pt idx="429">
                  <c:v>6340.37</c:v>
                </c:pt>
                <c:pt idx="430">
                  <c:v>38186.639999999999</c:v>
                </c:pt>
                <c:pt idx="431">
                  <c:v>3732.51</c:v>
                </c:pt>
                <c:pt idx="432">
                  <c:v>3140.72</c:v>
                </c:pt>
                <c:pt idx="433">
                  <c:v>17332.89</c:v>
                </c:pt>
                <c:pt idx="434">
                  <c:v>11746.16</c:v>
                </c:pt>
                <c:pt idx="435">
                  <c:v>3271.86</c:v>
                </c:pt>
                <c:pt idx="436">
                  <c:v>2290.8000000000002</c:v>
                </c:pt>
                <c:pt idx="437">
                  <c:v>10759.29</c:v>
                </c:pt>
                <c:pt idx="438">
                  <c:v>21028.05</c:v>
                </c:pt>
                <c:pt idx="439">
                  <c:v>12793.62</c:v>
                </c:pt>
                <c:pt idx="440">
                  <c:v>15219.710000000001</c:v>
                </c:pt>
                <c:pt idx="441">
                  <c:v>14759.060000000001</c:v>
                </c:pt>
                <c:pt idx="442">
                  <c:v>25785.609999999997</c:v>
                </c:pt>
                <c:pt idx="443">
                  <c:v>7109.7800000000007</c:v>
                </c:pt>
                <c:pt idx="444">
                  <c:v>1408.51</c:v>
                </c:pt>
                <c:pt idx="445">
                  <c:v>14284.300000000001</c:v>
                </c:pt>
                <c:pt idx="446">
                  <c:v>7396.1299999999992</c:v>
                </c:pt>
                <c:pt idx="447">
                  <c:v>11166.82</c:v>
                </c:pt>
                <c:pt idx="448">
                  <c:v>7162.9</c:v>
                </c:pt>
                <c:pt idx="449">
                  <c:v>4338.41</c:v>
                </c:pt>
                <c:pt idx="450">
                  <c:v>6913.0700000000006</c:v>
                </c:pt>
                <c:pt idx="451">
                  <c:v>5790.91</c:v>
                </c:pt>
                <c:pt idx="452">
                  <c:v>4653.8099999999995</c:v>
                </c:pt>
                <c:pt idx="453">
                  <c:v>10786.68</c:v>
                </c:pt>
                <c:pt idx="454">
                  <c:v>3241.98</c:v>
                </c:pt>
                <c:pt idx="455">
                  <c:v>2140.5700000000002</c:v>
                </c:pt>
                <c:pt idx="456">
                  <c:v>16674.7</c:v>
                </c:pt>
                <c:pt idx="457">
                  <c:v>7988.75</c:v>
                </c:pt>
                <c:pt idx="458">
                  <c:v>13504.1</c:v>
                </c:pt>
                <c:pt idx="459">
                  <c:v>14530.810000000001</c:v>
                </c:pt>
                <c:pt idx="460">
                  <c:v>5964.38</c:v>
                </c:pt>
                <c:pt idx="461">
                  <c:v>13275.02</c:v>
                </c:pt>
                <c:pt idx="462">
                  <c:v>3564.85</c:v>
                </c:pt>
                <c:pt idx="463">
                  <c:v>5536.93</c:v>
                </c:pt>
                <c:pt idx="464">
                  <c:v>11279.7</c:v>
                </c:pt>
                <c:pt idx="465">
                  <c:v>2282.5</c:v>
                </c:pt>
                <c:pt idx="466">
                  <c:v>18425.169999999998</c:v>
                </c:pt>
                <c:pt idx="467">
                  <c:v>12799.43</c:v>
                </c:pt>
                <c:pt idx="468">
                  <c:v>20373.18</c:v>
                </c:pt>
                <c:pt idx="469">
                  <c:v>8938.27</c:v>
                </c:pt>
                <c:pt idx="470">
                  <c:v>11074.69</c:v>
                </c:pt>
                <c:pt idx="471">
                  <c:v>2509.92</c:v>
                </c:pt>
                <c:pt idx="472">
                  <c:v>6210.89</c:v>
                </c:pt>
                <c:pt idx="473">
                  <c:v>12248.31</c:v>
                </c:pt>
                <c:pt idx="474">
                  <c:v>10194.06</c:v>
                </c:pt>
                <c:pt idx="475">
                  <c:v>9158.2199999999993</c:v>
                </c:pt>
                <c:pt idx="476">
                  <c:v>810.08</c:v>
                </c:pt>
                <c:pt idx="477">
                  <c:v>3960.7599999999998</c:v>
                </c:pt>
                <c:pt idx="478">
                  <c:v>12053.26</c:v>
                </c:pt>
                <c:pt idx="479">
                  <c:v>6484.79</c:v>
                </c:pt>
                <c:pt idx="480">
                  <c:v>4763.37</c:v>
                </c:pt>
                <c:pt idx="481">
                  <c:v>5814.15</c:v>
                </c:pt>
                <c:pt idx="482">
                  <c:v>12209.300000000001</c:v>
                </c:pt>
                <c:pt idx="483">
                  <c:v>24621.119999999999</c:v>
                </c:pt>
                <c:pt idx="484">
                  <c:v>6918.88</c:v>
                </c:pt>
                <c:pt idx="485">
                  <c:v>16098.679999999998</c:v>
                </c:pt>
                <c:pt idx="486">
                  <c:v>22302.1</c:v>
                </c:pt>
                <c:pt idx="487">
                  <c:v>967.78</c:v>
                </c:pt>
                <c:pt idx="488">
                  <c:v>8348.9699999999993</c:v>
                </c:pt>
                <c:pt idx="489">
                  <c:v>7481.6200000000008</c:v>
                </c:pt>
                <c:pt idx="490">
                  <c:v>17275.620000000003</c:v>
                </c:pt>
                <c:pt idx="491">
                  <c:v>19074.23</c:v>
                </c:pt>
                <c:pt idx="492">
                  <c:v>15404.8</c:v>
                </c:pt>
                <c:pt idx="493">
                  <c:v>5967.7000000000007</c:v>
                </c:pt>
                <c:pt idx="494">
                  <c:v>7070.7699999999995</c:v>
                </c:pt>
                <c:pt idx="495">
                  <c:v>9013.7999999999993</c:v>
                </c:pt>
                <c:pt idx="496">
                  <c:v>4597.37</c:v>
                </c:pt>
                <c:pt idx="497">
                  <c:v>3091.75</c:v>
                </c:pt>
                <c:pt idx="498">
                  <c:v>10674.63</c:v>
                </c:pt>
                <c:pt idx="499">
                  <c:v>4208.1000000000004</c:v>
                </c:pt>
                <c:pt idx="500">
                  <c:v>21677.11</c:v>
                </c:pt>
                <c:pt idx="501">
                  <c:v>14254.42</c:v>
                </c:pt>
                <c:pt idx="502">
                  <c:v>18203.560000000001</c:v>
                </c:pt>
                <c:pt idx="503">
                  <c:v>14823.8</c:v>
                </c:pt>
                <c:pt idx="504">
                  <c:v>1516.41</c:v>
                </c:pt>
                <c:pt idx="505">
                  <c:v>6913.07</c:v>
                </c:pt>
                <c:pt idx="506">
                  <c:v>6441.63</c:v>
                </c:pt>
                <c:pt idx="507">
                  <c:v>5337.73</c:v>
                </c:pt>
                <c:pt idx="508">
                  <c:v>30245.200000000001</c:v>
                </c:pt>
                <c:pt idx="509">
                  <c:v>10956.83</c:v>
                </c:pt>
                <c:pt idx="510">
                  <c:v>4558.3600000000006</c:v>
                </c:pt>
                <c:pt idx="511">
                  <c:v>11097.1</c:v>
                </c:pt>
                <c:pt idx="512">
                  <c:v>2725.7200000000003</c:v>
                </c:pt>
                <c:pt idx="513">
                  <c:v>5678.03</c:v>
                </c:pt>
                <c:pt idx="514">
                  <c:v>23381.1</c:v>
                </c:pt>
                <c:pt idx="515">
                  <c:v>10023.91</c:v>
                </c:pt>
                <c:pt idx="516">
                  <c:v>10922.8</c:v>
                </c:pt>
                <c:pt idx="517">
                  <c:v>1646.72</c:v>
                </c:pt>
                <c:pt idx="518">
                  <c:v>4047.08</c:v>
                </c:pt>
                <c:pt idx="519">
                  <c:v>9772.42</c:v>
                </c:pt>
                <c:pt idx="520">
                  <c:v>10022.25</c:v>
                </c:pt>
                <c:pt idx="521">
                  <c:v>7565.45</c:v>
                </c:pt>
                <c:pt idx="522">
                  <c:v>15827.27</c:v>
                </c:pt>
                <c:pt idx="523">
                  <c:v>5473.02</c:v>
                </c:pt>
                <c:pt idx="524">
                  <c:v>6792.7199999999993</c:v>
                </c:pt>
                <c:pt idx="525">
                  <c:v>1167.81</c:v>
                </c:pt>
                <c:pt idx="526">
                  <c:v>12757.93</c:v>
                </c:pt>
                <c:pt idx="527">
                  <c:v>5934.5</c:v>
                </c:pt>
                <c:pt idx="528">
                  <c:v>9702.7000000000007</c:v>
                </c:pt>
                <c:pt idx="529">
                  <c:v>2626.12</c:v>
                </c:pt>
                <c:pt idx="530">
                  <c:v>4682.0300000000007</c:v>
                </c:pt>
                <c:pt idx="531">
                  <c:v>13304.9</c:v>
                </c:pt>
                <c:pt idx="532">
                  <c:v>8846.14</c:v>
                </c:pt>
                <c:pt idx="533">
                  <c:v>5426.54</c:v>
                </c:pt>
                <c:pt idx="534">
                  <c:v>13783.81</c:v>
                </c:pt>
                <c:pt idx="535">
                  <c:v>1496.49</c:v>
                </c:pt>
                <c:pt idx="536">
                  <c:v>3743.3</c:v>
                </c:pt>
                <c:pt idx="537">
                  <c:v>9505.16</c:v>
                </c:pt>
                <c:pt idx="538">
                  <c:v>1590.28</c:v>
                </c:pt>
                <c:pt idx="539">
                  <c:v>6879.869999999999</c:v>
                </c:pt>
                <c:pt idx="540">
                  <c:v>8096.65</c:v>
                </c:pt>
                <c:pt idx="541">
                  <c:v>25393.019999999997</c:v>
                </c:pt>
                <c:pt idx="542">
                  <c:v>9448.7200000000012</c:v>
                </c:pt>
                <c:pt idx="543">
                  <c:v>4189.01</c:v>
                </c:pt>
                <c:pt idx="544">
                  <c:v>2279.1799999999998</c:v>
                </c:pt>
                <c:pt idx="545">
                  <c:v>10860.55</c:v>
                </c:pt>
                <c:pt idx="546">
                  <c:v>18468.330000000002</c:v>
                </c:pt>
                <c:pt idx="547">
                  <c:v>13927.4</c:v>
                </c:pt>
                <c:pt idx="548">
                  <c:v>9705.19</c:v>
                </c:pt>
                <c:pt idx="549">
                  <c:v>11677.27</c:v>
                </c:pt>
                <c:pt idx="550">
                  <c:v>5804.19</c:v>
                </c:pt>
                <c:pt idx="551">
                  <c:v>10426.460000000001</c:v>
                </c:pt>
                <c:pt idx="552">
                  <c:v>25793.08</c:v>
                </c:pt>
                <c:pt idx="553">
                  <c:v>17940.449999999997</c:v>
                </c:pt>
                <c:pt idx="554">
                  <c:v>15303.539999999997</c:v>
                </c:pt>
                <c:pt idx="555">
                  <c:v>19926.64</c:v>
                </c:pt>
                <c:pt idx="556">
                  <c:v>24382.080000000002</c:v>
                </c:pt>
                <c:pt idx="557">
                  <c:v>12690.7</c:v>
                </c:pt>
                <c:pt idx="558">
                  <c:v>21246.34</c:v>
                </c:pt>
                <c:pt idx="559">
                  <c:v>7110.6100000000006</c:v>
                </c:pt>
                <c:pt idx="560">
                  <c:v>8401.2599999999984</c:v>
                </c:pt>
                <c:pt idx="561">
                  <c:v>4075.2999999999997</c:v>
                </c:pt>
                <c:pt idx="562">
                  <c:v>22996.81</c:v>
                </c:pt>
                <c:pt idx="563">
                  <c:v>13431.06</c:v>
                </c:pt>
                <c:pt idx="564">
                  <c:v>17908.079999999998</c:v>
                </c:pt>
                <c:pt idx="565">
                  <c:v>187.58</c:v>
                </c:pt>
                <c:pt idx="566">
                  <c:v>14653.650000000001</c:v>
                </c:pt>
                <c:pt idx="567">
                  <c:v>8939.1</c:v>
                </c:pt>
                <c:pt idx="568">
                  <c:v>3223.72</c:v>
                </c:pt>
                <c:pt idx="569">
                  <c:v>5741.94</c:v>
                </c:pt>
                <c:pt idx="570">
                  <c:v>8359.76</c:v>
                </c:pt>
                <c:pt idx="571">
                  <c:v>9137.4700000000012</c:v>
                </c:pt>
                <c:pt idx="572">
                  <c:v>6399.3</c:v>
                </c:pt>
                <c:pt idx="573">
                  <c:v>11096.27</c:v>
                </c:pt>
                <c:pt idx="574">
                  <c:v>18709.03</c:v>
                </c:pt>
                <c:pt idx="575">
                  <c:v>9559.11</c:v>
                </c:pt>
                <c:pt idx="576">
                  <c:v>14995.61</c:v>
                </c:pt>
                <c:pt idx="577">
                  <c:v>6903.11</c:v>
                </c:pt>
                <c:pt idx="578">
                  <c:v>9206.36</c:v>
                </c:pt>
                <c:pt idx="579">
                  <c:v>4709.42</c:v>
                </c:pt>
                <c:pt idx="580">
                  <c:v>19112.41</c:v>
                </c:pt>
                <c:pt idx="581">
                  <c:v>6830.9</c:v>
                </c:pt>
                <c:pt idx="582">
                  <c:v>9953.36</c:v>
                </c:pt>
                <c:pt idx="583">
                  <c:v>2460.9499999999998</c:v>
                </c:pt>
                <c:pt idx="584">
                  <c:v>24065.85</c:v>
                </c:pt>
                <c:pt idx="585">
                  <c:v>10956.83</c:v>
                </c:pt>
                <c:pt idx="586">
                  <c:v>25594.71</c:v>
                </c:pt>
                <c:pt idx="587">
                  <c:v>15059.52</c:v>
                </c:pt>
                <c:pt idx="588">
                  <c:v>15954.259999999998</c:v>
                </c:pt>
                <c:pt idx="589">
                  <c:v>5821.62</c:v>
                </c:pt>
                <c:pt idx="590">
                  <c:v>10532.699999999999</c:v>
                </c:pt>
                <c:pt idx="591">
                  <c:v>4911.9399999999996</c:v>
                </c:pt>
                <c:pt idx="592">
                  <c:v>12655.01</c:v>
                </c:pt>
                <c:pt idx="593">
                  <c:v>17708.88</c:v>
                </c:pt>
                <c:pt idx="594">
                  <c:v>4882.8900000000003</c:v>
                </c:pt>
                <c:pt idx="595">
                  <c:v>7668.37</c:v>
                </c:pt>
                <c:pt idx="596">
                  <c:v>13489.990000000002</c:v>
                </c:pt>
                <c:pt idx="597">
                  <c:v>2159.66</c:v>
                </c:pt>
                <c:pt idx="598">
                  <c:v>546.97</c:v>
                </c:pt>
                <c:pt idx="599">
                  <c:v>2283.33</c:v>
                </c:pt>
                <c:pt idx="600">
                  <c:v>11761.93</c:v>
                </c:pt>
                <c:pt idx="601">
                  <c:v>17479.8</c:v>
                </c:pt>
                <c:pt idx="602">
                  <c:v>9637.1299999999992</c:v>
                </c:pt>
                <c:pt idx="603">
                  <c:v>19063.439999999999</c:v>
                </c:pt>
                <c:pt idx="604">
                  <c:v>6084.7300000000005</c:v>
                </c:pt>
                <c:pt idx="605">
                  <c:v>5611.63</c:v>
                </c:pt>
                <c:pt idx="606">
                  <c:v>8018.6299999999992</c:v>
                </c:pt>
                <c:pt idx="607">
                  <c:v>8803.8100000000013</c:v>
                </c:pt>
                <c:pt idx="608">
                  <c:v>1766.24</c:v>
                </c:pt>
                <c:pt idx="609">
                  <c:v>1322.19</c:v>
                </c:pt>
                <c:pt idx="610">
                  <c:v>11666.48</c:v>
                </c:pt>
                <c:pt idx="611">
                  <c:v>20297.650000000001</c:v>
                </c:pt>
                <c:pt idx="612">
                  <c:v>8074.24</c:v>
                </c:pt>
                <c:pt idx="613">
                  <c:v>13133.92</c:v>
                </c:pt>
                <c:pt idx="614">
                  <c:v>2317.36</c:v>
                </c:pt>
                <c:pt idx="615">
                  <c:v>7248.3899999999994</c:v>
                </c:pt>
                <c:pt idx="616">
                  <c:v>3325.8100000000004</c:v>
                </c:pt>
                <c:pt idx="617">
                  <c:v>429.11</c:v>
                </c:pt>
                <c:pt idx="618">
                  <c:v>10511.119999999999</c:v>
                </c:pt>
                <c:pt idx="619">
                  <c:v>7084.0499999999993</c:v>
                </c:pt>
                <c:pt idx="620">
                  <c:v>7269.97</c:v>
                </c:pt>
                <c:pt idx="621">
                  <c:v>11600.91</c:v>
                </c:pt>
                <c:pt idx="622">
                  <c:v>3934.2</c:v>
                </c:pt>
                <c:pt idx="623">
                  <c:v>22272.22</c:v>
                </c:pt>
                <c:pt idx="624">
                  <c:v>17571.93</c:v>
                </c:pt>
                <c:pt idx="625">
                  <c:v>751.15</c:v>
                </c:pt>
                <c:pt idx="626">
                  <c:v>6225</c:v>
                </c:pt>
                <c:pt idx="627">
                  <c:v>2850.22</c:v>
                </c:pt>
                <c:pt idx="628">
                  <c:v>12746.310000000001</c:v>
                </c:pt>
                <c:pt idx="629">
                  <c:v>12962.94</c:v>
                </c:pt>
                <c:pt idx="630">
                  <c:v>14768.189999999999</c:v>
                </c:pt>
                <c:pt idx="631">
                  <c:v>7999.54</c:v>
                </c:pt>
                <c:pt idx="632">
                  <c:v>4426.3899999999994</c:v>
                </c:pt>
                <c:pt idx="633">
                  <c:v>18392.8</c:v>
                </c:pt>
                <c:pt idx="634">
                  <c:v>14520.850000000002</c:v>
                </c:pt>
                <c:pt idx="635">
                  <c:v>6808.49</c:v>
                </c:pt>
                <c:pt idx="636">
                  <c:v>5192.4799999999996</c:v>
                </c:pt>
                <c:pt idx="637">
                  <c:v>9649.58</c:v>
                </c:pt>
                <c:pt idx="638">
                  <c:v>379.31</c:v>
                </c:pt>
                <c:pt idx="639">
                  <c:v>13091.59</c:v>
                </c:pt>
                <c:pt idx="640">
                  <c:v>18699.07</c:v>
                </c:pt>
                <c:pt idx="641">
                  <c:v>3056.89</c:v>
                </c:pt>
                <c:pt idx="642">
                  <c:v>14335.759999999998</c:v>
                </c:pt>
                <c:pt idx="643">
                  <c:v>5605.82</c:v>
                </c:pt>
                <c:pt idx="644">
                  <c:v>9340.82</c:v>
                </c:pt>
                <c:pt idx="645">
                  <c:v>3869.46</c:v>
                </c:pt>
                <c:pt idx="646">
                  <c:v>3845.39</c:v>
                </c:pt>
                <c:pt idx="647">
                  <c:v>13125.62</c:v>
                </c:pt>
                <c:pt idx="648">
                  <c:v>1792.8</c:v>
                </c:pt>
                <c:pt idx="649">
                  <c:v>8448.57</c:v>
                </c:pt>
                <c:pt idx="650">
                  <c:v>11785.17</c:v>
                </c:pt>
                <c:pt idx="651">
                  <c:v>3029.5</c:v>
                </c:pt>
                <c:pt idx="652">
                  <c:v>3518.37</c:v>
                </c:pt>
                <c:pt idx="653">
                  <c:v>959.48</c:v>
                </c:pt>
                <c:pt idx="654">
                  <c:v>9277.74</c:v>
                </c:pt>
                <c:pt idx="655">
                  <c:v>9086.0099999999984</c:v>
                </c:pt>
                <c:pt idx="656">
                  <c:v>2383.7600000000002</c:v>
                </c:pt>
                <c:pt idx="657">
                  <c:v>3360.67</c:v>
                </c:pt>
                <c:pt idx="658">
                  <c:v>4444.6499999999996</c:v>
                </c:pt>
                <c:pt idx="659">
                  <c:v>19379.669999999998</c:v>
                </c:pt>
                <c:pt idx="660">
                  <c:v>14110.829999999998</c:v>
                </c:pt>
                <c:pt idx="661">
                  <c:v>9195.57</c:v>
                </c:pt>
                <c:pt idx="662">
                  <c:v>8925.82</c:v>
                </c:pt>
                <c:pt idx="663">
                  <c:v>5249.75</c:v>
                </c:pt>
                <c:pt idx="664">
                  <c:v>16621.580000000002</c:v>
                </c:pt>
                <c:pt idx="665">
                  <c:v>6122.08</c:v>
                </c:pt>
                <c:pt idx="666">
                  <c:v>1702.33</c:v>
                </c:pt>
                <c:pt idx="667">
                  <c:v>12324.67</c:v>
                </c:pt>
                <c:pt idx="668">
                  <c:v>2340.6</c:v>
                </c:pt>
                <c:pt idx="669">
                  <c:v>8965.66</c:v>
                </c:pt>
                <c:pt idx="670">
                  <c:v>14974.029999999999</c:v>
                </c:pt>
                <c:pt idx="671">
                  <c:v>2504.11</c:v>
                </c:pt>
                <c:pt idx="672">
                  <c:v>18742.23</c:v>
                </c:pt>
                <c:pt idx="673">
                  <c:v>14934.19</c:v>
                </c:pt>
                <c:pt idx="674">
                  <c:v>3974.04</c:v>
                </c:pt>
                <c:pt idx="675">
                  <c:v>3566.51</c:v>
                </c:pt>
                <c:pt idx="676">
                  <c:v>7814.4500000000007</c:v>
                </c:pt>
                <c:pt idx="677">
                  <c:v>3247.7900000000004</c:v>
                </c:pt>
                <c:pt idx="678">
                  <c:v>5699.6100000000006</c:v>
                </c:pt>
                <c:pt idx="679">
                  <c:v>8854.44</c:v>
                </c:pt>
                <c:pt idx="680">
                  <c:v>1630.95</c:v>
                </c:pt>
                <c:pt idx="681">
                  <c:v>15711.07</c:v>
                </c:pt>
                <c:pt idx="682">
                  <c:v>5313.66</c:v>
                </c:pt>
                <c:pt idx="683">
                  <c:v>7213.53</c:v>
                </c:pt>
                <c:pt idx="684">
                  <c:v>13640.22</c:v>
                </c:pt>
                <c:pt idx="685">
                  <c:v>11677.27</c:v>
                </c:pt>
                <c:pt idx="686">
                  <c:v>2096.58</c:v>
                </c:pt>
                <c:pt idx="687">
                  <c:v>7613.59</c:v>
                </c:pt>
                <c:pt idx="688">
                  <c:v>7954.7199999999993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1A-4F00-92B7-ACC90F5D6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244352"/>
        <c:axId val="1168249152"/>
      </c:lineChart>
      <c:catAx>
        <c:axId val="116824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249152"/>
        <c:crosses val="autoZero"/>
        <c:auto val="1"/>
        <c:lblAlgn val="ctr"/>
        <c:lblOffset val="100"/>
        <c:noMultiLvlLbl val="0"/>
      </c:catAx>
      <c:valAx>
        <c:axId val="116824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24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 w="31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[grocery_chain_dataset.xlsb.xlsx]Sheet2!PivotTable1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Sheet2!$P$187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Sheet2!$O$188:$O$197</c:f>
              <c:strCache>
                <c:ptCount val="9"/>
                <c:pt idx="0">
                  <c:v>City Fresh Store</c:v>
                </c:pt>
                <c:pt idx="1">
                  <c:v>Corner Grocery</c:v>
                </c:pt>
                <c:pt idx="2">
                  <c:v>FamilyFood Express</c:v>
                </c:pt>
                <c:pt idx="3">
                  <c:v>FreshMart Downtown</c:v>
                </c:pt>
                <c:pt idx="4">
                  <c:v>GreenGrocer Plaza</c:v>
                </c:pt>
                <c:pt idx="5">
                  <c:v>MegaMart Westside</c:v>
                </c:pt>
                <c:pt idx="6">
                  <c:v>QuickStop Market</c:v>
                </c:pt>
                <c:pt idx="7">
                  <c:v>SuperSave Central</c:v>
                </c:pt>
                <c:pt idx="8">
                  <c:v>ValuePlus Market</c:v>
                </c:pt>
              </c:strCache>
            </c:strRef>
          </c:cat>
          <c:val>
            <c:numRef>
              <c:f>Sheet2!$P$188:$P$197</c:f>
              <c:numCache>
                <c:formatCode>General</c:formatCode>
                <c:ptCount val="9"/>
                <c:pt idx="0">
                  <c:v>813278.82000000041</c:v>
                </c:pt>
                <c:pt idx="1">
                  <c:v>778842.11999999965</c:v>
                </c:pt>
                <c:pt idx="2">
                  <c:v>640717.67000000016</c:v>
                </c:pt>
                <c:pt idx="3">
                  <c:v>709996.10999999987</c:v>
                </c:pt>
                <c:pt idx="4">
                  <c:v>832490.83000000031</c:v>
                </c:pt>
                <c:pt idx="5">
                  <c:v>781842.57000000007</c:v>
                </c:pt>
                <c:pt idx="6">
                  <c:v>697127.79000000027</c:v>
                </c:pt>
                <c:pt idx="7">
                  <c:v>823484.4999999993</c:v>
                </c:pt>
                <c:pt idx="8">
                  <c:v>731316.32000000018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6-49FF-BECF-27159C50B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6497263"/>
        <c:axId val="1986476143"/>
      </c:barChart>
      <c:catAx>
        <c:axId val="1986497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76143"/>
        <c:crosses val="autoZero"/>
        <c:auto val="1"/>
        <c:lblAlgn val="ctr"/>
        <c:lblOffset val="100"/>
        <c:noMultiLvlLbl val="0"/>
      </c:catAx>
      <c:valAx>
        <c:axId val="198647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9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[grocery_chain_dataset.xlsb.xlsx]Sheet2!PivotTable6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Sheet2!$P$230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Sheet2!$O$231:$O$242</c:f>
              <c:strCache>
                <c:ptCount val="11"/>
                <c:pt idx="0">
                  <c:v>Bakery</c:v>
                </c:pt>
                <c:pt idx="1">
                  <c:v>Beverages</c:v>
                </c:pt>
                <c:pt idx="2">
                  <c:v>Canned Goods</c:v>
                </c:pt>
                <c:pt idx="3">
                  <c:v>Dairy</c:v>
                </c:pt>
                <c:pt idx="4">
                  <c:v>Frozen Foods</c:v>
                </c:pt>
                <c:pt idx="5">
                  <c:v>Health &amp; Wellness</c:v>
                </c:pt>
                <c:pt idx="6">
                  <c:v>Household Items</c:v>
                </c:pt>
                <c:pt idx="7">
                  <c:v>Meat &amp; Seafood</c:v>
                </c:pt>
                <c:pt idx="8">
                  <c:v>Personal Care</c:v>
                </c:pt>
                <c:pt idx="9">
                  <c:v>Produce</c:v>
                </c:pt>
                <c:pt idx="10">
                  <c:v>Snacks &amp; Candy</c:v>
                </c:pt>
              </c:strCache>
            </c:strRef>
          </c:cat>
          <c:val>
            <c:numRef>
              <c:f>Sheet2!$P$231:$P$242</c:f>
              <c:numCache>
                <c:formatCode>General</c:formatCode>
                <c:ptCount val="11"/>
                <c:pt idx="0">
                  <c:v>690009.70999999973</c:v>
                </c:pt>
                <c:pt idx="1">
                  <c:v>726164.51</c:v>
                </c:pt>
                <c:pt idx="2">
                  <c:v>740159.97000000044</c:v>
                </c:pt>
                <c:pt idx="3">
                  <c:v>679347.52999999991</c:v>
                </c:pt>
                <c:pt idx="4">
                  <c:v>661768.95999999985</c:v>
                </c:pt>
                <c:pt idx="5">
                  <c:v>717057.75000000012</c:v>
                </c:pt>
                <c:pt idx="6">
                  <c:v>634806.40999999968</c:v>
                </c:pt>
                <c:pt idx="7">
                  <c:v>623435.40999999957</c:v>
                </c:pt>
                <c:pt idx="8">
                  <c:v>760354.69999999972</c:v>
                </c:pt>
                <c:pt idx="9">
                  <c:v>562334.13000000035</c:v>
                </c:pt>
                <c:pt idx="10">
                  <c:v>748190.21999999974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4-4E1B-83C3-B62A61ED8D66}"/>
            </c:ext>
          </c:extLst>
        </c:ser>
        <c:ser>
          <c:idx val="1"/>
          <c:order val="1"/>
          <c:tx>
            <c:strRef>
              <c:f>Sheet2!$Q$230</c:f>
              <c:strCache>
                <c:ptCount val="1"/>
                <c:pt idx="0">
                  <c:v>Sum of Discount_amount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Sheet2!$O$231:$O$242</c:f>
              <c:strCache>
                <c:ptCount val="11"/>
                <c:pt idx="0">
                  <c:v>Bakery</c:v>
                </c:pt>
                <c:pt idx="1">
                  <c:v>Beverages</c:v>
                </c:pt>
                <c:pt idx="2">
                  <c:v>Canned Goods</c:v>
                </c:pt>
                <c:pt idx="3">
                  <c:v>Dairy</c:v>
                </c:pt>
                <c:pt idx="4">
                  <c:v>Frozen Foods</c:v>
                </c:pt>
                <c:pt idx="5">
                  <c:v>Health &amp; Wellness</c:v>
                </c:pt>
                <c:pt idx="6">
                  <c:v>Household Items</c:v>
                </c:pt>
                <c:pt idx="7">
                  <c:v>Meat &amp; Seafood</c:v>
                </c:pt>
                <c:pt idx="8">
                  <c:v>Personal Care</c:v>
                </c:pt>
                <c:pt idx="9">
                  <c:v>Produce</c:v>
                </c:pt>
                <c:pt idx="10">
                  <c:v>Snacks &amp; Candy</c:v>
                </c:pt>
              </c:strCache>
            </c:strRef>
          </c:cat>
          <c:val>
            <c:numRef>
              <c:f>Sheet2!$Q$231:$Q$242</c:f>
              <c:numCache>
                <c:formatCode>General</c:formatCode>
                <c:ptCount val="11"/>
                <c:pt idx="0">
                  <c:v>62425.959999999992</c:v>
                </c:pt>
                <c:pt idx="1">
                  <c:v>77083.760000000009</c:v>
                </c:pt>
                <c:pt idx="2">
                  <c:v>72293.830000000031</c:v>
                </c:pt>
                <c:pt idx="3">
                  <c:v>66541.929999999993</c:v>
                </c:pt>
                <c:pt idx="4">
                  <c:v>66007.41</c:v>
                </c:pt>
                <c:pt idx="5">
                  <c:v>60906.23000000001</c:v>
                </c:pt>
                <c:pt idx="6">
                  <c:v>62083.169999999984</c:v>
                </c:pt>
                <c:pt idx="7">
                  <c:v>59764.979999999989</c:v>
                </c:pt>
                <c:pt idx="8">
                  <c:v>72357.739999999991</c:v>
                </c:pt>
                <c:pt idx="9">
                  <c:v>56434.189999999973</c:v>
                </c:pt>
                <c:pt idx="10">
                  <c:v>78633.369999999981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84-4E1B-83C3-B62A61ED8D66}"/>
            </c:ext>
          </c:extLst>
        </c:ser>
        <c:ser>
          <c:idx val="2"/>
          <c:order val="2"/>
          <c:tx>
            <c:strRef>
              <c:f>Sheet2!$R$230</c:f>
              <c:strCache>
                <c:ptCount val="1"/>
                <c:pt idx="0">
                  <c:v>Sum of Final_amount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Sheet2!$O$231:$O$242</c:f>
              <c:strCache>
                <c:ptCount val="11"/>
                <c:pt idx="0">
                  <c:v>Bakery</c:v>
                </c:pt>
                <c:pt idx="1">
                  <c:v>Beverages</c:v>
                </c:pt>
                <c:pt idx="2">
                  <c:v>Canned Goods</c:v>
                </c:pt>
                <c:pt idx="3">
                  <c:v>Dairy</c:v>
                </c:pt>
                <c:pt idx="4">
                  <c:v>Frozen Foods</c:v>
                </c:pt>
                <c:pt idx="5">
                  <c:v>Health &amp; Wellness</c:v>
                </c:pt>
                <c:pt idx="6">
                  <c:v>Household Items</c:v>
                </c:pt>
                <c:pt idx="7">
                  <c:v>Meat &amp; Seafood</c:v>
                </c:pt>
                <c:pt idx="8">
                  <c:v>Personal Care</c:v>
                </c:pt>
                <c:pt idx="9">
                  <c:v>Produce</c:v>
                </c:pt>
                <c:pt idx="10">
                  <c:v>Snacks &amp; Candy</c:v>
                </c:pt>
              </c:strCache>
            </c:strRef>
          </c:cat>
          <c:val>
            <c:numRef>
              <c:f>Sheet2!$R$231:$R$242</c:f>
              <c:numCache>
                <c:formatCode>General</c:formatCode>
                <c:ptCount val="11"/>
                <c:pt idx="0">
                  <c:v>627583.75</c:v>
                </c:pt>
                <c:pt idx="1">
                  <c:v>649080.74999999988</c:v>
                </c:pt>
                <c:pt idx="2">
                  <c:v>667866.1399999999</c:v>
                </c:pt>
                <c:pt idx="3">
                  <c:v>612805.59999999974</c:v>
                </c:pt>
                <c:pt idx="4">
                  <c:v>595761.55000000016</c:v>
                </c:pt>
                <c:pt idx="5">
                  <c:v>656151.51999999967</c:v>
                </c:pt>
                <c:pt idx="6">
                  <c:v>572723.24</c:v>
                </c:pt>
                <c:pt idx="7">
                  <c:v>563670.43000000005</c:v>
                </c:pt>
                <c:pt idx="8">
                  <c:v>687996.95999999961</c:v>
                </c:pt>
                <c:pt idx="9">
                  <c:v>505899.93999999971</c:v>
                </c:pt>
                <c:pt idx="10">
                  <c:v>669556.85000000021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84-4E1B-83C3-B62A61ED8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9530511"/>
        <c:axId val="1089531471"/>
      </c:barChart>
      <c:catAx>
        <c:axId val="1089530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31471"/>
        <c:crosses val="autoZero"/>
        <c:auto val="1"/>
        <c:lblAlgn val="ctr"/>
        <c:lblOffset val="100"/>
        <c:noMultiLvlLbl val="0"/>
      </c:catAx>
      <c:valAx>
        <c:axId val="108953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3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[grocery_chain_dataset.xlsb.xlsx]Sheet2!PivotTable3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Sheet2!$P$208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Sheet2!$O$209:$O$227</c:f>
              <c:strCache>
                <c:ptCount val="18"/>
                <c:pt idx="0">
                  <c:v>Apples</c:v>
                </c:pt>
                <c:pt idx="1">
                  <c:v>Bananas</c:v>
                </c:pt>
                <c:pt idx="2">
                  <c:v>Bread</c:v>
                </c:pt>
                <c:pt idx="3">
                  <c:v>Carrots</c:v>
                </c:pt>
                <c:pt idx="4">
                  <c:v>Cereal</c:v>
                </c:pt>
                <c:pt idx="5">
                  <c:v>Cheese</c:v>
                </c:pt>
                <c:pt idx="6">
                  <c:v>Chicken Breast</c:v>
                </c:pt>
                <c:pt idx="7">
                  <c:v>Eggs</c:v>
                </c:pt>
                <c:pt idx="8">
                  <c:v>Ground Beef</c:v>
                </c:pt>
                <c:pt idx="9">
                  <c:v>Milk</c:v>
                </c:pt>
                <c:pt idx="10">
                  <c:v>Onions</c:v>
                </c:pt>
                <c:pt idx="11">
                  <c:v>Orange Juice</c:v>
                </c:pt>
                <c:pt idx="12">
                  <c:v>Pasta</c:v>
                </c:pt>
                <c:pt idx="13">
                  <c:v>Potatoes</c:v>
                </c:pt>
                <c:pt idx="14">
                  <c:v>Rice</c:v>
                </c:pt>
                <c:pt idx="15">
                  <c:v>Salmon</c:v>
                </c:pt>
                <c:pt idx="16">
                  <c:v>Tomatoes</c:v>
                </c:pt>
                <c:pt idx="17">
                  <c:v>Yogurt</c:v>
                </c:pt>
              </c:strCache>
            </c:strRef>
          </c:cat>
          <c:val>
            <c:numRef>
              <c:f>Sheet2!$P$209:$P$227</c:f>
              <c:numCache>
                <c:formatCode>General</c:formatCode>
                <c:ptCount val="18"/>
                <c:pt idx="0">
                  <c:v>378118.12000000005</c:v>
                </c:pt>
                <c:pt idx="1">
                  <c:v>390993.07999999978</c:v>
                </c:pt>
                <c:pt idx="2">
                  <c:v>443996.88000000024</c:v>
                </c:pt>
                <c:pt idx="3">
                  <c:v>279236.07</c:v>
                </c:pt>
                <c:pt idx="4">
                  <c:v>389386.20000000019</c:v>
                </c:pt>
                <c:pt idx="5">
                  <c:v>346931.7</c:v>
                </c:pt>
                <c:pt idx="6">
                  <c:v>429349.04000000021</c:v>
                </c:pt>
                <c:pt idx="7">
                  <c:v>400523.97000000003</c:v>
                </c:pt>
                <c:pt idx="8">
                  <c:v>304715.41000000009</c:v>
                </c:pt>
                <c:pt idx="9">
                  <c:v>317959.71999999991</c:v>
                </c:pt>
                <c:pt idx="10">
                  <c:v>382775.25</c:v>
                </c:pt>
                <c:pt idx="11">
                  <c:v>381894.61999999988</c:v>
                </c:pt>
                <c:pt idx="12">
                  <c:v>383936.41999999981</c:v>
                </c:pt>
                <c:pt idx="13">
                  <c:v>440418.75000000006</c:v>
                </c:pt>
                <c:pt idx="14">
                  <c:v>363741.68999999989</c:v>
                </c:pt>
                <c:pt idx="15">
                  <c:v>366470.72999999986</c:v>
                </c:pt>
                <c:pt idx="16">
                  <c:v>446681.93</c:v>
                </c:pt>
                <c:pt idx="17">
                  <c:v>361967.14999999997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7-4082-9460-86F961EB4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6484783"/>
        <c:axId val="1986489103"/>
      </c:barChart>
      <c:catAx>
        <c:axId val="198648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89103"/>
        <c:crosses val="autoZero"/>
        <c:auto val="1"/>
        <c:lblAlgn val="ctr"/>
        <c:lblOffset val="100"/>
        <c:noMultiLvlLbl val="0"/>
      </c:catAx>
      <c:valAx>
        <c:axId val="198648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8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[grocery_chain_dataset.xlsb.xlsx]Sheet2!PivotTable4</c:name>
    <c:fmtId val="28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Sheet2!$B$3:$B$13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Lucknow</c:v>
                </c:pt>
                <c:pt idx="8">
                  <c:v>Mumbai</c:v>
                </c:pt>
                <c:pt idx="9">
                  <c:v>Pune</c:v>
                </c:pt>
              </c:strCache>
            </c:strRef>
          </c:cat>
          <c:val>
            <c:numRef>
              <c:f>Sheet2!$C$3:$C$13</c:f>
              <c:numCache>
                <c:formatCode>General</c:formatCode>
                <c:ptCount val="10"/>
                <c:pt idx="0">
                  <c:v>654875.80999999971</c:v>
                </c:pt>
                <c:pt idx="1">
                  <c:v>615263.23</c:v>
                </c:pt>
                <c:pt idx="2">
                  <c:v>722473.5</c:v>
                </c:pt>
                <c:pt idx="3">
                  <c:v>794395.49</c:v>
                </c:pt>
                <c:pt idx="4">
                  <c:v>651324.24000000011</c:v>
                </c:pt>
                <c:pt idx="5">
                  <c:v>650775.61000000034</c:v>
                </c:pt>
                <c:pt idx="6">
                  <c:v>734938.43999999959</c:v>
                </c:pt>
                <c:pt idx="7">
                  <c:v>628480.15000000026</c:v>
                </c:pt>
                <c:pt idx="8">
                  <c:v>639966.51999999979</c:v>
                </c:pt>
                <c:pt idx="9">
                  <c:v>716603.74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2-4E93-B62F-24593CD83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68248672"/>
        <c:axId val="1168234272"/>
      </c:barChart>
      <c:catAx>
        <c:axId val="116824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234272"/>
        <c:crossesAt val="0"/>
        <c:auto val="1"/>
        <c:lblAlgn val="ctr"/>
        <c:lblOffset val="100"/>
        <c:noMultiLvlLbl val="0"/>
      </c:catAx>
      <c:valAx>
        <c:axId val="11682342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solidFill>
            <a:schemeClr val="bg1">
              <a:alpha val="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24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15540">
          <a:srgbClr val="324761"/>
        </a:gs>
        <a:gs pos="0">
          <a:schemeClr val="tx2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[grocery_chain_dataset.xlsb.xlsx]Sheet2!PivotTable5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20000"/>
                    <a:lumOff val="80000"/>
                  </a:schemeClr>
                </a:solidFill>
              </a:rPr>
              <a:t>Sales</a:t>
            </a:r>
            <a:r>
              <a:rPr lang="en-US" b="1" baseline="0">
                <a:solidFill>
                  <a:schemeClr val="accent1">
                    <a:lumMod val="20000"/>
                    <a:lumOff val="80000"/>
                  </a:schemeClr>
                </a:solidFill>
              </a:rPr>
              <a:t> Distribution</a:t>
            </a:r>
            <a:endParaRPr lang="en-US" b="1">
              <a:solidFill>
                <a:schemeClr val="accent1">
                  <a:lumMod val="20000"/>
                  <a:lumOff val="80000"/>
                </a:schemeClr>
              </a:solidFill>
            </a:endParaRPr>
          </a:p>
        </c:rich>
      </c:tx>
      <c:layout>
        <c:manualLayout>
          <c:xMode val="edge"/>
          <c:yMode val="edge"/>
          <c:x val="0.25257241778614747"/>
          <c:y val="3.59470757148255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20000">
                <a:schemeClr val="tx2">
                  <a:lumMod val="60000"/>
                  <a:lumOff val="4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gradFill>
            <a:gsLst>
              <a:gs pos="2000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9"/>
        <c:spPr>
          <a:gradFill>
            <a:gsLst>
              <a:gs pos="74000">
                <a:schemeClr val="tx2">
                  <a:lumMod val="7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50000"/>
                </a:schemeClr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14119786884383E-2"/>
              <c:y val="5.991179285804254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14000">
                <a:schemeClr val="accent1">
                  <a:lumMod val="20000"/>
                  <a:lumOff val="80000"/>
                </a:schemeClr>
              </a:gs>
              <a:gs pos="98000">
                <a:schemeClr val="tx2">
                  <a:lumMod val="75000"/>
                </a:schemeClr>
              </a:gs>
              <a:gs pos="82250">
                <a:srgbClr val="B0C6E1"/>
              </a:gs>
              <a:gs pos="81500">
                <a:srgbClr val="B0C6E1"/>
              </a:gs>
              <a:gs pos="80000">
                <a:srgbClr val="B0C6E1"/>
              </a:gs>
              <a:gs pos="71000">
                <a:schemeClr val="tx2">
                  <a:lumMod val="75000"/>
                </a:schemeClr>
              </a:gs>
              <a:gs pos="41000">
                <a:srgbClr val="B0C6E1"/>
              </a:gs>
              <a:gs pos="35000">
                <a:srgbClr val="647FA0"/>
              </a:gs>
              <a:gs pos="29000">
                <a:schemeClr val="tx2">
                  <a:lumMod val="7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603552733271751"/>
          <c:y val="0.17181197645684243"/>
          <c:w val="0.42695898628506407"/>
          <c:h val="0.70585838562443737"/>
        </c:manualLayout>
      </c:layout>
      <c:doughnutChart>
        <c:varyColors val="1"/>
        <c:ser>
          <c:idx val="0"/>
          <c:order val="0"/>
          <c:tx>
            <c:strRef>
              <c:f>Sheet2!$C$16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20000">
                    <a:schemeClr val="tx2">
                      <a:lumMod val="60000"/>
                      <a:lumOff val="4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BA-4A67-88A1-9849A82E8A31}"/>
              </c:ext>
            </c:extLst>
          </c:dPt>
          <c:dPt>
            <c:idx val="1"/>
            <c:bubble3D val="0"/>
            <c:spPr>
              <a:gradFill>
                <a:gsLst>
                  <a:gs pos="20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BA-4A67-88A1-9849A82E8A31}"/>
              </c:ext>
            </c:extLst>
          </c:dPt>
          <c:dPt>
            <c:idx val="2"/>
            <c:bubble3D val="0"/>
            <c:spPr>
              <a:gradFill>
                <a:gsLst>
                  <a:gs pos="74000">
                    <a:schemeClr val="tx2">
                      <a:lumMod val="7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tx2">
                      <a:lumMod val="50000"/>
                    </a:schemeClr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BA-4A67-88A1-9849A82E8A31}"/>
              </c:ext>
            </c:extLst>
          </c:dPt>
          <c:dPt>
            <c:idx val="3"/>
            <c:bubble3D val="0"/>
            <c:spPr>
              <a:gradFill>
                <a:gsLst>
                  <a:gs pos="14000">
                    <a:schemeClr val="accent1">
                      <a:lumMod val="20000"/>
                      <a:lumOff val="80000"/>
                    </a:schemeClr>
                  </a:gs>
                  <a:gs pos="98000">
                    <a:schemeClr val="tx2">
                      <a:lumMod val="75000"/>
                    </a:schemeClr>
                  </a:gs>
                  <a:gs pos="82250">
                    <a:srgbClr val="B0C6E1"/>
                  </a:gs>
                  <a:gs pos="81500">
                    <a:srgbClr val="B0C6E1"/>
                  </a:gs>
                  <a:gs pos="80000">
                    <a:srgbClr val="B0C6E1"/>
                  </a:gs>
                  <a:gs pos="71000">
                    <a:schemeClr val="tx2">
                      <a:lumMod val="75000"/>
                    </a:schemeClr>
                  </a:gs>
                  <a:gs pos="41000">
                    <a:srgbClr val="B0C6E1"/>
                  </a:gs>
                  <a:gs pos="35000">
                    <a:srgbClr val="647FA0"/>
                  </a:gs>
                  <a:gs pos="29000">
                    <a:schemeClr val="tx2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4BA-4A67-88A1-9849A82E8A31}"/>
              </c:ext>
            </c:extLst>
          </c:dPt>
          <c:dLbls>
            <c:dLbl>
              <c:idx val="2"/>
              <c:layout>
                <c:manualLayout>
                  <c:x val="1.114119786884383E-2"/>
                  <c:y val="5.9911792858042545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BA-4A67-88A1-9849A82E8A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Sheet2!$B$17:$B$21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Sheet2!$C$17:$C$21</c:f>
              <c:numCache>
                <c:formatCode>General</c:formatCode>
                <c:ptCount val="4"/>
                <c:pt idx="0">
                  <c:v>1811966.3599999989</c:v>
                </c:pt>
                <c:pt idx="1">
                  <c:v>1682204.1599999997</c:v>
                </c:pt>
                <c:pt idx="2">
                  <c:v>1650143.7499999986</c:v>
                </c:pt>
                <c:pt idx="3">
                  <c:v>1664782.459999999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BA-4A67-88A1-9849A82E8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accent1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tx2">
            <a:lumMod val="20000"/>
            <a:lumOff val="80000"/>
          </a:schemeClr>
        </a:gs>
        <a:gs pos="50000">
          <a:schemeClr val="accent1">
            <a:shade val="67500"/>
            <a:satMod val="115000"/>
          </a:schemeClr>
        </a:gs>
        <a:gs pos="100000">
          <a:schemeClr val="accent1">
            <a:shade val="100000"/>
            <a:satMod val="115000"/>
          </a:schemeClr>
        </a:gs>
      </a:gsLst>
      <a:lin ang="81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[grocery_chain_dataset.xlsb.xlsx]Sheet2!PivotTable9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63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63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6350" cap="rnd">
            <a:solidFill>
              <a:schemeClr val="accent1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Sheet2!$M$2</c:f>
              <c:strCache>
                <c:ptCount val="1"/>
                <c:pt idx="0">
                  <c:v>Total</c:v>
                </c:pt>
              </c:strCache>
            </c:strRef>
          </c:tx>
          <c:spPr>
            <a:ln w="6350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Sheet2!$L$3:$L$692</c:f>
              <c:strCache>
                <c:ptCount val="689"/>
                <c:pt idx="0">
                  <c:v>8/7/2023</c:v>
                </c:pt>
                <c:pt idx="1">
                  <c:v>8/8/2023</c:v>
                </c:pt>
                <c:pt idx="2">
                  <c:v>8/11/2023</c:v>
                </c:pt>
                <c:pt idx="3">
                  <c:v>8/12/2023</c:v>
                </c:pt>
                <c:pt idx="4">
                  <c:v>8/13/2023</c:v>
                </c:pt>
                <c:pt idx="5">
                  <c:v>8/14/2023</c:v>
                </c:pt>
                <c:pt idx="6">
                  <c:v>8/16/2023</c:v>
                </c:pt>
                <c:pt idx="7">
                  <c:v>8/17/2023</c:v>
                </c:pt>
                <c:pt idx="8">
                  <c:v>8/18/2023</c:v>
                </c:pt>
                <c:pt idx="9">
                  <c:v>8/19/2023</c:v>
                </c:pt>
                <c:pt idx="10">
                  <c:v>8/20/2023</c:v>
                </c:pt>
                <c:pt idx="11">
                  <c:v>8/21/2023</c:v>
                </c:pt>
                <c:pt idx="12">
                  <c:v>8/23/2023</c:v>
                </c:pt>
                <c:pt idx="13">
                  <c:v>8/24/2023</c:v>
                </c:pt>
                <c:pt idx="14">
                  <c:v>8/25/2023</c:v>
                </c:pt>
                <c:pt idx="15">
                  <c:v>8/26/2023</c:v>
                </c:pt>
                <c:pt idx="16">
                  <c:v>8/27/2023</c:v>
                </c:pt>
                <c:pt idx="17">
                  <c:v>8/28/2023</c:v>
                </c:pt>
                <c:pt idx="18">
                  <c:v>8/29/2023</c:v>
                </c:pt>
                <c:pt idx="19">
                  <c:v>8/30/2023</c:v>
                </c:pt>
                <c:pt idx="20">
                  <c:v>8/31/2023</c:v>
                </c:pt>
                <c:pt idx="21">
                  <c:v>9/1/2023</c:v>
                </c:pt>
                <c:pt idx="22">
                  <c:v>9/3/2023</c:v>
                </c:pt>
                <c:pt idx="23">
                  <c:v>9/4/2023</c:v>
                </c:pt>
                <c:pt idx="24">
                  <c:v>9/5/2023</c:v>
                </c:pt>
                <c:pt idx="25">
                  <c:v>9/6/2023</c:v>
                </c:pt>
                <c:pt idx="26">
                  <c:v>9/7/2023</c:v>
                </c:pt>
                <c:pt idx="27">
                  <c:v>9/8/2023</c:v>
                </c:pt>
                <c:pt idx="28">
                  <c:v>9/9/2023</c:v>
                </c:pt>
                <c:pt idx="29">
                  <c:v>9/10/2023</c:v>
                </c:pt>
                <c:pt idx="30">
                  <c:v>9/11/2023</c:v>
                </c:pt>
                <c:pt idx="31">
                  <c:v>9/12/2023</c:v>
                </c:pt>
                <c:pt idx="32">
                  <c:v>9/13/2023</c:v>
                </c:pt>
                <c:pt idx="33">
                  <c:v>9/15/2023</c:v>
                </c:pt>
                <c:pt idx="34">
                  <c:v>9/16/2023</c:v>
                </c:pt>
                <c:pt idx="35">
                  <c:v>9/17/2023</c:v>
                </c:pt>
                <c:pt idx="36">
                  <c:v>9/18/2023</c:v>
                </c:pt>
                <c:pt idx="37">
                  <c:v>9/19/2023</c:v>
                </c:pt>
                <c:pt idx="38">
                  <c:v>9/20/2023</c:v>
                </c:pt>
                <c:pt idx="39">
                  <c:v>9/21/2023</c:v>
                </c:pt>
                <c:pt idx="40">
                  <c:v>9/22/2023</c:v>
                </c:pt>
                <c:pt idx="41">
                  <c:v>9/23/2023</c:v>
                </c:pt>
                <c:pt idx="42">
                  <c:v>9/24/2023</c:v>
                </c:pt>
                <c:pt idx="43">
                  <c:v>9/25/2023</c:v>
                </c:pt>
                <c:pt idx="44">
                  <c:v>9/27/2023</c:v>
                </c:pt>
                <c:pt idx="45">
                  <c:v>9/28/2023</c:v>
                </c:pt>
                <c:pt idx="46">
                  <c:v>9/29/2023</c:v>
                </c:pt>
                <c:pt idx="47">
                  <c:v>9/30/2023</c:v>
                </c:pt>
                <c:pt idx="48">
                  <c:v>10/1/2023</c:v>
                </c:pt>
                <c:pt idx="49">
                  <c:v>10/2/2023</c:v>
                </c:pt>
                <c:pt idx="50">
                  <c:v>10/3/2023</c:v>
                </c:pt>
                <c:pt idx="51">
                  <c:v>10/4/2023</c:v>
                </c:pt>
                <c:pt idx="52">
                  <c:v>10/5/2023</c:v>
                </c:pt>
                <c:pt idx="53">
                  <c:v>10/6/2023</c:v>
                </c:pt>
                <c:pt idx="54">
                  <c:v>10/7/2023</c:v>
                </c:pt>
                <c:pt idx="55">
                  <c:v>10/8/2023</c:v>
                </c:pt>
                <c:pt idx="56">
                  <c:v>10/9/2023</c:v>
                </c:pt>
                <c:pt idx="57">
                  <c:v>10/10/2023</c:v>
                </c:pt>
                <c:pt idx="58">
                  <c:v>10/11/2023</c:v>
                </c:pt>
                <c:pt idx="59">
                  <c:v>10/12/2023</c:v>
                </c:pt>
                <c:pt idx="60">
                  <c:v>10/13/2023</c:v>
                </c:pt>
                <c:pt idx="61">
                  <c:v>10/14/2023</c:v>
                </c:pt>
                <c:pt idx="62">
                  <c:v>10/15/2023</c:v>
                </c:pt>
                <c:pt idx="63">
                  <c:v>10/16/2023</c:v>
                </c:pt>
                <c:pt idx="64">
                  <c:v>10/17/2023</c:v>
                </c:pt>
                <c:pt idx="65">
                  <c:v>10/18/2023</c:v>
                </c:pt>
                <c:pt idx="66">
                  <c:v>10/19/2023</c:v>
                </c:pt>
                <c:pt idx="67">
                  <c:v>10/21/2023</c:v>
                </c:pt>
                <c:pt idx="68">
                  <c:v>10/22/2023</c:v>
                </c:pt>
                <c:pt idx="69">
                  <c:v>10/23/2023</c:v>
                </c:pt>
                <c:pt idx="70">
                  <c:v>10/24/2023</c:v>
                </c:pt>
                <c:pt idx="71">
                  <c:v>10/25/2023</c:v>
                </c:pt>
                <c:pt idx="72">
                  <c:v>10/26/2023</c:v>
                </c:pt>
                <c:pt idx="73">
                  <c:v>10/27/2023</c:v>
                </c:pt>
                <c:pt idx="74">
                  <c:v>10/28/2023</c:v>
                </c:pt>
                <c:pt idx="75">
                  <c:v>10/29/2023</c:v>
                </c:pt>
                <c:pt idx="76">
                  <c:v>10/30/2023</c:v>
                </c:pt>
                <c:pt idx="77">
                  <c:v>10/31/2023</c:v>
                </c:pt>
                <c:pt idx="78">
                  <c:v>11/1/2023</c:v>
                </c:pt>
                <c:pt idx="79">
                  <c:v>11/2/2023</c:v>
                </c:pt>
                <c:pt idx="80">
                  <c:v>11/3/2023</c:v>
                </c:pt>
                <c:pt idx="81">
                  <c:v>11/4/2023</c:v>
                </c:pt>
                <c:pt idx="82">
                  <c:v>11/5/2023</c:v>
                </c:pt>
                <c:pt idx="83">
                  <c:v>11/7/2023</c:v>
                </c:pt>
                <c:pt idx="84">
                  <c:v>11/8/2023</c:v>
                </c:pt>
                <c:pt idx="85">
                  <c:v>11/9/2023</c:v>
                </c:pt>
                <c:pt idx="86">
                  <c:v>11/10/2023</c:v>
                </c:pt>
                <c:pt idx="87">
                  <c:v>11/12/2023</c:v>
                </c:pt>
                <c:pt idx="88">
                  <c:v>11/13/2023</c:v>
                </c:pt>
                <c:pt idx="89">
                  <c:v>11/14/2023</c:v>
                </c:pt>
                <c:pt idx="90">
                  <c:v>11/15/2023</c:v>
                </c:pt>
                <c:pt idx="91">
                  <c:v>11/16/2023</c:v>
                </c:pt>
                <c:pt idx="92">
                  <c:v>11/17/2023</c:v>
                </c:pt>
                <c:pt idx="93">
                  <c:v>11/18/2023</c:v>
                </c:pt>
                <c:pt idx="94">
                  <c:v>11/19/2023</c:v>
                </c:pt>
                <c:pt idx="95">
                  <c:v>11/20/2023</c:v>
                </c:pt>
                <c:pt idx="96">
                  <c:v>11/21/2023</c:v>
                </c:pt>
                <c:pt idx="97">
                  <c:v>11/22/2023</c:v>
                </c:pt>
                <c:pt idx="98">
                  <c:v>11/23/2023</c:v>
                </c:pt>
                <c:pt idx="99">
                  <c:v>11/24/2023</c:v>
                </c:pt>
                <c:pt idx="100">
                  <c:v>11/25/2023</c:v>
                </c:pt>
                <c:pt idx="101">
                  <c:v>11/28/2023</c:v>
                </c:pt>
                <c:pt idx="102">
                  <c:v>11/29/2023</c:v>
                </c:pt>
                <c:pt idx="103">
                  <c:v>11/30/2023</c:v>
                </c:pt>
                <c:pt idx="104">
                  <c:v>12/1/2023</c:v>
                </c:pt>
                <c:pt idx="105">
                  <c:v>12/2/2023</c:v>
                </c:pt>
                <c:pt idx="106">
                  <c:v>12/3/2023</c:v>
                </c:pt>
                <c:pt idx="107">
                  <c:v>12/4/2023</c:v>
                </c:pt>
                <c:pt idx="108">
                  <c:v>12/5/2023</c:v>
                </c:pt>
                <c:pt idx="109">
                  <c:v>12/6/2023</c:v>
                </c:pt>
                <c:pt idx="110">
                  <c:v>12/7/2023</c:v>
                </c:pt>
                <c:pt idx="111">
                  <c:v>12/8/2023</c:v>
                </c:pt>
                <c:pt idx="112">
                  <c:v>12/9/2023</c:v>
                </c:pt>
                <c:pt idx="113">
                  <c:v>12/10/2023</c:v>
                </c:pt>
                <c:pt idx="114">
                  <c:v>12/11/2023</c:v>
                </c:pt>
                <c:pt idx="115">
                  <c:v>12/12/2023</c:v>
                </c:pt>
                <c:pt idx="116">
                  <c:v>12/13/2023</c:v>
                </c:pt>
                <c:pt idx="117">
                  <c:v>12/14/2023</c:v>
                </c:pt>
                <c:pt idx="118">
                  <c:v>12/15/2023</c:v>
                </c:pt>
                <c:pt idx="119">
                  <c:v>12/16/2023</c:v>
                </c:pt>
                <c:pt idx="120">
                  <c:v>12/17/2023</c:v>
                </c:pt>
                <c:pt idx="121">
                  <c:v>12/20/2023</c:v>
                </c:pt>
                <c:pt idx="122">
                  <c:v>12/21/2023</c:v>
                </c:pt>
                <c:pt idx="123">
                  <c:v>12/22/2023</c:v>
                </c:pt>
                <c:pt idx="124">
                  <c:v>12/23/2023</c:v>
                </c:pt>
                <c:pt idx="125">
                  <c:v>12/24/2023</c:v>
                </c:pt>
                <c:pt idx="126">
                  <c:v>12/25/2023</c:v>
                </c:pt>
                <c:pt idx="127">
                  <c:v>12/26/2023</c:v>
                </c:pt>
                <c:pt idx="128">
                  <c:v>12/27/2023</c:v>
                </c:pt>
                <c:pt idx="129">
                  <c:v>12/28/2023</c:v>
                </c:pt>
                <c:pt idx="130">
                  <c:v>12/29/2023</c:v>
                </c:pt>
                <c:pt idx="131">
                  <c:v>12/30/2023</c:v>
                </c:pt>
                <c:pt idx="132">
                  <c:v>12/31/2023</c:v>
                </c:pt>
                <c:pt idx="133">
                  <c:v>1/1/2024</c:v>
                </c:pt>
                <c:pt idx="134">
                  <c:v>1/2/2024</c:v>
                </c:pt>
                <c:pt idx="135">
                  <c:v>1/3/2024</c:v>
                </c:pt>
                <c:pt idx="136">
                  <c:v>1/4/2024</c:v>
                </c:pt>
                <c:pt idx="137">
                  <c:v>1/6/2024</c:v>
                </c:pt>
                <c:pt idx="138">
                  <c:v>1/7/2024</c:v>
                </c:pt>
                <c:pt idx="139">
                  <c:v>1/8/2024</c:v>
                </c:pt>
                <c:pt idx="140">
                  <c:v>1/9/2024</c:v>
                </c:pt>
                <c:pt idx="141">
                  <c:v>1/10/2024</c:v>
                </c:pt>
                <c:pt idx="142">
                  <c:v>1/11/2024</c:v>
                </c:pt>
                <c:pt idx="143">
                  <c:v>1/12/2024</c:v>
                </c:pt>
                <c:pt idx="144">
                  <c:v>1/13/2024</c:v>
                </c:pt>
                <c:pt idx="145">
                  <c:v>1/14/2024</c:v>
                </c:pt>
                <c:pt idx="146">
                  <c:v>1/17/2024</c:v>
                </c:pt>
                <c:pt idx="147">
                  <c:v>1/18/2024</c:v>
                </c:pt>
                <c:pt idx="148">
                  <c:v>1/19/2024</c:v>
                </c:pt>
                <c:pt idx="149">
                  <c:v>1/20/2024</c:v>
                </c:pt>
                <c:pt idx="150">
                  <c:v>1/21/2024</c:v>
                </c:pt>
                <c:pt idx="151">
                  <c:v>1/22/2024</c:v>
                </c:pt>
                <c:pt idx="152">
                  <c:v>1/23/2024</c:v>
                </c:pt>
                <c:pt idx="153">
                  <c:v>1/24/2024</c:v>
                </c:pt>
                <c:pt idx="154">
                  <c:v>1/25/2024</c:v>
                </c:pt>
                <c:pt idx="155">
                  <c:v>1/26/2024</c:v>
                </c:pt>
                <c:pt idx="156">
                  <c:v>1/27/2024</c:v>
                </c:pt>
                <c:pt idx="157">
                  <c:v>1/28/2024</c:v>
                </c:pt>
                <c:pt idx="158">
                  <c:v>1/29/2024</c:v>
                </c:pt>
                <c:pt idx="159">
                  <c:v>1/30/2024</c:v>
                </c:pt>
                <c:pt idx="160">
                  <c:v>1/31/2024</c:v>
                </c:pt>
                <c:pt idx="161">
                  <c:v>2/1/2024</c:v>
                </c:pt>
                <c:pt idx="162">
                  <c:v>2/2/2024</c:v>
                </c:pt>
                <c:pt idx="163">
                  <c:v>2/3/2024</c:v>
                </c:pt>
                <c:pt idx="164">
                  <c:v>2/4/2024</c:v>
                </c:pt>
                <c:pt idx="165">
                  <c:v>2/5/2024</c:v>
                </c:pt>
                <c:pt idx="166">
                  <c:v>2/6/2024</c:v>
                </c:pt>
                <c:pt idx="167">
                  <c:v>2/7/2024</c:v>
                </c:pt>
                <c:pt idx="168">
                  <c:v>2/8/2024</c:v>
                </c:pt>
                <c:pt idx="169">
                  <c:v>2/9/2024</c:v>
                </c:pt>
                <c:pt idx="170">
                  <c:v>2/10/2024</c:v>
                </c:pt>
                <c:pt idx="171">
                  <c:v>2/11/2024</c:v>
                </c:pt>
                <c:pt idx="172">
                  <c:v>2/12/2024</c:v>
                </c:pt>
                <c:pt idx="173">
                  <c:v>2/13/2024</c:v>
                </c:pt>
                <c:pt idx="174">
                  <c:v>2/14/2024</c:v>
                </c:pt>
                <c:pt idx="175">
                  <c:v>2/15/2024</c:v>
                </c:pt>
                <c:pt idx="176">
                  <c:v>2/16/2024</c:v>
                </c:pt>
                <c:pt idx="177">
                  <c:v>2/17/2024</c:v>
                </c:pt>
                <c:pt idx="178">
                  <c:v>2/18/2024</c:v>
                </c:pt>
                <c:pt idx="179">
                  <c:v>2/19/2024</c:v>
                </c:pt>
                <c:pt idx="180">
                  <c:v>2/20/2024</c:v>
                </c:pt>
                <c:pt idx="181">
                  <c:v>2/21/2024</c:v>
                </c:pt>
                <c:pt idx="182">
                  <c:v>2/22/2024</c:v>
                </c:pt>
                <c:pt idx="183">
                  <c:v>2/25/2024</c:v>
                </c:pt>
                <c:pt idx="184">
                  <c:v>2/26/2024</c:v>
                </c:pt>
                <c:pt idx="185">
                  <c:v>2/27/2024</c:v>
                </c:pt>
                <c:pt idx="186">
                  <c:v>2/28/2024</c:v>
                </c:pt>
                <c:pt idx="187">
                  <c:v>2/29/2024</c:v>
                </c:pt>
                <c:pt idx="188">
                  <c:v>3/1/2024</c:v>
                </c:pt>
                <c:pt idx="189">
                  <c:v>3/2/2024</c:v>
                </c:pt>
                <c:pt idx="190">
                  <c:v>3/4/2024</c:v>
                </c:pt>
                <c:pt idx="191">
                  <c:v>3/5/2024</c:v>
                </c:pt>
                <c:pt idx="192">
                  <c:v>3/6/2024</c:v>
                </c:pt>
                <c:pt idx="193">
                  <c:v>3/7/2024</c:v>
                </c:pt>
                <c:pt idx="194">
                  <c:v>3/8/2024</c:v>
                </c:pt>
                <c:pt idx="195">
                  <c:v>3/9/2024</c:v>
                </c:pt>
                <c:pt idx="196">
                  <c:v>3/10/2024</c:v>
                </c:pt>
                <c:pt idx="197">
                  <c:v>3/11/2024</c:v>
                </c:pt>
                <c:pt idx="198">
                  <c:v>3/12/2024</c:v>
                </c:pt>
                <c:pt idx="199">
                  <c:v>3/13/2024</c:v>
                </c:pt>
                <c:pt idx="200">
                  <c:v>3/14/2024</c:v>
                </c:pt>
                <c:pt idx="201">
                  <c:v>3/15/2024</c:v>
                </c:pt>
                <c:pt idx="202">
                  <c:v>3/16/2024</c:v>
                </c:pt>
                <c:pt idx="203">
                  <c:v>3/17/2024</c:v>
                </c:pt>
                <c:pt idx="204">
                  <c:v>3/18/2024</c:v>
                </c:pt>
                <c:pt idx="205">
                  <c:v>3/19/2024</c:v>
                </c:pt>
                <c:pt idx="206">
                  <c:v>3/20/2024</c:v>
                </c:pt>
                <c:pt idx="207">
                  <c:v>3/21/2024</c:v>
                </c:pt>
                <c:pt idx="208">
                  <c:v>3/23/2024</c:v>
                </c:pt>
                <c:pt idx="209">
                  <c:v>3/24/2024</c:v>
                </c:pt>
                <c:pt idx="210">
                  <c:v>3/25/2024</c:v>
                </c:pt>
                <c:pt idx="211">
                  <c:v>3/26/2024</c:v>
                </c:pt>
                <c:pt idx="212">
                  <c:v>3/27/2024</c:v>
                </c:pt>
                <c:pt idx="213">
                  <c:v>3/28/2024</c:v>
                </c:pt>
                <c:pt idx="214">
                  <c:v>3/29/2024</c:v>
                </c:pt>
                <c:pt idx="215">
                  <c:v>3/30/2024</c:v>
                </c:pt>
                <c:pt idx="216">
                  <c:v>3/31/2024</c:v>
                </c:pt>
                <c:pt idx="217">
                  <c:v>4/1/2024</c:v>
                </c:pt>
                <c:pt idx="218">
                  <c:v>4/2/2024</c:v>
                </c:pt>
                <c:pt idx="219">
                  <c:v>4/3/2024</c:v>
                </c:pt>
                <c:pt idx="220">
                  <c:v>4/4/2024</c:v>
                </c:pt>
                <c:pt idx="221">
                  <c:v>4/5/2024</c:v>
                </c:pt>
                <c:pt idx="222">
                  <c:v>4/6/2024</c:v>
                </c:pt>
                <c:pt idx="223">
                  <c:v>4/7/2024</c:v>
                </c:pt>
                <c:pt idx="224">
                  <c:v>4/8/2024</c:v>
                </c:pt>
                <c:pt idx="225">
                  <c:v>4/9/2024</c:v>
                </c:pt>
                <c:pt idx="226">
                  <c:v>4/10/2024</c:v>
                </c:pt>
                <c:pt idx="227">
                  <c:v>4/12/2024</c:v>
                </c:pt>
                <c:pt idx="228">
                  <c:v>4/13/2024</c:v>
                </c:pt>
                <c:pt idx="229">
                  <c:v>4/14/2024</c:v>
                </c:pt>
                <c:pt idx="230">
                  <c:v>4/15/2024</c:v>
                </c:pt>
                <c:pt idx="231">
                  <c:v>4/16/2024</c:v>
                </c:pt>
                <c:pt idx="232">
                  <c:v>4/17/2024</c:v>
                </c:pt>
                <c:pt idx="233">
                  <c:v>4/18/2024</c:v>
                </c:pt>
                <c:pt idx="234">
                  <c:v>4/19/2024</c:v>
                </c:pt>
                <c:pt idx="235">
                  <c:v>4/20/2024</c:v>
                </c:pt>
                <c:pt idx="236">
                  <c:v>4/21/2024</c:v>
                </c:pt>
                <c:pt idx="237">
                  <c:v>4/22/2024</c:v>
                </c:pt>
                <c:pt idx="238">
                  <c:v>4/23/2024</c:v>
                </c:pt>
                <c:pt idx="239">
                  <c:v>4/24/2024</c:v>
                </c:pt>
                <c:pt idx="240">
                  <c:v>4/25/2024</c:v>
                </c:pt>
                <c:pt idx="241">
                  <c:v>4/26/2024</c:v>
                </c:pt>
                <c:pt idx="242">
                  <c:v>4/27/2024</c:v>
                </c:pt>
                <c:pt idx="243">
                  <c:v>4/28/2024</c:v>
                </c:pt>
                <c:pt idx="244">
                  <c:v>4/29/2024</c:v>
                </c:pt>
                <c:pt idx="245">
                  <c:v>4/30/2024</c:v>
                </c:pt>
                <c:pt idx="246">
                  <c:v>5/1/2024</c:v>
                </c:pt>
                <c:pt idx="247">
                  <c:v>5/2/2024</c:v>
                </c:pt>
                <c:pt idx="248">
                  <c:v>5/3/2024</c:v>
                </c:pt>
                <c:pt idx="249">
                  <c:v>5/4/2024</c:v>
                </c:pt>
                <c:pt idx="250">
                  <c:v>5/5/2024</c:v>
                </c:pt>
                <c:pt idx="251">
                  <c:v>5/6/2024</c:v>
                </c:pt>
                <c:pt idx="252">
                  <c:v>5/7/2024</c:v>
                </c:pt>
                <c:pt idx="253">
                  <c:v>5/8/2024</c:v>
                </c:pt>
                <c:pt idx="254">
                  <c:v>5/9/2024</c:v>
                </c:pt>
                <c:pt idx="255">
                  <c:v>5/10/2024</c:v>
                </c:pt>
                <c:pt idx="256">
                  <c:v>5/11/2024</c:v>
                </c:pt>
                <c:pt idx="257">
                  <c:v>5/12/2024</c:v>
                </c:pt>
                <c:pt idx="258">
                  <c:v>5/13/2024</c:v>
                </c:pt>
                <c:pt idx="259">
                  <c:v>5/14/2024</c:v>
                </c:pt>
                <c:pt idx="260">
                  <c:v>5/15/2024</c:v>
                </c:pt>
                <c:pt idx="261">
                  <c:v>5/16/2024</c:v>
                </c:pt>
                <c:pt idx="262">
                  <c:v>5/17/2024</c:v>
                </c:pt>
                <c:pt idx="263">
                  <c:v>5/18/2024</c:v>
                </c:pt>
                <c:pt idx="264">
                  <c:v>5/19/2024</c:v>
                </c:pt>
                <c:pt idx="265">
                  <c:v>5/20/2024</c:v>
                </c:pt>
                <c:pt idx="266">
                  <c:v>5/21/2024</c:v>
                </c:pt>
                <c:pt idx="267">
                  <c:v>5/22/2024</c:v>
                </c:pt>
                <c:pt idx="268">
                  <c:v>5/23/2024</c:v>
                </c:pt>
                <c:pt idx="269">
                  <c:v>5/24/2024</c:v>
                </c:pt>
                <c:pt idx="270">
                  <c:v>5/25/2024</c:v>
                </c:pt>
                <c:pt idx="271">
                  <c:v>5/27/2024</c:v>
                </c:pt>
                <c:pt idx="272">
                  <c:v>5/28/2024</c:v>
                </c:pt>
                <c:pt idx="273">
                  <c:v>5/29/2024</c:v>
                </c:pt>
                <c:pt idx="274">
                  <c:v>5/30/2024</c:v>
                </c:pt>
                <c:pt idx="275">
                  <c:v>5/31/2024</c:v>
                </c:pt>
                <c:pt idx="276">
                  <c:v>6/1/2024</c:v>
                </c:pt>
                <c:pt idx="277">
                  <c:v>6/2/2024</c:v>
                </c:pt>
                <c:pt idx="278">
                  <c:v>6/4/2024</c:v>
                </c:pt>
                <c:pt idx="279">
                  <c:v>6/5/2024</c:v>
                </c:pt>
                <c:pt idx="280">
                  <c:v>6/7/2024</c:v>
                </c:pt>
                <c:pt idx="281">
                  <c:v>6/9/2024</c:v>
                </c:pt>
                <c:pt idx="282">
                  <c:v>6/10/2024</c:v>
                </c:pt>
                <c:pt idx="283">
                  <c:v>6/11/2024</c:v>
                </c:pt>
                <c:pt idx="284">
                  <c:v>6/12/2024</c:v>
                </c:pt>
                <c:pt idx="285">
                  <c:v>6/13/2024</c:v>
                </c:pt>
                <c:pt idx="286">
                  <c:v>6/14/2024</c:v>
                </c:pt>
                <c:pt idx="287">
                  <c:v>6/15/2024</c:v>
                </c:pt>
                <c:pt idx="288">
                  <c:v>6/16/2024</c:v>
                </c:pt>
                <c:pt idx="289">
                  <c:v>6/17/2024</c:v>
                </c:pt>
                <c:pt idx="290">
                  <c:v>6/18/2024</c:v>
                </c:pt>
                <c:pt idx="291">
                  <c:v>6/19/2024</c:v>
                </c:pt>
                <c:pt idx="292">
                  <c:v>6/20/2024</c:v>
                </c:pt>
                <c:pt idx="293">
                  <c:v>6/21/2024</c:v>
                </c:pt>
                <c:pt idx="294">
                  <c:v>6/22/2024</c:v>
                </c:pt>
                <c:pt idx="295">
                  <c:v>6/23/2024</c:v>
                </c:pt>
                <c:pt idx="296">
                  <c:v>6/24/2024</c:v>
                </c:pt>
                <c:pt idx="297">
                  <c:v>6/25/2024</c:v>
                </c:pt>
                <c:pt idx="298">
                  <c:v>6/26/2024</c:v>
                </c:pt>
                <c:pt idx="299">
                  <c:v>6/27/2024</c:v>
                </c:pt>
                <c:pt idx="300">
                  <c:v>6/28/2024</c:v>
                </c:pt>
                <c:pt idx="301">
                  <c:v>6/29/2024</c:v>
                </c:pt>
                <c:pt idx="302">
                  <c:v>6/30/2024</c:v>
                </c:pt>
                <c:pt idx="303">
                  <c:v>7/1/2024</c:v>
                </c:pt>
                <c:pt idx="304">
                  <c:v>7/2/2024</c:v>
                </c:pt>
                <c:pt idx="305">
                  <c:v>7/3/2024</c:v>
                </c:pt>
                <c:pt idx="306">
                  <c:v>7/4/2024</c:v>
                </c:pt>
                <c:pt idx="307">
                  <c:v>7/5/2024</c:v>
                </c:pt>
                <c:pt idx="308">
                  <c:v>7/6/2024</c:v>
                </c:pt>
                <c:pt idx="309">
                  <c:v>7/7/2024</c:v>
                </c:pt>
                <c:pt idx="310">
                  <c:v>7/8/2024</c:v>
                </c:pt>
                <c:pt idx="311">
                  <c:v>7/9/2024</c:v>
                </c:pt>
                <c:pt idx="312">
                  <c:v>7/10/2024</c:v>
                </c:pt>
                <c:pt idx="313">
                  <c:v>7/11/2024</c:v>
                </c:pt>
                <c:pt idx="314">
                  <c:v>7/12/2024</c:v>
                </c:pt>
                <c:pt idx="315">
                  <c:v>7/13/2024</c:v>
                </c:pt>
                <c:pt idx="316">
                  <c:v>7/14/2024</c:v>
                </c:pt>
                <c:pt idx="317">
                  <c:v>7/15/2024</c:v>
                </c:pt>
                <c:pt idx="318">
                  <c:v>7/16/2024</c:v>
                </c:pt>
                <c:pt idx="319">
                  <c:v>7/17/2024</c:v>
                </c:pt>
                <c:pt idx="320">
                  <c:v>7/18/2024</c:v>
                </c:pt>
                <c:pt idx="321">
                  <c:v>7/20/2024</c:v>
                </c:pt>
                <c:pt idx="322">
                  <c:v>7/21/2024</c:v>
                </c:pt>
                <c:pt idx="323">
                  <c:v>7/22/2024</c:v>
                </c:pt>
                <c:pt idx="324">
                  <c:v>7/23/2024</c:v>
                </c:pt>
                <c:pt idx="325">
                  <c:v>7/24/2024</c:v>
                </c:pt>
                <c:pt idx="326">
                  <c:v>7/25/2024</c:v>
                </c:pt>
                <c:pt idx="327">
                  <c:v>7/26/2024</c:v>
                </c:pt>
                <c:pt idx="328">
                  <c:v>7/27/2024</c:v>
                </c:pt>
                <c:pt idx="329">
                  <c:v>7/28/2024</c:v>
                </c:pt>
                <c:pt idx="330">
                  <c:v>7/29/2024</c:v>
                </c:pt>
                <c:pt idx="331">
                  <c:v>7/30/2024</c:v>
                </c:pt>
                <c:pt idx="332">
                  <c:v>7/31/2024</c:v>
                </c:pt>
                <c:pt idx="333">
                  <c:v>8/1/2024</c:v>
                </c:pt>
                <c:pt idx="334">
                  <c:v>8/2/2024</c:v>
                </c:pt>
                <c:pt idx="335">
                  <c:v>8/3/2024</c:v>
                </c:pt>
                <c:pt idx="336">
                  <c:v>8/4/2024</c:v>
                </c:pt>
                <c:pt idx="337">
                  <c:v>8/5/2024</c:v>
                </c:pt>
                <c:pt idx="338">
                  <c:v>8/6/2024</c:v>
                </c:pt>
                <c:pt idx="339">
                  <c:v>8/7/2024</c:v>
                </c:pt>
                <c:pt idx="340">
                  <c:v>8/8/2024</c:v>
                </c:pt>
                <c:pt idx="341">
                  <c:v>8/9/2024</c:v>
                </c:pt>
                <c:pt idx="342">
                  <c:v>8/10/2024</c:v>
                </c:pt>
                <c:pt idx="343">
                  <c:v>8/11/2024</c:v>
                </c:pt>
                <c:pt idx="344">
                  <c:v>8/12/2024</c:v>
                </c:pt>
                <c:pt idx="345">
                  <c:v>8/13/2024</c:v>
                </c:pt>
                <c:pt idx="346">
                  <c:v>8/16/2024</c:v>
                </c:pt>
                <c:pt idx="347">
                  <c:v>8/17/2024</c:v>
                </c:pt>
                <c:pt idx="348">
                  <c:v>8/18/2024</c:v>
                </c:pt>
                <c:pt idx="349">
                  <c:v>8/19/2024</c:v>
                </c:pt>
                <c:pt idx="350">
                  <c:v>8/20/2024</c:v>
                </c:pt>
                <c:pt idx="351">
                  <c:v>8/21/2024</c:v>
                </c:pt>
                <c:pt idx="352">
                  <c:v>8/22/2024</c:v>
                </c:pt>
                <c:pt idx="353">
                  <c:v>8/24/2024</c:v>
                </c:pt>
                <c:pt idx="354">
                  <c:v>8/25/2024</c:v>
                </c:pt>
                <c:pt idx="355">
                  <c:v>8/26/2024</c:v>
                </c:pt>
                <c:pt idx="356">
                  <c:v>8/27/2024</c:v>
                </c:pt>
                <c:pt idx="357">
                  <c:v>8/28/2024</c:v>
                </c:pt>
                <c:pt idx="358">
                  <c:v>8/29/2024</c:v>
                </c:pt>
                <c:pt idx="359">
                  <c:v>8/30/2024</c:v>
                </c:pt>
                <c:pt idx="360">
                  <c:v>8/31/2024</c:v>
                </c:pt>
                <c:pt idx="361">
                  <c:v>9/1/2024</c:v>
                </c:pt>
                <c:pt idx="362">
                  <c:v>9/2/2024</c:v>
                </c:pt>
                <c:pt idx="363">
                  <c:v>9/3/2024</c:v>
                </c:pt>
                <c:pt idx="364">
                  <c:v>9/4/2024</c:v>
                </c:pt>
                <c:pt idx="365">
                  <c:v>9/5/2024</c:v>
                </c:pt>
                <c:pt idx="366">
                  <c:v>9/6/2024</c:v>
                </c:pt>
                <c:pt idx="367">
                  <c:v>9/7/2024</c:v>
                </c:pt>
                <c:pt idx="368">
                  <c:v>9/8/2024</c:v>
                </c:pt>
                <c:pt idx="369">
                  <c:v>9/9/2024</c:v>
                </c:pt>
                <c:pt idx="370">
                  <c:v>9/10/2024</c:v>
                </c:pt>
                <c:pt idx="371">
                  <c:v>9/11/2024</c:v>
                </c:pt>
                <c:pt idx="372">
                  <c:v>9/12/2024</c:v>
                </c:pt>
                <c:pt idx="373">
                  <c:v>9/13/2024</c:v>
                </c:pt>
                <c:pt idx="374">
                  <c:v>9/14/2024</c:v>
                </c:pt>
                <c:pt idx="375">
                  <c:v>9/16/2024</c:v>
                </c:pt>
                <c:pt idx="376">
                  <c:v>9/17/2024</c:v>
                </c:pt>
                <c:pt idx="377">
                  <c:v>9/18/2024</c:v>
                </c:pt>
                <c:pt idx="378">
                  <c:v>9/19/2024</c:v>
                </c:pt>
                <c:pt idx="379">
                  <c:v>9/20/2024</c:v>
                </c:pt>
                <c:pt idx="380">
                  <c:v>9/21/2024</c:v>
                </c:pt>
                <c:pt idx="381">
                  <c:v>9/22/2024</c:v>
                </c:pt>
                <c:pt idx="382">
                  <c:v>9/23/2024</c:v>
                </c:pt>
                <c:pt idx="383">
                  <c:v>9/24/2024</c:v>
                </c:pt>
                <c:pt idx="384">
                  <c:v>9/25/2024</c:v>
                </c:pt>
                <c:pt idx="385">
                  <c:v>9/26/2024</c:v>
                </c:pt>
                <c:pt idx="386">
                  <c:v>9/27/2024</c:v>
                </c:pt>
                <c:pt idx="387">
                  <c:v>9/28/2024</c:v>
                </c:pt>
                <c:pt idx="388">
                  <c:v>9/29/2024</c:v>
                </c:pt>
                <c:pt idx="389">
                  <c:v>9/30/2024</c:v>
                </c:pt>
                <c:pt idx="390">
                  <c:v>10/1/2024</c:v>
                </c:pt>
                <c:pt idx="391">
                  <c:v>10/2/2024</c:v>
                </c:pt>
                <c:pt idx="392">
                  <c:v>10/3/2024</c:v>
                </c:pt>
                <c:pt idx="393">
                  <c:v>10/4/2024</c:v>
                </c:pt>
                <c:pt idx="394">
                  <c:v>10/6/2024</c:v>
                </c:pt>
                <c:pt idx="395">
                  <c:v>10/7/2024</c:v>
                </c:pt>
                <c:pt idx="396">
                  <c:v>10/8/2024</c:v>
                </c:pt>
                <c:pt idx="397">
                  <c:v>10/9/2024</c:v>
                </c:pt>
                <c:pt idx="398">
                  <c:v>10/10/2024</c:v>
                </c:pt>
                <c:pt idx="399">
                  <c:v>10/11/2024</c:v>
                </c:pt>
                <c:pt idx="400">
                  <c:v>10/12/2024</c:v>
                </c:pt>
                <c:pt idx="401">
                  <c:v>10/13/2024</c:v>
                </c:pt>
                <c:pt idx="402">
                  <c:v>10/14/2024</c:v>
                </c:pt>
                <c:pt idx="403">
                  <c:v>10/15/2024</c:v>
                </c:pt>
                <c:pt idx="404">
                  <c:v>10/16/2024</c:v>
                </c:pt>
                <c:pt idx="405">
                  <c:v>10/17/2024</c:v>
                </c:pt>
                <c:pt idx="406">
                  <c:v>10/18/2024</c:v>
                </c:pt>
                <c:pt idx="407">
                  <c:v>10/19/2024</c:v>
                </c:pt>
                <c:pt idx="408">
                  <c:v>10/20/2024</c:v>
                </c:pt>
                <c:pt idx="409">
                  <c:v>10/21/2024</c:v>
                </c:pt>
                <c:pt idx="410">
                  <c:v>10/22/2024</c:v>
                </c:pt>
                <c:pt idx="411">
                  <c:v>10/23/2024</c:v>
                </c:pt>
                <c:pt idx="412">
                  <c:v>10/24/2024</c:v>
                </c:pt>
                <c:pt idx="413">
                  <c:v>10/25/2024</c:v>
                </c:pt>
                <c:pt idx="414">
                  <c:v>10/26/2024</c:v>
                </c:pt>
                <c:pt idx="415">
                  <c:v>10/27/2024</c:v>
                </c:pt>
                <c:pt idx="416">
                  <c:v>10/28/2024</c:v>
                </c:pt>
                <c:pt idx="417">
                  <c:v>10/29/2024</c:v>
                </c:pt>
                <c:pt idx="418">
                  <c:v>10/30/2024</c:v>
                </c:pt>
                <c:pt idx="419">
                  <c:v>10/31/2024</c:v>
                </c:pt>
                <c:pt idx="420">
                  <c:v>11/1/2024</c:v>
                </c:pt>
                <c:pt idx="421">
                  <c:v>11/2/2024</c:v>
                </c:pt>
                <c:pt idx="422">
                  <c:v>11/3/2024</c:v>
                </c:pt>
                <c:pt idx="423">
                  <c:v>11/4/2024</c:v>
                </c:pt>
                <c:pt idx="424">
                  <c:v>11/5/2024</c:v>
                </c:pt>
                <c:pt idx="425">
                  <c:v>11/6/2024</c:v>
                </c:pt>
                <c:pt idx="426">
                  <c:v>11/7/2024</c:v>
                </c:pt>
                <c:pt idx="427">
                  <c:v>11/8/2024</c:v>
                </c:pt>
                <c:pt idx="428">
                  <c:v>11/10/2024</c:v>
                </c:pt>
                <c:pt idx="429">
                  <c:v>11/11/2024</c:v>
                </c:pt>
                <c:pt idx="430">
                  <c:v>11/12/2024</c:v>
                </c:pt>
                <c:pt idx="431">
                  <c:v>11/13/2024</c:v>
                </c:pt>
                <c:pt idx="432">
                  <c:v>11/14/2024</c:v>
                </c:pt>
                <c:pt idx="433">
                  <c:v>11/16/2024</c:v>
                </c:pt>
                <c:pt idx="434">
                  <c:v>11/17/2024</c:v>
                </c:pt>
                <c:pt idx="435">
                  <c:v>11/18/2024</c:v>
                </c:pt>
                <c:pt idx="436">
                  <c:v>11/19/2024</c:v>
                </c:pt>
                <c:pt idx="437">
                  <c:v>11/20/2024</c:v>
                </c:pt>
                <c:pt idx="438">
                  <c:v>11/22/2024</c:v>
                </c:pt>
                <c:pt idx="439">
                  <c:v>11/23/2024</c:v>
                </c:pt>
                <c:pt idx="440">
                  <c:v>11/24/2024</c:v>
                </c:pt>
                <c:pt idx="441">
                  <c:v>11/26/2024</c:v>
                </c:pt>
                <c:pt idx="442">
                  <c:v>11/27/2024</c:v>
                </c:pt>
                <c:pt idx="443">
                  <c:v>11/28/2024</c:v>
                </c:pt>
                <c:pt idx="444">
                  <c:v>11/29/2024</c:v>
                </c:pt>
                <c:pt idx="445">
                  <c:v>11/30/2024</c:v>
                </c:pt>
                <c:pt idx="446">
                  <c:v>12/1/2024</c:v>
                </c:pt>
                <c:pt idx="447">
                  <c:v>12/2/2024</c:v>
                </c:pt>
                <c:pt idx="448">
                  <c:v>12/3/2024</c:v>
                </c:pt>
                <c:pt idx="449">
                  <c:v>12/4/2024</c:v>
                </c:pt>
                <c:pt idx="450">
                  <c:v>12/5/2024</c:v>
                </c:pt>
                <c:pt idx="451">
                  <c:v>12/6/2024</c:v>
                </c:pt>
                <c:pt idx="452">
                  <c:v>12/7/2024</c:v>
                </c:pt>
                <c:pt idx="453">
                  <c:v>12/8/2024</c:v>
                </c:pt>
                <c:pt idx="454">
                  <c:v>12/9/2024</c:v>
                </c:pt>
                <c:pt idx="455">
                  <c:v>12/10/2024</c:v>
                </c:pt>
                <c:pt idx="456">
                  <c:v>12/12/2024</c:v>
                </c:pt>
                <c:pt idx="457">
                  <c:v>12/13/2024</c:v>
                </c:pt>
                <c:pt idx="458">
                  <c:v>12/14/2024</c:v>
                </c:pt>
                <c:pt idx="459">
                  <c:v>12/15/2024</c:v>
                </c:pt>
                <c:pt idx="460">
                  <c:v>12/16/2024</c:v>
                </c:pt>
                <c:pt idx="461">
                  <c:v>12/17/2024</c:v>
                </c:pt>
                <c:pt idx="462">
                  <c:v>12/18/2024</c:v>
                </c:pt>
                <c:pt idx="463">
                  <c:v>12/19/2024</c:v>
                </c:pt>
                <c:pt idx="464">
                  <c:v>12/20/2024</c:v>
                </c:pt>
                <c:pt idx="465">
                  <c:v>12/21/2024</c:v>
                </c:pt>
                <c:pt idx="466">
                  <c:v>12/22/2024</c:v>
                </c:pt>
                <c:pt idx="467">
                  <c:v>12/23/2024</c:v>
                </c:pt>
                <c:pt idx="468">
                  <c:v>12/24/2024</c:v>
                </c:pt>
                <c:pt idx="469">
                  <c:v>12/25/2024</c:v>
                </c:pt>
                <c:pt idx="470">
                  <c:v>12/26/2024</c:v>
                </c:pt>
                <c:pt idx="471">
                  <c:v>12/27/2024</c:v>
                </c:pt>
                <c:pt idx="472">
                  <c:v>12/28/2024</c:v>
                </c:pt>
                <c:pt idx="473">
                  <c:v>12/29/2024</c:v>
                </c:pt>
                <c:pt idx="474">
                  <c:v>12/30/2024</c:v>
                </c:pt>
                <c:pt idx="475">
                  <c:v>12/31/2024</c:v>
                </c:pt>
                <c:pt idx="476">
                  <c:v>1/1/2025</c:v>
                </c:pt>
                <c:pt idx="477">
                  <c:v>1/2/2025</c:v>
                </c:pt>
                <c:pt idx="478">
                  <c:v>1/3/2025</c:v>
                </c:pt>
                <c:pt idx="479">
                  <c:v>1/4/2025</c:v>
                </c:pt>
                <c:pt idx="480">
                  <c:v>1/5/2025</c:v>
                </c:pt>
                <c:pt idx="481">
                  <c:v>1/6/2025</c:v>
                </c:pt>
                <c:pt idx="482">
                  <c:v>1/7/2025</c:v>
                </c:pt>
                <c:pt idx="483">
                  <c:v>1/8/2025</c:v>
                </c:pt>
                <c:pt idx="484">
                  <c:v>1/9/2025</c:v>
                </c:pt>
                <c:pt idx="485">
                  <c:v>1/10/2025</c:v>
                </c:pt>
                <c:pt idx="486">
                  <c:v>1/11/2025</c:v>
                </c:pt>
                <c:pt idx="487">
                  <c:v>1/12/2025</c:v>
                </c:pt>
                <c:pt idx="488">
                  <c:v>1/13/2025</c:v>
                </c:pt>
                <c:pt idx="489">
                  <c:v>1/14/2025</c:v>
                </c:pt>
                <c:pt idx="490">
                  <c:v>1/15/2025</c:v>
                </c:pt>
                <c:pt idx="491">
                  <c:v>1/16/2025</c:v>
                </c:pt>
                <c:pt idx="492">
                  <c:v>1/17/2025</c:v>
                </c:pt>
                <c:pt idx="493">
                  <c:v>1/18/2025</c:v>
                </c:pt>
                <c:pt idx="494">
                  <c:v>1/19/2025</c:v>
                </c:pt>
                <c:pt idx="495">
                  <c:v>1/20/2025</c:v>
                </c:pt>
                <c:pt idx="496">
                  <c:v>1/21/2025</c:v>
                </c:pt>
                <c:pt idx="497">
                  <c:v>1/23/2025</c:v>
                </c:pt>
                <c:pt idx="498">
                  <c:v>1/24/2025</c:v>
                </c:pt>
                <c:pt idx="499">
                  <c:v>1/25/2025</c:v>
                </c:pt>
                <c:pt idx="500">
                  <c:v>1/26/2025</c:v>
                </c:pt>
                <c:pt idx="501">
                  <c:v>1/27/2025</c:v>
                </c:pt>
                <c:pt idx="502">
                  <c:v>1/28/2025</c:v>
                </c:pt>
                <c:pt idx="503">
                  <c:v>1/29/2025</c:v>
                </c:pt>
                <c:pt idx="504">
                  <c:v>1/30/2025</c:v>
                </c:pt>
                <c:pt idx="505">
                  <c:v>1/31/2025</c:v>
                </c:pt>
                <c:pt idx="506">
                  <c:v>2/1/2025</c:v>
                </c:pt>
                <c:pt idx="507">
                  <c:v>2/2/2025</c:v>
                </c:pt>
                <c:pt idx="508">
                  <c:v>2/3/2025</c:v>
                </c:pt>
                <c:pt idx="509">
                  <c:v>2/4/2025</c:v>
                </c:pt>
                <c:pt idx="510">
                  <c:v>2/5/2025</c:v>
                </c:pt>
                <c:pt idx="511">
                  <c:v>2/6/2025</c:v>
                </c:pt>
                <c:pt idx="512">
                  <c:v>2/7/2025</c:v>
                </c:pt>
                <c:pt idx="513">
                  <c:v>2/8/2025</c:v>
                </c:pt>
                <c:pt idx="514">
                  <c:v>2/9/2025</c:v>
                </c:pt>
                <c:pt idx="515">
                  <c:v>2/10/2025</c:v>
                </c:pt>
                <c:pt idx="516">
                  <c:v>2/11/2025</c:v>
                </c:pt>
                <c:pt idx="517">
                  <c:v>2/12/2025</c:v>
                </c:pt>
                <c:pt idx="518">
                  <c:v>2/13/2025</c:v>
                </c:pt>
                <c:pt idx="519">
                  <c:v>2/14/2025</c:v>
                </c:pt>
                <c:pt idx="520">
                  <c:v>2/15/2025</c:v>
                </c:pt>
                <c:pt idx="521">
                  <c:v>2/16/2025</c:v>
                </c:pt>
                <c:pt idx="522">
                  <c:v>2/17/2025</c:v>
                </c:pt>
                <c:pt idx="523">
                  <c:v>2/18/2025</c:v>
                </c:pt>
                <c:pt idx="524">
                  <c:v>2/19/2025</c:v>
                </c:pt>
                <c:pt idx="525">
                  <c:v>2/20/2025</c:v>
                </c:pt>
                <c:pt idx="526">
                  <c:v>2/21/2025</c:v>
                </c:pt>
                <c:pt idx="527">
                  <c:v>2/22/2025</c:v>
                </c:pt>
                <c:pt idx="528">
                  <c:v>2/23/2025</c:v>
                </c:pt>
                <c:pt idx="529">
                  <c:v>2/24/2025</c:v>
                </c:pt>
                <c:pt idx="530">
                  <c:v>2/25/2025</c:v>
                </c:pt>
                <c:pt idx="531">
                  <c:v>2/26/2025</c:v>
                </c:pt>
                <c:pt idx="532">
                  <c:v>2/27/2025</c:v>
                </c:pt>
                <c:pt idx="533">
                  <c:v>2/28/2025</c:v>
                </c:pt>
                <c:pt idx="534">
                  <c:v>3/1/2025</c:v>
                </c:pt>
                <c:pt idx="535">
                  <c:v>3/2/2025</c:v>
                </c:pt>
                <c:pt idx="536">
                  <c:v>3/3/2025</c:v>
                </c:pt>
                <c:pt idx="537">
                  <c:v>3/4/2025</c:v>
                </c:pt>
                <c:pt idx="538">
                  <c:v>3/5/2025</c:v>
                </c:pt>
                <c:pt idx="539">
                  <c:v>3/6/2025</c:v>
                </c:pt>
                <c:pt idx="540">
                  <c:v>3/7/2025</c:v>
                </c:pt>
                <c:pt idx="541">
                  <c:v>3/8/2025</c:v>
                </c:pt>
                <c:pt idx="542">
                  <c:v>3/9/2025</c:v>
                </c:pt>
                <c:pt idx="543">
                  <c:v>3/10/2025</c:v>
                </c:pt>
                <c:pt idx="544">
                  <c:v>3/11/2025</c:v>
                </c:pt>
                <c:pt idx="545">
                  <c:v>3/12/2025</c:v>
                </c:pt>
                <c:pt idx="546">
                  <c:v>3/13/2025</c:v>
                </c:pt>
                <c:pt idx="547">
                  <c:v>3/14/2025</c:v>
                </c:pt>
                <c:pt idx="548">
                  <c:v>3/15/2025</c:v>
                </c:pt>
                <c:pt idx="549">
                  <c:v>3/16/2025</c:v>
                </c:pt>
                <c:pt idx="550">
                  <c:v>3/17/2025</c:v>
                </c:pt>
                <c:pt idx="551">
                  <c:v>3/18/2025</c:v>
                </c:pt>
                <c:pt idx="552">
                  <c:v>3/19/2025</c:v>
                </c:pt>
                <c:pt idx="553">
                  <c:v>3/20/2025</c:v>
                </c:pt>
                <c:pt idx="554">
                  <c:v>3/21/2025</c:v>
                </c:pt>
                <c:pt idx="555">
                  <c:v>3/22/2025</c:v>
                </c:pt>
                <c:pt idx="556">
                  <c:v>3/23/2025</c:v>
                </c:pt>
                <c:pt idx="557">
                  <c:v>3/24/2025</c:v>
                </c:pt>
                <c:pt idx="558">
                  <c:v>3/25/2025</c:v>
                </c:pt>
                <c:pt idx="559">
                  <c:v>3/26/2025</c:v>
                </c:pt>
                <c:pt idx="560">
                  <c:v>3/27/2025</c:v>
                </c:pt>
                <c:pt idx="561">
                  <c:v>3/28/2025</c:v>
                </c:pt>
                <c:pt idx="562">
                  <c:v>3/29/2025</c:v>
                </c:pt>
                <c:pt idx="563">
                  <c:v>3/30/2025</c:v>
                </c:pt>
                <c:pt idx="564">
                  <c:v>3/31/2025</c:v>
                </c:pt>
                <c:pt idx="565">
                  <c:v>4/1/2025</c:v>
                </c:pt>
                <c:pt idx="566">
                  <c:v>4/2/2025</c:v>
                </c:pt>
                <c:pt idx="567">
                  <c:v>4/3/2025</c:v>
                </c:pt>
                <c:pt idx="568">
                  <c:v>4/4/2025</c:v>
                </c:pt>
                <c:pt idx="569">
                  <c:v>4/5/2025</c:v>
                </c:pt>
                <c:pt idx="570">
                  <c:v>4/6/2025</c:v>
                </c:pt>
                <c:pt idx="571">
                  <c:v>4/7/2025</c:v>
                </c:pt>
                <c:pt idx="572">
                  <c:v>4/8/2025</c:v>
                </c:pt>
                <c:pt idx="573">
                  <c:v>4/9/2025</c:v>
                </c:pt>
                <c:pt idx="574">
                  <c:v>4/10/2025</c:v>
                </c:pt>
                <c:pt idx="575">
                  <c:v>4/11/2025</c:v>
                </c:pt>
                <c:pt idx="576">
                  <c:v>4/12/2025</c:v>
                </c:pt>
                <c:pt idx="577">
                  <c:v>4/13/2025</c:v>
                </c:pt>
                <c:pt idx="578">
                  <c:v>4/14/2025</c:v>
                </c:pt>
                <c:pt idx="579">
                  <c:v>4/15/2025</c:v>
                </c:pt>
                <c:pt idx="580">
                  <c:v>4/16/2025</c:v>
                </c:pt>
                <c:pt idx="581">
                  <c:v>4/17/2025</c:v>
                </c:pt>
                <c:pt idx="582">
                  <c:v>4/18/2025</c:v>
                </c:pt>
                <c:pt idx="583">
                  <c:v>4/19/2025</c:v>
                </c:pt>
                <c:pt idx="584">
                  <c:v>4/20/2025</c:v>
                </c:pt>
                <c:pt idx="585">
                  <c:v>4/21/2025</c:v>
                </c:pt>
                <c:pt idx="586">
                  <c:v>4/22/2025</c:v>
                </c:pt>
                <c:pt idx="587">
                  <c:v>4/23/2025</c:v>
                </c:pt>
                <c:pt idx="588">
                  <c:v>4/24/2025</c:v>
                </c:pt>
                <c:pt idx="589">
                  <c:v>4/25/2025</c:v>
                </c:pt>
                <c:pt idx="590">
                  <c:v>4/26/2025</c:v>
                </c:pt>
                <c:pt idx="591">
                  <c:v>4/27/2025</c:v>
                </c:pt>
                <c:pt idx="592">
                  <c:v>4/28/2025</c:v>
                </c:pt>
                <c:pt idx="593">
                  <c:v>4/29/2025</c:v>
                </c:pt>
                <c:pt idx="594">
                  <c:v>4/30/2025</c:v>
                </c:pt>
                <c:pt idx="595">
                  <c:v>5/1/2025</c:v>
                </c:pt>
                <c:pt idx="596">
                  <c:v>5/2/2025</c:v>
                </c:pt>
                <c:pt idx="597">
                  <c:v>5/3/2025</c:v>
                </c:pt>
                <c:pt idx="598">
                  <c:v>5/4/2025</c:v>
                </c:pt>
                <c:pt idx="599">
                  <c:v>5/5/2025</c:v>
                </c:pt>
                <c:pt idx="600">
                  <c:v>5/6/2025</c:v>
                </c:pt>
                <c:pt idx="601">
                  <c:v>5/7/2025</c:v>
                </c:pt>
                <c:pt idx="602">
                  <c:v>5/8/2025</c:v>
                </c:pt>
                <c:pt idx="603">
                  <c:v>5/9/2025</c:v>
                </c:pt>
                <c:pt idx="604">
                  <c:v>5/10/2025</c:v>
                </c:pt>
                <c:pt idx="605">
                  <c:v>5/11/2025</c:v>
                </c:pt>
                <c:pt idx="606">
                  <c:v>5/12/2025</c:v>
                </c:pt>
                <c:pt idx="607">
                  <c:v>5/13/2025</c:v>
                </c:pt>
                <c:pt idx="608">
                  <c:v>5/14/2025</c:v>
                </c:pt>
                <c:pt idx="609">
                  <c:v>5/15/2025</c:v>
                </c:pt>
                <c:pt idx="610">
                  <c:v>5/16/2025</c:v>
                </c:pt>
                <c:pt idx="611">
                  <c:v>5/17/2025</c:v>
                </c:pt>
                <c:pt idx="612">
                  <c:v>5/18/2025</c:v>
                </c:pt>
                <c:pt idx="613">
                  <c:v>5/19/2025</c:v>
                </c:pt>
                <c:pt idx="614">
                  <c:v>5/20/2025</c:v>
                </c:pt>
                <c:pt idx="615">
                  <c:v>5/21/2025</c:v>
                </c:pt>
                <c:pt idx="616">
                  <c:v>5/22/2025</c:v>
                </c:pt>
                <c:pt idx="617">
                  <c:v>5/23/2025</c:v>
                </c:pt>
                <c:pt idx="618">
                  <c:v>5/24/2025</c:v>
                </c:pt>
                <c:pt idx="619">
                  <c:v>5/25/2025</c:v>
                </c:pt>
                <c:pt idx="620">
                  <c:v>5/26/2025</c:v>
                </c:pt>
                <c:pt idx="621">
                  <c:v>5/27/2025</c:v>
                </c:pt>
                <c:pt idx="622">
                  <c:v>5/28/2025</c:v>
                </c:pt>
                <c:pt idx="623">
                  <c:v>5/29/2025</c:v>
                </c:pt>
                <c:pt idx="624">
                  <c:v>5/30/2025</c:v>
                </c:pt>
                <c:pt idx="625">
                  <c:v>5/31/2025</c:v>
                </c:pt>
                <c:pt idx="626">
                  <c:v>6/1/2025</c:v>
                </c:pt>
                <c:pt idx="627">
                  <c:v>6/2/2025</c:v>
                </c:pt>
                <c:pt idx="628">
                  <c:v>6/3/2025</c:v>
                </c:pt>
                <c:pt idx="629">
                  <c:v>6/4/2025</c:v>
                </c:pt>
                <c:pt idx="630">
                  <c:v>6/5/2025</c:v>
                </c:pt>
                <c:pt idx="631">
                  <c:v>6/6/2025</c:v>
                </c:pt>
                <c:pt idx="632">
                  <c:v>6/7/2025</c:v>
                </c:pt>
                <c:pt idx="633">
                  <c:v>6/8/2025</c:v>
                </c:pt>
                <c:pt idx="634">
                  <c:v>6/9/2025</c:v>
                </c:pt>
                <c:pt idx="635">
                  <c:v>6/10/2025</c:v>
                </c:pt>
                <c:pt idx="636">
                  <c:v>6/11/2025</c:v>
                </c:pt>
                <c:pt idx="637">
                  <c:v>6/12/2025</c:v>
                </c:pt>
                <c:pt idx="638">
                  <c:v>6/13/2025</c:v>
                </c:pt>
                <c:pt idx="639">
                  <c:v>6/14/2025</c:v>
                </c:pt>
                <c:pt idx="640">
                  <c:v>6/15/2025</c:v>
                </c:pt>
                <c:pt idx="641">
                  <c:v>6/16/2025</c:v>
                </c:pt>
                <c:pt idx="642">
                  <c:v>6/17/2025</c:v>
                </c:pt>
                <c:pt idx="643">
                  <c:v>6/18/2025</c:v>
                </c:pt>
                <c:pt idx="644">
                  <c:v>6/19/2025</c:v>
                </c:pt>
                <c:pt idx="645">
                  <c:v>6/20/2025</c:v>
                </c:pt>
                <c:pt idx="646">
                  <c:v>6/21/2025</c:v>
                </c:pt>
                <c:pt idx="647">
                  <c:v>6/22/2025</c:v>
                </c:pt>
                <c:pt idx="648">
                  <c:v>6/23/2025</c:v>
                </c:pt>
                <c:pt idx="649">
                  <c:v>6/24/2025</c:v>
                </c:pt>
                <c:pt idx="650">
                  <c:v>6/25/2025</c:v>
                </c:pt>
                <c:pt idx="651">
                  <c:v>6/26/2025</c:v>
                </c:pt>
                <c:pt idx="652">
                  <c:v>6/27/2025</c:v>
                </c:pt>
                <c:pt idx="653">
                  <c:v>6/28/2025</c:v>
                </c:pt>
                <c:pt idx="654">
                  <c:v>6/30/2025</c:v>
                </c:pt>
                <c:pt idx="655">
                  <c:v>7/1/2025</c:v>
                </c:pt>
                <c:pt idx="656">
                  <c:v>7/2/2025</c:v>
                </c:pt>
                <c:pt idx="657">
                  <c:v>7/3/2025</c:v>
                </c:pt>
                <c:pt idx="658">
                  <c:v>7/4/2025</c:v>
                </c:pt>
                <c:pt idx="659">
                  <c:v>7/5/2025</c:v>
                </c:pt>
                <c:pt idx="660">
                  <c:v>7/6/2025</c:v>
                </c:pt>
                <c:pt idx="661">
                  <c:v>7/7/2025</c:v>
                </c:pt>
                <c:pt idx="662">
                  <c:v>7/8/2025</c:v>
                </c:pt>
                <c:pt idx="663">
                  <c:v>7/9/2025</c:v>
                </c:pt>
                <c:pt idx="664">
                  <c:v>7/10/2025</c:v>
                </c:pt>
                <c:pt idx="665">
                  <c:v>7/12/2025</c:v>
                </c:pt>
                <c:pt idx="666">
                  <c:v>7/13/2025</c:v>
                </c:pt>
                <c:pt idx="667">
                  <c:v>7/14/2025</c:v>
                </c:pt>
                <c:pt idx="668">
                  <c:v>7/15/2025</c:v>
                </c:pt>
                <c:pt idx="669">
                  <c:v>7/16/2025</c:v>
                </c:pt>
                <c:pt idx="670">
                  <c:v>7/17/2025</c:v>
                </c:pt>
                <c:pt idx="671">
                  <c:v>7/18/2025</c:v>
                </c:pt>
                <c:pt idx="672">
                  <c:v>7/19/2025</c:v>
                </c:pt>
                <c:pt idx="673">
                  <c:v>7/20/2025</c:v>
                </c:pt>
                <c:pt idx="674">
                  <c:v>7/21/2025</c:v>
                </c:pt>
                <c:pt idx="675">
                  <c:v>7/22/2025</c:v>
                </c:pt>
                <c:pt idx="676">
                  <c:v>7/23/2025</c:v>
                </c:pt>
                <c:pt idx="677">
                  <c:v>7/24/2025</c:v>
                </c:pt>
                <c:pt idx="678">
                  <c:v>7/25/2025</c:v>
                </c:pt>
                <c:pt idx="679">
                  <c:v>7/26/2025</c:v>
                </c:pt>
                <c:pt idx="680">
                  <c:v>7/27/2025</c:v>
                </c:pt>
                <c:pt idx="681">
                  <c:v>7/28/2025</c:v>
                </c:pt>
                <c:pt idx="682">
                  <c:v>7/29/2025</c:v>
                </c:pt>
                <c:pt idx="683">
                  <c:v>7/30/2025</c:v>
                </c:pt>
                <c:pt idx="684">
                  <c:v>7/31/2025</c:v>
                </c:pt>
                <c:pt idx="685">
                  <c:v>8/1/2025</c:v>
                </c:pt>
                <c:pt idx="686">
                  <c:v>8/2/2025</c:v>
                </c:pt>
                <c:pt idx="687">
                  <c:v>8/4/2025</c:v>
                </c:pt>
                <c:pt idx="688">
                  <c:v>8/5/2025</c:v>
                </c:pt>
              </c:strCache>
            </c:strRef>
          </c:cat>
          <c:val>
            <c:numRef>
              <c:f>Sheet2!$M$3:$M$692</c:f>
              <c:numCache>
                <c:formatCode>General</c:formatCode>
                <c:ptCount val="689"/>
                <c:pt idx="0">
                  <c:v>3363.16</c:v>
                </c:pt>
                <c:pt idx="1">
                  <c:v>18971.310000000001</c:v>
                </c:pt>
                <c:pt idx="2">
                  <c:v>7967.17</c:v>
                </c:pt>
                <c:pt idx="3">
                  <c:v>10785.02</c:v>
                </c:pt>
                <c:pt idx="4">
                  <c:v>6434.99</c:v>
                </c:pt>
                <c:pt idx="5">
                  <c:v>26791.57</c:v>
                </c:pt>
                <c:pt idx="6">
                  <c:v>17571.93</c:v>
                </c:pt>
                <c:pt idx="7">
                  <c:v>15472.029999999999</c:v>
                </c:pt>
                <c:pt idx="8">
                  <c:v>8226.9599999999991</c:v>
                </c:pt>
                <c:pt idx="9">
                  <c:v>44199.159999999996</c:v>
                </c:pt>
                <c:pt idx="10">
                  <c:v>4694.4799999999996</c:v>
                </c:pt>
                <c:pt idx="11">
                  <c:v>3257.75</c:v>
                </c:pt>
                <c:pt idx="12">
                  <c:v>4505.24</c:v>
                </c:pt>
                <c:pt idx="13">
                  <c:v>7372.0599999999995</c:v>
                </c:pt>
                <c:pt idx="14">
                  <c:v>4548.3999999999996</c:v>
                </c:pt>
                <c:pt idx="15">
                  <c:v>12658.33</c:v>
                </c:pt>
                <c:pt idx="16">
                  <c:v>19952.37</c:v>
                </c:pt>
                <c:pt idx="17">
                  <c:v>1206.82</c:v>
                </c:pt>
                <c:pt idx="18">
                  <c:v>8788.0400000000009</c:v>
                </c:pt>
                <c:pt idx="19">
                  <c:v>780.2</c:v>
                </c:pt>
                <c:pt idx="20">
                  <c:v>12957.130000000001</c:v>
                </c:pt>
                <c:pt idx="21">
                  <c:v>6559.49</c:v>
                </c:pt>
                <c:pt idx="22">
                  <c:v>4264.54</c:v>
                </c:pt>
                <c:pt idx="23">
                  <c:v>5019.84</c:v>
                </c:pt>
                <c:pt idx="24">
                  <c:v>9632.98</c:v>
                </c:pt>
                <c:pt idx="25">
                  <c:v>8163.05</c:v>
                </c:pt>
                <c:pt idx="26">
                  <c:v>531.20000000000005</c:v>
                </c:pt>
                <c:pt idx="27">
                  <c:v>4329.28</c:v>
                </c:pt>
                <c:pt idx="28">
                  <c:v>17024.96</c:v>
                </c:pt>
                <c:pt idx="29">
                  <c:v>6087.22</c:v>
                </c:pt>
                <c:pt idx="30">
                  <c:v>27133.53</c:v>
                </c:pt>
                <c:pt idx="31">
                  <c:v>4317.66</c:v>
                </c:pt>
                <c:pt idx="32">
                  <c:v>3910.96</c:v>
                </c:pt>
                <c:pt idx="33">
                  <c:v>6564.47</c:v>
                </c:pt>
                <c:pt idx="34">
                  <c:v>22405.02</c:v>
                </c:pt>
                <c:pt idx="35">
                  <c:v>9096.7999999999993</c:v>
                </c:pt>
                <c:pt idx="36">
                  <c:v>6191.8</c:v>
                </c:pt>
                <c:pt idx="37">
                  <c:v>2597.0699999999997</c:v>
                </c:pt>
                <c:pt idx="38">
                  <c:v>17552.010000000002</c:v>
                </c:pt>
                <c:pt idx="39">
                  <c:v>4432.2</c:v>
                </c:pt>
                <c:pt idx="40">
                  <c:v>8900.92</c:v>
                </c:pt>
                <c:pt idx="41">
                  <c:v>27170.05</c:v>
                </c:pt>
                <c:pt idx="42">
                  <c:v>2851.0499999999997</c:v>
                </c:pt>
                <c:pt idx="43">
                  <c:v>2825.32</c:v>
                </c:pt>
                <c:pt idx="44">
                  <c:v>19034.39</c:v>
                </c:pt>
                <c:pt idx="45">
                  <c:v>11452.34</c:v>
                </c:pt>
                <c:pt idx="46">
                  <c:v>15059.519999999997</c:v>
                </c:pt>
                <c:pt idx="47">
                  <c:v>7874.21</c:v>
                </c:pt>
                <c:pt idx="48">
                  <c:v>7069.9400000000005</c:v>
                </c:pt>
                <c:pt idx="49">
                  <c:v>5404.96</c:v>
                </c:pt>
                <c:pt idx="50">
                  <c:v>15189</c:v>
                </c:pt>
                <c:pt idx="51">
                  <c:v>19221.97</c:v>
                </c:pt>
                <c:pt idx="52">
                  <c:v>9596.4599999999991</c:v>
                </c:pt>
                <c:pt idx="53">
                  <c:v>10160.030000000001</c:v>
                </c:pt>
                <c:pt idx="54">
                  <c:v>9200.5500000000011</c:v>
                </c:pt>
                <c:pt idx="55">
                  <c:v>9857.91</c:v>
                </c:pt>
                <c:pt idx="56">
                  <c:v>5489.62</c:v>
                </c:pt>
                <c:pt idx="57">
                  <c:v>7793.7000000000007</c:v>
                </c:pt>
                <c:pt idx="58">
                  <c:v>4325.13</c:v>
                </c:pt>
                <c:pt idx="59">
                  <c:v>12697.34</c:v>
                </c:pt>
                <c:pt idx="60">
                  <c:v>9374.02</c:v>
                </c:pt>
                <c:pt idx="61">
                  <c:v>11164.33</c:v>
                </c:pt>
                <c:pt idx="62">
                  <c:v>4392.3599999999997</c:v>
                </c:pt>
                <c:pt idx="63">
                  <c:v>16211.560000000001</c:v>
                </c:pt>
                <c:pt idx="64">
                  <c:v>16582.57</c:v>
                </c:pt>
                <c:pt idx="65">
                  <c:v>36813.82</c:v>
                </c:pt>
                <c:pt idx="66">
                  <c:v>4464.57</c:v>
                </c:pt>
                <c:pt idx="67">
                  <c:v>7632.6799999999994</c:v>
                </c:pt>
                <c:pt idx="68">
                  <c:v>42.33</c:v>
                </c:pt>
                <c:pt idx="69">
                  <c:v>23826.809999999998</c:v>
                </c:pt>
                <c:pt idx="70">
                  <c:v>6324.5999999999995</c:v>
                </c:pt>
                <c:pt idx="71">
                  <c:v>14136.56</c:v>
                </c:pt>
                <c:pt idx="72">
                  <c:v>14756.57</c:v>
                </c:pt>
                <c:pt idx="73">
                  <c:v>7025.95</c:v>
                </c:pt>
                <c:pt idx="74">
                  <c:v>9735.9</c:v>
                </c:pt>
                <c:pt idx="75">
                  <c:v>1661.66</c:v>
                </c:pt>
                <c:pt idx="76">
                  <c:v>6918.88</c:v>
                </c:pt>
                <c:pt idx="77">
                  <c:v>5687.16</c:v>
                </c:pt>
                <c:pt idx="78">
                  <c:v>6185.16</c:v>
                </c:pt>
                <c:pt idx="79">
                  <c:v>4524.33</c:v>
                </c:pt>
                <c:pt idx="80">
                  <c:v>5787.59</c:v>
                </c:pt>
                <c:pt idx="81">
                  <c:v>3446.16</c:v>
                </c:pt>
                <c:pt idx="82">
                  <c:v>21091.129999999997</c:v>
                </c:pt>
                <c:pt idx="83">
                  <c:v>21653.870000000003</c:v>
                </c:pt>
                <c:pt idx="84">
                  <c:v>7353.7999999999993</c:v>
                </c:pt>
                <c:pt idx="85">
                  <c:v>15942.640000000001</c:v>
                </c:pt>
                <c:pt idx="86">
                  <c:v>3301.74</c:v>
                </c:pt>
                <c:pt idx="87">
                  <c:v>2976.38</c:v>
                </c:pt>
                <c:pt idx="88">
                  <c:v>21897.06</c:v>
                </c:pt>
                <c:pt idx="89">
                  <c:v>9509.3100000000013</c:v>
                </c:pt>
                <c:pt idx="90">
                  <c:v>5658.11</c:v>
                </c:pt>
                <c:pt idx="91">
                  <c:v>666.49</c:v>
                </c:pt>
                <c:pt idx="92">
                  <c:v>13156.329999999998</c:v>
                </c:pt>
                <c:pt idx="93">
                  <c:v>22158.510000000002</c:v>
                </c:pt>
                <c:pt idx="94">
                  <c:v>1231.72</c:v>
                </c:pt>
                <c:pt idx="95">
                  <c:v>25462.739999999998</c:v>
                </c:pt>
                <c:pt idx="96">
                  <c:v>23931.39</c:v>
                </c:pt>
                <c:pt idx="97">
                  <c:v>2476.7199999999998</c:v>
                </c:pt>
                <c:pt idx="98">
                  <c:v>17662.400000000001</c:v>
                </c:pt>
                <c:pt idx="99">
                  <c:v>8599.6299999999992</c:v>
                </c:pt>
                <c:pt idx="100">
                  <c:v>3344.07</c:v>
                </c:pt>
                <c:pt idx="101">
                  <c:v>22243.17</c:v>
                </c:pt>
                <c:pt idx="102">
                  <c:v>8840.33</c:v>
                </c:pt>
                <c:pt idx="103">
                  <c:v>18865.900000000001</c:v>
                </c:pt>
                <c:pt idx="104">
                  <c:v>2569.6800000000003</c:v>
                </c:pt>
                <c:pt idx="105">
                  <c:v>5236.4699999999993</c:v>
                </c:pt>
                <c:pt idx="106">
                  <c:v>13508.25</c:v>
                </c:pt>
                <c:pt idx="107">
                  <c:v>9804.7899999999991</c:v>
                </c:pt>
                <c:pt idx="108">
                  <c:v>13701.64</c:v>
                </c:pt>
                <c:pt idx="109">
                  <c:v>11295.470000000001</c:v>
                </c:pt>
                <c:pt idx="110">
                  <c:v>9379</c:v>
                </c:pt>
                <c:pt idx="111">
                  <c:v>690.56</c:v>
                </c:pt>
                <c:pt idx="112">
                  <c:v>4098.54</c:v>
                </c:pt>
                <c:pt idx="113">
                  <c:v>6493.92</c:v>
                </c:pt>
                <c:pt idx="114">
                  <c:v>5440.65</c:v>
                </c:pt>
                <c:pt idx="115">
                  <c:v>7867.57</c:v>
                </c:pt>
                <c:pt idx="116">
                  <c:v>8897.6</c:v>
                </c:pt>
                <c:pt idx="117">
                  <c:v>23308.890000000003</c:v>
                </c:pt>
                <c:pt idx="118">
                  <c:v>17519.64</c:v>
                </c:pt>
                <c:pt idx="119">
                  <c:v>13166.29</c:v>
                </c:pt>
                <c:pt idx="120">
                  <c:v>9709.34</c:v>
                </c:pt>
                <c:pt idx="121">
                  <c:v>6970.34</c:v>
                </c:pt>
                <c:pt idx="122">
                  <c:v>14801.39</c:v>
                </c:pt>
                <c:pt idx="123">
                  <c:v>7395.2999999999993</c:v>
                </c:pt>
                <c:pt idx="124">
                  <c:v>3021.2</c:v>
                </c:pt>
                <c:pt idx="125">
                  <c:v>11663.99</c:v>
                </c:pt>
                <c:pt idx="126">
                  <c:v>3198.8199999999997</c:v>
                </c:pt>
                <c:pt idx="127">
                  <c:v>8026.93</c:v>
                </c:pt>
                <c:pt idx="128">
                  <c:v>6760.35</c:v>
                </c:pt>
                <c:pt idx="129">
                  <c:v>2219.42</c:v>
                </c:pt>
                <c:pt idx="130">
                  <c:v>2173.77</c:v>
                </c:pt>
                <c:pt idx="131">
                  <c:v>4220.55</c:v>
                </c:pt>
                <c:pt idx="132">
                  <c:v>6924.69</c:v>
                </c:pt>
                <c:pt idx="133">
                  <c:v>10396.58</c:v>
                </c:pt>
                <c:pt idx="134">
                  <c:v>5162.6000000000004</c:v>
                </c:pt>
                <c:pt idx="135">
                  <c:v>14693.490000000002</c:v>
                </c:pt>
                <c:pt idx="136">
                  <c:v>4773.33</c:v>
                </c:pt>
                <c:pt idx="137">
                  <c:v>1419.3</c:v>
                </c:pt>
                <c:pt idx="138">
                  <c:v>1636.7600000000002</c:v>
                </c:pt>
                <c:pt idx="139">
                  <c:v>763.6</c:v>
                </c:pt>
                <c:pt idx="140">
                  <c:v>2502.4499999999998</c:v>
                </c:pt>
                <c:pt idx="141">
                  <c:v>8611.25</c:v>
                </c:pt>
                <c:pt idx="142">
                  <c:v>3239.49</c:v>
                </c:pt>
                <c:pt idx="143">
                  <c:v>11785.17</c:v>
                </c:pt>
                <c:pt idx="144">
                  <c:v>6926.35</c:v>
                </c:pt>
                <c:pt idx="145">
                  <c:v>1221.76</c:v>
                </c:pt>
                <c:pt idx="146">
                  <c:v>8148.1100000000006</c:v>
                </c:pt>
                <c:pt idx="147">
                  <c:v>7943.1</c:v>
                </c:pt>
                <c:pt idx="148">
                  <c:v>14761.55</c:v>
                </c:pt>
                <c:pt idx="149">
                  <c:v>21995.83</c:v>
                </c:pt>
                <c:pt idx="150">
                  <c:v>9094.31</c:v>
                </c:pt>
                <c:pt idx="151">
                  <c:v>4563.34</c:v>
                </c:pt>
                <c:pt idx="152">
                  <c:v>6670.71</c:v>
                </c:pt>
                <c:pt idx="153">
                  <c:v>2974.72</c:v>
                </c:pt>
                <c:pt idx="154">
                  <c:v>2232.6999999999998</c:v>
                </c:pt>
                <c:pt idx="155">
                  <c:v>21404.04</c:v>
                </c:pt>
                <c:pt idx="156">
                  <c:v>1824.34</c:v>
                </c:pt>
                <c:pt idx="157">
                  <c:v>19729.099999999999</c:v>
                </c:pt>
                <c:pt idx="158">
                  <c:v>316.23</c:v>
                </c:pt>
                <c:pt idx="159">
                  <c:v>7038.4</c:v>
                </c:pt>
                <c:pt idx="160">
                  <c:v>23561.21</c:v>
                </c:pt>
                <c:pt idx="161">
                  <c:v>4047.9100000000003</c:v>
                </c:pt>
                <c:pt idx="162">
                  <c:v>8874.36</c:v>
                </c:pt>
                <c:pt idx="163">
                  <c:v>6252.39</c:v>
                </c:pt>
                <c:pt idx="164">
                  <c:v>4506.07</c:v>
                </c:pt>
                <c:pt idx="165">
                  <c:v>10432.27</c:v>
                </c:pt>
                <c:pt idx="166">
                  <c:v>5410.77</c:v>
                </c:pt>
                <c:pt idx="167">
                  <c:v>14234.5</c:v>
                </c:pt>
                <c:pt idx="168">
                  <c:v>28926.329999999998</c:v>
                </c:pt>
                <c:pt idx="169">
                  <c:v>5451.4400000000005</c:v>
                </c:pt>
                <c:pt idx="170">
                  <c:v>3915.94</c:v>
                </c:pt>
                <c:pt idx="171">
                  <c:v>10084.5</c:v>
                </c:pt>
                <c:pt idx="172">
                  <c:v>26848.84</c:v>
                </c:pt>
                <c:pt idx="173">
                  <c:v>6976.1500000000005</c:v>
                </c:pt>
                <c:pt idx="174">
                  <c:v>5217.38</c:v>
                </c:pt>
                <c:pt idx="175">
                  <c:v>27877.21</c:v>
                </c:pt>
                <c:pt idx="176">
                  <c:v>8539.0399999999991</c:v>
                </c:pt>
                <c:pt idx="177">
                  <c:v>10871.34</c:v>
                </c:pt>
                <c:pt idx="178">
                  <c:v>17449.919999999998</c:v>
                </c:pt>
                <c:pt idx="179">
                  <c:v>11810.9</c:v>
                </c:pt>
                <c:pt idx="180">
                  <c:v>2149.6999999999998</c:v>
                </c:pt>
                <c:pt idx="181">
                  <c:v>230.74</c:v>
                </c:pt>
                <c:pt idx="182">
                  <c:v>12292.3</c:v>
                </c:pt>
                <c:pt idx="183">
                  <c:v>16291.240000000002</c:v>
                </c:pt>
                <c:pt idx="184">
                  <c:v>8781.4</c:v>
                </c:pt>
                <c:pt idx="185">
                  <c:v>6104.65</c:v>
                </c:pt>
                <c:pt idx="186">
                  <c:v>17871.559999999998</c:v>
                </c:pt>
                <c:pt idx="187">
                  <c:v>7960.5300000000007</c:v>
                </c:pt>
                <c:pt idx="188">
                  <c:v>13260.08</c:v>
                </c:pt>
                <c:pt idx="189">
                  <c:v>10459.66</c:v>
                </c:pt>
                <c:pt idx="190">
                  <c:v>8682.630000000001</c:v>
                </c:pt>
                <c:pt idx="191">
                  <c:v>22902.19</c:v>
                </c:pt>
                <c:pt idx="192">
                  <c:v>4118.46</c:v>
                </c:pt>
                <c:pt idx="193">
                  <c:v>13817.84</c:v>
                </c:pt>
                <c:pt idx="194">
                  <c:v>9714.32</c:v>
                </c:pt>
                <c:pt idx="195">
                  <c:v>9346.630000000001</c:v>
                </c:pt>
                <c:pt idx="196">
                  <c:v>18718.990000000002</c:v>
                </c:pt>
                <c:pt idx="197">
                  <c:v>1378.63</c:v>
                </c:pt>
                <c:pt idx="198">
                  <c:v>3744.96</c:v>
                </c:pt>
                <c:pt idx="199">
                  <c:v>653.21</c:v>
                </c:pt>
                <c:pt idx="200">
                  <c:v>14372.279999999999</c:v>
                </c:pt>
                <c:pt idx="201">
                  <c:v>5184.18</c:v>
                </c:pt>
                <c:pt idx="202">
                  <c:v>5469.7000000000007</c:v>
                </c:pt>
                <c:pt idx="203">
                  <c:v>11891.410000000002</c:v>
                </c:pt>
                <c:pt idx="204">
                  <c:v>21926.940000000002</c:v>
                </c:pt>
                <c:pt idx="205">
                  <c:v>9952.5299999999988</c:v>
                </c:pt>
                <c:pt idx="206">
                  <c:v>9960</c:v>
                </c:pt>
                <c:pt idx="207">
                  <c:v>7887.49</c:v>
                </c:pt>
                <c:pt idx="208">
                  <c:v>14451.96</c:v>
                </c:pt>
                <c:pt idx="209">
                  <c:v>10076.199999999999</c:v>
                </c:pt>
                <c:pt idx="210">
                  <c:v>6844.18</c:v>
                </c:pt>
                <c:pt idx="211">
                  <c:v>17441.62</c:v>
                </c:pt>
                <c:pt idx="212">
                  <c:v>5432.35</c:v>
                </c:pt>
                <c:pt idx="213">
                  <c:v>2861.84</c:v>
                </c:pt>
                <c:pt idx="214">
                  <c:v>6283.93</c:v>
                </c:pt>
                <c:pt idx="215">
                  <c:v>17600.150000000001</c:v>
                </c:pt>
                <c:pt idx="216">
                  <c:v>18059.14</c:v>
                </c:pt>
                <c:pt idx="217">
                  <c:v>9923.48</c:v>
                </c:pt>
                <c:pt idx="218">
                  <c:v>6996.07</c:v>
                </c:pt>
                <c:pt idx="219">
                  <c:v>14978.18</c:v>
                </c:pt>
                <c:pt idx="220">
                  <c:v>991.02</c:v>
                </c:pt>
                <c:pt idx="221">
                  <c:v>9720.9600000000009</c:v>
                </c:pt>
                <c:pt idx="222">
                  <c:v>3193.84</c:v>
                </c:pt>
                <c:pt idx="223">
                  <c:v>16758.53</c:v>
                </c:pt>
                <c:pt idx="224">
                  <c:v>17759.510000000002</c:v>
                </c:pt>
                <c:pt idx="225">
                  <c:v>286.35000000000002</c:v>
                </c:pt>
                <c:pt idx="226">
                  <c:v>8015.3100000000013</c:v>
                </c:pt>
                <c:pt idx="227">
                  <c:v>2542.29</c:v>
                </c:pt>
                <c:pt idx="228">
                  <c:v>5826.5999999999995</c:v>
                </c:pt>
                <c:pt idx="229">
                  <c:v>4410.62</c:v>
                </c:pt>
                <c:pt idx="230">
                  <c:v>1470.76</c:v>
                </c:pt>
                <c:pt idx="231">
                  <c:v>26193.14</c:v>
                </c:pt>
                <c:pt idx="232">
                  <c:v>14311.689999999999</c:v>
                </c:pt>
                <c:pt idx="233">
                  <c:v>5610.8</c:v>
                </c:pt>
                <c:pt idx="234">
                  <c:v>5474.68</c:v>
                </c:pt>
                <c:pt idx="235">
                  <c:v>10434.759999999998</c:v>
                </c:pt>
                <c:pt idx="236">
                  <c:v>16554.349999999999</c:v>
                </c:pt>
                <c:pt idx="237">
                  <c:v>1187.73</c:v>
                </c:pt>
                <c:pt idx="238">
                  <c:v>2861.01</c:v>
                </c:pt>
                <c:pt idx="239">
                  <c:v>3443.67</c:v>
                </c:pt>
                <c:pt idx="240">
                  <c:v>12386.09</c:v>
                </c:pt>
                <c:pt idx="241">
                  <c:v>10166.67</c:v>
                </c:pt>
                <c:pt idx="242">
                  <c:v>21066.23</c:v>
                </c:pt>
                <c:pt idx="243">
                  <c:v>4761.71</c:v>
                </c:pt>
                <c:pt idx="244">
                  <c:v>425.79</c:v>
                </c:pt>
                <c:pt idx="245">
                  <c:v>6707.23</c:v>
                </c:pt>
                <c:pt idx="246">
                  <c:v>13775.51</c:v>
                </c:pt>
                <c:pt idx="247">
                  <c:v>22546.95</c:v>
                </c:pt>
                <c:pt idx="248">
                  <c:v>27819.940000000002</c:v>
                </c:pt>
                <c:pt idx="249">
                  <c:v>15322.63</c:v>
                </c:pt>
                <c:pt idx="250">
                  <c:v>3541.61</c:v>
                </c:pt>
                <c:pt idx="251">
                  <c:v>12811.88</c:v>
                </c:pt>
                <c:pt idx="252">
                  <c:v>9400.58</c:v>
                </c:pt>
                <c:pt idx="253">
                  <c:v>15887.86</c:v>
                </c:pt>
                <c:pt idx="254">
                  <c:v>1457.48</c:v>
                </c:pt>
                <c:pt idx="255">
                  <c:v>8107.44</c:v>
                </c:pt>
                <c:pt idx="256">
                  <c:v>15525.150000000001</c:v>
                </c:pt>
                <c:pt idx="257">
                  <c:v>1462.46</c:v>
                </c:pt>
                <c:pt idx="258">
                  <c:v>3461.9300000000003</c:v>
                </c:pt>
                <c:pt idx="259">
                  <c:v>13642.71</c:v>
                </c:pt>
                <c:pt idx="260">
                  <c:v>10460.490000000002</c:v>
                </c:pt>
                <c:pt idx="261">
                  <c:v>14043.6</c:v>
                </c:pt>
                <c:pt idx="262">
                  <c:v>1940.54</c:v>
                </c:pt>
                <c:pt idx="263">
                  <c:v>13200.32</c:v>
                </c:pt>
                <c:pt idx="264">
                  <c:v>2672.6</c:v>
                </c:pt>
                <c:pt idx="265">
                  <c:v>8346.48</c:v>
                </c:pt>
                <c:pt idx="266">
                  <c:v>7864.25</c:v>
                </c:pt>
                <c:pt idx="267">
                  <c:v>20506.810000000001</c:v>
                </c:pt>
                <c:pt idx="268">
                  <c:v>5780.95</c:v>
                </c:pt>
                <c:pt idx="269">
                  <c:v>12656.67</c:v>
                </c:pt>
                <c:pt idx="270">
                  <c:v>6276.46</c:v>
                </c:pt>
                <c:pt idx="271">
                  <c:v>11667.31</c:v>
                </c:pt>
                <c:pt idx="272">
                  <c:v>24284.969999999998</c:v>
                </c:pt>
                <c:pt idx="273">
                  <c:v>6298.04</c:v>
                </c:pt>
                <c:pt idx="274">
                  <c:v>13660.14</c:v>
                </c:pt>
                <c:pt idx="275">
                  <c:v>3818</c:v>
                </c:pt>
                <c:pt idx="276">
                  <c:v>8392.9599999999991</c:v>
                </c:pt>
                <c:pt idx="277">
                  <c:v>3842.0699999999997</c:v>
                </c:pt>
                <c:pt idx="278">
                  <c:v>9504.33</c:v>
                </c:pt>
                <c:pt idx="279">
                  <c:v>8341.5</c:v>
                </c:pt>
                <c:pt idx="280">
                  <c:v>2342.2600000000002</c:v>
                </c:pt>
                <c:pt idx="281">
                  <c:v>19960.669999999998</c:v>
                </c:pt>
                <c:pt idx="282">
                  <c:v>9968.2999999999993</c:v>
                </c:pt>
                <c:pt idx="283">
                  <c:v>14320.819999999998</c:v>
                </c:pt>
                <c:pt idx="284">
                  <c:v>173.47</c:v>
                </c:pt>
                <c:pt idx="285">
                  <c:v>15866.28</c:v>
                </c:pt>
                <c:pt idx="286">
                  <c:v>12782</c:v>
                </c:pt>
                <c:pt idx="287">
                  <c:v>1405.19</c:v>
                </c:pt>
                <c:pt idx="288">
                  <c:v>3116.65</c:v>
                </c:pt>
                <c:pt idx="289">
                  <c:v>4158.3</c:v>
                </c:pt>
                <c:pt idx="290">
                  <c:v>16100.34</c:v>
                </c:pt>
                <c:pt idx="291">
                  <c:v>10531.04</c:v>
                </c:pt>
                <c:pt idx="292">
                  <c:v>8853.61</c:v>
                </c:pt>
                <c:pt idx="293">
                  <c:v>3783.14</c:v>
                </c:pt>
                <c:pt idx="294">
                  <c:v>10584.99</c:v>
                </c:pt>
                <c:pt idx="295">
                  <c:v>4262.05</c:v>
                </c:pt>
                <c:pt idx="296">
                  <c:v>18988.739999999998</c:v>
                </c:pt>
                <c:pt idx="297">
                  <c:v>14451.960000000001</c:v>
                </c:pt>
                <c:pt idx="298">
                  <c:v>8778.91</c:v>
                </c:pt>
                <c:pt idx="299">
                  <c:v>19700.88</c:v>
                </c:pt>
                <c:pt idx="300">
                  <c:v>10067.9</c:v>
                </c:pt>
                <c:pt idx="301">
                  <c:v>4516.03</c:v>
                </c:pt>
                <c:pt idx="302">
                  <c:v>9445.4000000000015</c:v>
                </c:pt>
                <c:pt idx="303">
                  <c:v>2773.0299999999997</c:v>
                </c:pt>
                <c:pt idx="304">
                  <c:v>7572.92</c:v>
                </c:pt>
                <c:pt idx="305">
                  <c:v>1941.37</c:v>
                </c:pt>
                <c:pt idx="306">
                  <c:v>9240.39</c:v>
                </c:pt>
                <c:pt idx="307">
                  <c:v>13190.36</c:v>
                </c:pt>
                <c:pt idx="308">
                  <c:v>9495.2000000000007</c:v>
                </c:pt>
                <c:pt idx="309">
                  <c:v>4543.42</c:v>
                </c:pt>
                <c:pt idx="310">
                  <c:v>3990.64</c:v>
                </c:pt>
                <c:pt idx="311">
                  <c:v>5868.1</c:v>
                </c:pt>
                <c:pt idx="312">
                  <c:v>11129.470000000001</c:v>
                </c:pt>
                <c:pt idx="313">
                  <c:v>9696.89</c:v>
                </c:pt>
                <c:pt idx="314">
                  <c:v>5486.2999999999993</c:v>
                </c:pt>
                <c:pt idx="315">
                  <c:v>27673.859999999997</c:v>
                </c:pt>
                <c:pt idx="316">
                  <c:v>18502.36</c:v>
                </c:pt>
                <c:pt idx="317">
                  <c:v>15745.93</c:v>
                </c:pt>
                <c:pt idx="318">
                  <c:v>4894.51</c:v>
                </c:pt>
                <c:pt idx="319">
                  <c:v>10745.18</c:v>
                </c:pt>
                <c:pt idx="320">
                  <c:v>16113.619999999999</c:v>
                </c:pt>
                <c:pt idx="321">
                  <c:v>18725.63</c:v>
                </c:pt>
                <c:pt idx="322">
                  <c:v>16228.16</c:v>
                </c:pt>
                <c:pt idx="323">
                  <c:v>2064.21</c:v>
                </c:pt>
                <c:pt idx="324">
                  <c:v>7826.9</c:v>
                </c:pt>
                <c:pt idx="325">
                  <c:v>8767.2900000000009</c:v>
                </c:pt>
                <c:pt idx="326">
                  <c:v>16729.48</c:v>
                </c:pt>
                <c:pt idx="327">
                  <c:v>8666.0300000000007</c:v>
                </c:pt>
                <c:pt idx="328">
                  <c:v>17636.669999999998</c:v>
                </c:pt>
                <c:pt idx="329">
                  <c:v>6816.79</c:v>
                </c:pt>
                <c:pt idx="330">
                  <c:v>3278.5</c:v>
                </c:pt>
                <c:pt idx="331">
                  <c:v>20116.71</c:v>
                </c:pt>
                <c:pt idx="332">
                  <c:v>366.86</c:v>
                </c:pt>
                <c:pt idx="333">
                  <c:v>15965.05</c:v>
                </c:pt>
                <c:pt idx="334">
                  <c:v>22454.82</c:v>
                </c:pt>
                <c:pt idx="335">
                  <c:v>2412.81</c:v>
                </c:pt>
                <c:pt idx="336">
                  <c:v>9480.26</c:v>
                </c:pt>
                <c:pt idx="337">
                  <c:v>16658.099999999999</c:v>
                </c:pt>
                <c:pt idx="338">
                  <c:v>8392.9599999999991</c:v>
                </c:pt>
                <c:pt idx="339">
                  <c:v>13708.28</c:v>
                </c:pt>
                <c:pt idx="340">
                  <c:v>12575.33</c:v>
                </c:pt>
                <c:pt idx="341">
                  <c:v>9090.16</c:v>
                </c:pt>
                <c:pt idx="342">
                  <c:v>7475.8099999999995</c:v>
                </c:pt>
                <c:pt idx="343">
                  <c:v>9669.5</c:v>
                </c:pt>
                <c:pt idx="344">
                  <c:v>1466.61</c:v>
                </c:pt>
                <c:pt idx="345">
                  <c:v>3498.45</c:v>
                </c:pt>
                <c:pt idx="346">
                  <c:v>2693.35</c:v>
                </c:pt>
                <c:pt idx="347">
                  <c:v>5799.21</c:v>
                </c:pt>
                <c:pt idx="348">
                  <c:v>15810.669999999998</c:v>
                </c:pt>
                <c:pt idx="349">
                  <c:v>4286.12</c:v>
                </c:pt>
                <c:pt idx="350">
                  <c:v>18984.59</c:v>
                </c:pt>
                <c:pt idx="351">
                  <c:v>7681.65</c:v>
                </c:pt>
                <c:pt idx="352">
                  <c:v>344.45</c:v>
                </c:pt>
                <c:pt idx="353">
                  <c:v>9888.6200000000008</c:v>
                </c:pt>
                <c:pt idx="354">
                  <c:v>7759.67</c:v>
                </c:pt>
                <c:pt idx="355">
                  <c:v>12687.380000000001</c:v>
                </c:pt>
                <c:pt idx="356">
                  <c:v>11709.64</c:v>
                </c:pt>
                <c:pt idx="357">
                  <c:v>20844.620000000003</c:v>
                </c:pt>
                <c:pt idx="358">
                  <c:v>10455.51</c:v>
                </c:pt>
                <c:pt idx="359">
                  <c:v>3301.74</c:v>
                </c:pt>
                <c:pt idx="360">
                  <c:v>14886.05</c:v>
                </c:pt>
                <c:pt idx="361">
                  <c:v>7397.79</c:v>
                </c:pt>
                <c:pt idx="362">
                  <c:v>14695.98</c:v>
                </c:pt>
                <c:pt idx="363">
                  <c:v>1293.97</c:v>
                </c:pt>
                <c:pt idx="364">
                  <c:v>12371.15</c:v>
                </c:pt>
                <c:pt idx="365">
                  <c:v>3265.2200000000003</c:v>
                </c:pt>
                <c:pt idx="366">
                  <c:v>10010.629999999999</c:v>
                </c:pt>
                <c:pt idx="367">
                  <c:v>6967.0199999999995</c:v>
                </c:pt>
                <c:pt idx="368">
                  <c:v>16600</c:v>
                </c:pt>
                <c:pt idx="369">
                  <c:v>6208.4</c:v>
                </c:pt>
                <c:pt idx="370">
                  <c:v>13920.759999999998</c:v>
                </c:pt>
                <c:pt idx="371">
                  <c:v>3229.53</c:v>
                </c:pt>
                <c:pt idx="372">
                  <c:v>9048.66</c:v>
                </c:pt>
                <c:pt idx="373">
                  <c:v>12993.65</c:v>
                </c:pt>
                <c:pt idx="374">
                  <c:v>1304.76</c:v>
                </c:pt>
                <c:pt idx="375">
                  <c:v>9271.1</c:v>
                </c:pt>
                <c:pt idx="376">
                  <c:v>14609.66</c:v>
                </c:pt>
                <c:pt idx="377">
                  <c:v>9974.11</c:v>
                </c:pt>
                <c:pt idx="378">
                  <c:v>10815.73</c:v>
                </c:pt>
                <c:pt idx="379">
                  <c:v>13173.76</c:v>
                </c:pt>
                <c:pt idx="380">
                  <c:v>5008.22</c:v>
                </c:pt>
                <c:pt idx="381">
                  <c:v>19281.73</c:v>
                </c:pt>
                <c:pt idx="382">
                  <c:v>19346.47</c:v>
                </c:pt>
                <c:pt idx="383">
                  <c:v>4768.3499999999995</c:v>
                </c:pt>
                <c:pt idx="384">
                  <c:v>4912.7700000000004</c:v>
                </c:pt>
                <c:pt idx="385">
                  <c:v>9270.27</c:v>
                </c:pt>
                <c:pt idx="386">
                  <c:v>7589.5199999999995</c:v>
                </c:pt>
                <c:pt idx="387">
                  <c:v>6729.6399999999994</c:v>
                </c:pt>
                <c:pt idx="388">
                  <c:v>3294.27</c:v>
                </c:pt>
                <c:pt idx="389">
                  <c:v>6767.82</c:v>
                </c:pt>
                <c:pt idx="390">
                  <c:v>4132.57</c:v>
                </c:pt>
                <c:pt idx="391">
                  <c:v>9939.25</c:v>
                </c:pt>
                <c:pt idx="392">
                  <c:v>8498.369999999999</c:v>
                </c:pt>
                <c:pt idx="393">
                  <c:v>3683.54</c:v>
                </c:pt>
                <c:pt idx="394">
                  <c:v>16224.009999999998</c:v>
                </c:pt>
                <c:pt idx="395">
                  <c:v>4318.49</c:v>
                </c:pt>
                <c:pt idx="396">
                  <c:v>5091.22</c:v>
                </c:pt>
                <c:pt idx="397">
                  <c:v>35129.750000000007</c:v>
                </c:pt>
                <c:pt idx="398">
                  <c:v>10271.25</c:v>
                </c:pt>
                <c:pt idx="399">
                  <c:v>10726.089999999998</c:v>
                </c:pt>
                <c:pt idx="400">
                  <c:v>11034.85</c:v>
                </c:pt>
                <c:pt idx="401">
                  <c:v>2460.9499999999998</c:v>
                </c:pt>
                <c:pt idx="402">
                  <c:v>8009.5</c:v>
                </c:pt>
                <c:pt idx="403">
                  <c:v>14490.97</c:v>
                </c:pt>
                <c:pt idx="404">
                  <c:v>4769.18</c:v>
                </c:pt>
                <c:pt idx="405">
                  <c:v>27686.31</c:v>
                </c:pt>
                <c:pt idx="406">
                  <c:v>13090.76</c:v>
                </c:pt>
                <c:pt idx="407">
                  <c:v>20027.899999999998</c:v>
                </c:pt>
                <c:pt idx="408">
                  <c:v>9276.91</c:v>
                </c:pt>
                <c:pt idx="409">
                  <c:v>7948.08</c:v>
                </c:pt>
                <c:pt idx="410">
                  <c:v>17003.38</c:v>
                </c:pt>
                <c:pt idx="411">
                  <c:v>10879.64</c:v>
                </c:pt>
                <c:pt idx="412">
                  <c:v>6039.08</c:v>
                </c:pt>
                <c:pt idx="413">
                  <c:v>25840.39</c:v>
                </c:pt>
                <c:pt idx="414">
                  <c:v>7419.3700000000008</c:v>
                </c:pt>
                <c:pt idx="415">
                  <c:v>14694.32</c:v>
                </c:pt>
                <c:pt idx="416">
                  <c:v>27544.379999999997</c:v>
                </c:pt>
                <c:pt idx="417">
                  <c:v>2096.58</c:v>
                </c:pt>
                <c:pt idx="418">
                  <c:v>1163.6600000000001</c:v>
                </c:pt>
                <c:pt idx="419">
                  <c:v>668.98</c:v>
                </c:pt>
                <c:pt idx="420">
                  <c:v>22805.91</c:v>
                </c:pt>
                <c:pt idx="421">
                  <c:v>7457.5499999999993</c:v>
                </c:pt>
                <c:pt idx="422">
                  <c:v>8339.84</c:v>
                </c:pt>
                <c:pt idx="423">
                  <c:v>25801.38</c:v>
                </c:pt>
                <c:pt idx="424">
                  <c:v>1996.15</c:v>
                </c:pt>
                <c:pt idx="425">
                  <c:v>15375.75</c:v>
                </c:pt>
                <c:pt idx="426">
                  <c:v>1943.86</c:v>
                </c:pt>
                <c:pt idx="427">
                  <c:v>13532.320000000002</c:v>
                </c:pt>
                <c:pt idx="428">
                  <c:v>10292.829999999998</c:v>
                </c:pt>
                <c:pt idx="429">
                  <c:v>6340.37</c:v>
                </c:pt>
                <c:pt idx="430">
                  <c:v>38186.639999999999</c:v>
                </c:pt>
                <c:pt idx="431">
                  <c:v>3732.51</c:v>
                </c:pt>
                <c:pt idx="432">
                  <c:v>3140.72</c:v>
                </c:pt>
                <c:pt idx="433">
                  <c:v>17332.89</c:v>
                </c:pt>
                <c:pt idx="434">
                  <c:v>11746.16</c:v>
                </c:pt>
                <c:pt idx="435">
                  <c:v>3271.86</c:v>
                </c:pt>
                <c:pt idx="436">
                  <c:v>2290.8000000000002</c:v>
                </c:pt>
                <c:pt idx="437">
                  <c:v>10759.29</c:v>
                </c:pt>
                <c:pt idx="438">
                  <c:v>21028.05</c:v>
                </c:pt>
                <c:pt idx="439">
                  <c:v>12793.62</c:v>
                </c:pt>
                <c:pt idx="440">
                  <c:v>15219.710000000001</c:v>
                </c:pt>
                <c:pt idx="441">
                  <c:v>14759.060000000001</c:v>
                </c:pt>
                <c:pt idx="442">
                  <c:v>25785.609999999997</c:v>
                </c:pt>
                <c:pt idx="443">
                  <c:v>7109.7800000000007</c:v>
                </c:pt>
                <c:pt idx="444">
                  <c:v>1408.51</c:v>
                </c:pt>
                <c:pt idx="445">
                  <c:v>14284.300000000001</c:v>
                </c:pt>
                <c:pt idx="446">
                  <c:v>7396.1299999999992</c:v>
                </c:pt>
                <c:pt idx="447">
                  <c:v>11166.82</c:v>
                </c:pt>
                <c:pt idx="448">
                  <c:v>7162.9</c:v>
                </c:pt>
                <c:pt idx="449">
                  <c:v>4338.41</c:v>
                </c:pt>
                <c:pt idx="450">
                  <c:v>6913.0700000000006</c:v>
                </c:pt>
                <c:pt idx="451">
                  <c:v>5790.91</c:v>
                </c:pt>
                <c:pt idx="452">
                  <c:v>4653.8099999999995</c:v>
                </c:pt>
                <c:pt idx="453">
                  <c:v>10786.68</c:v>
                </c:pt>
                <c:pt idx="454">
                  <c:v>3241.98</c:v>
                </c:pt>
                <c:pt idx="455">
                  <c:v>2140.5700000000002</c:v>
                </c:pt>
                <c:pt idx="456">
                  <c:v>16674.7</c:v>
                </c:pt>
                <c:pt idx="457">
                  <c:v>7988.75</c:v>
                </c:pt>
                <c:pt idx="458">
                  <c:v>13504.1</c:v>
                </c:pt>
                <c:pt idx="459">
                  <c:v>14530.810000000001</c:v>
                </c:pt>
                <c:pt idx="460">
                  <c:v>5964.38</c:v>
                </c:pt>
                <c:pt idx="461">
                  <c:v>13275.02</c:v>
                </c:pt>
                <c:pt idx="462">
                  <c:v>3564.85</c:v>
                </c:pt>
                <c:pt idx="463">
                  <c:v>5536.93</c:v>
                </c:pt>
                <c:pt idx="464">
                  <c:v>11279.7</c:v>
                </c:pt>
                <c:pt idx="465">
                  <c:v>2282.5</c:v>
                </c:pt>
                <c:pt idx="466">
                  <c:v>18425.169999999998</c:v>
                </c:pt>
                <c:pt idx="467">
                  <c:v>12799.43</c:v>
                </c:pt>
                <c:pt idx="468">
                  <c:v>20373.18</c:v>
                </c:pt>
                <c:pt idx="469">
                  <c:v>8938.27</c:v>
                </c:pt>
                <c:pt idx="470">
                  <c:v>11074.69</c:v>
                </c:pt>
                <c:pt idx="471">
                  <c:v>2509.92</c:v>
                </c:pt>
                <c:pt idx="472">
                  <c:v>6210.89</c:v>
                </c:pt>
                <c:pt idx="473">
                  <c:v>12248.31</c:v>
                </c:pt>
                <c:pt idx="474">
                  <c:v>10194.06</c:v>
                </c:pt>
                <c:pt idx="475">
                  <c:v>9158.2199999999993</c:v>
                </c:pt>
                <c:pt idx="476">
                  <c:v>810.08</c:v>
                </c:pt>
                <c:pt idx="477">
                  <c:v>3960.7599999999998</c:v>
                </c:pt>
                <c:pt idx="478">
                  <c:v>12053.26</c:v>
                </c:pt>
                <c:pt idx="479">
                  <c:v>6484.79</c:v>
                </c:pt>
                <c:pt idx="480">
                  <c:v>4763.37</c:v>
                </c:pt>
                <c:pt idx="481">
                  <c:v>5814.15</c:v>
                </c:pt>
                <c:pt idx="482">
                  <c:v>12209.300000000001</c:v>
                </c:pt>
                <c:pt idx="483">
                  <c:v>24621.119999999999</c:v>
                </c:pt>
                <c:pt idx="484">
                  <c:v>6918.88</c:v>
                </c:pt>
                <c:pt idx="485">
                  <c:v>16098.679999999998</c:v>
                </c:pt>
                <c:pt idx="486">
                  <c:v>22302.1</c:v>
                </c:pt>
                <c:pt idx="487">
                  <c:v>967.78</c:v>
                </c:pt>
                <c:pt idx="488">
                  <c:v>8348.9699999999993</c:v>
                </c:pt>
                <c:pt idx="489">
                  <c:v>7481.6200000000008</c:v>
                </c:pt>
                <c:pt idx="490">
                  <c:v>17275.620000000003</c:v>
                </c:pt>
                <c:pt idx="491">
                  <c:v>19074.23</c:v>
                </c:pt>
                <c:pt idx="492">
                  <c:v>15404.8</c:v>
                </c:pt>
                <c:pt idx="493">
                  <c:v>5967.7000000000007</c:v>
                </c:pt>
                <c:pt idx="494">
                  <c:v>7070.7699999999995</c:v>
                </c:pt>
                <c:pt idx="495">
                  <c:v>9013.7999999999993</c:v>
                </c:pt>
                <c:pt idx="496">
                  <c:v>4597.37</c:v>
                </c:pt>
                <c:pt idx="497">
                  <c:v>3091.75</c:v>
                </c:pt>
                <c:pt idx="498">
                  <c:v>10674.63</c:v>
                </c:pt>
                <c:pt idx="499">
                  <c:v>4208.1000000000004</c:v>
                </c:pt>
                <c:pt idx="500">
                  <c:v>21677.11</c:v>
                </c:pt>
                <c:pt idx="501">
                  <c:v>14254.42</c:v>
                </c:pt>
                <c:pt idx="502">
                  <c:v>18203.560000000001</c:v>
                </c:pt>
                <c:pt idx="503">
                  <c:v>14823.8</c:v>
                </c:pt>
                <c:pt idx="504">
                  <c:v>1516.41</c:v>
                </c:pt>
                <c:pt idx="505">
                  <c:v>6913.07</c:v>
                </c:pt>
                <c:pt idx="506">
                  <c:v>6441.63</c:v>
                </c:pt>
                <c:pt idx="507">
                  <c:v>5337.73</c:v>
                </c:pt>
                <c:pt idx="508">
                  <c:v>30245.200000000001</c:v>
                </c:pt>
                <c:pt idx="509">
                  <c:v>10956.83</c:v>
                </c:pt>
                <c:pt idx="510">
                  <c:v>4558.3600000000006</c:v>
                </c:pt>
                <c:pt idx="511">
                  <c:v>11097.1</c:v>
                </c:pt>
                <c:pt idx="512">
                  <c:v>2725.7200000000003</c:v>
                </c:pt>
                <c:pt idx="513">
                  <c:v>5678.03</c:v>
                </c:pt>
                <c:pt idx="514">
                  <c:v>23381.1</c:v>
                </c:pt>
                <c:pt idx="515">
                  <c:v>10023.91</c:v>
                </c:pt>
                <c:pt idx="516">
                  <c:v>10922.8</c:v>
                </c:pt>
                <c:pt idx="517">
                  <c:v>1646.72</c:v>
                </c:pt>
                <c:pt idx="518">
                  <c:v>4047.08</c:v>
                </c:pt>
                <c:pt idx="519">
                  <c:v>9772.42</c:v>
                </c:pt>
                <c:pt idx="520">
                  <c:v>10022.25</c:v>
                </c:pt>
                <c:pt idx="521">
                  <c:v>7565.45</c:v>
                </c:pt>
                <c:pt idx="522">
                  <c:v>15827.27</c:v>
                </c:pt>
                <c:pt idx="523">
                  <c:v>5473.02</c:v>
                </c:pt>
                <c:pt idx="524">
                  <c:v>6792.7199999999993</c:v>
                </c:pt>
                <c:pt idx="525">
                  <c:v>1167.81</c:v>
                </c:pt>
                <c:pt idx="526">
                  <c:v>12757.93</c:v>
                </c:pt>
                <c:pt idx="527">
                  <c:v>5934.5</c:v>
                </c:pt>
                <c:pt idx="528">
                  <c:v>9702.7000000000007</c:v>
                </c:pt>
                <c:pt idx="529">
                  <c:v>2626.12</c:v>
                </c:pt>
                <c:pt idx="530">
                  <c:v>4682.0300000000007</c:v>
                </c:pt>
                <c:pt idx="531">
                  <c:v>13304.9</c:v>
                </c:pt>
                <c:pt idx="532">
                  <c:v>8846.14</c:v>
                </c:pt>
                <c:pt idx="533">
                  <c:v>5426.54</c:v>
                </c:pt>
                <c:pt idx="534">
                  <c:v>13783.81</c:v>
                </c:pt>
                <c:pt idx="535">
                  <c:v>1496.49</c:v>
                </c:pt>
                <c:pt idx="536">
                  <c:v>3743.3</c:v>
                </c:pt>
                <c:pt idx="537">
                  <c:v>9505.16</c:v>
                </c:pt>
                <c:pt idx="538">
                  <c:v>1590.28</c:v>
                </c:pt>
                <c:pt idx="539">
                  <c:v>6879.869999999999</c:v>
                </c:pt>
                <c:pt idx="540">
                  <c:v>8096.65</c:v>
                </c:pt>
                <c:pt idx="541">
                  <c:v>25393.019999999997</c:v>
                </c:pt>
                <c:pt idx="542">
                  <c:v>9448.7200000000012</c:v>
                </c:pt>
                <c:pt idx="543">
                  <c:v>4189.01</c:v>
                </c:pt>
                <c:pt idx="544">
                  <c:v>2279.1799999999998</c:v>
                </c:pt>
                <c:pt idx="545">
                  <c:v>10860.55</c:v>
                </c:pt>
                <c:pt idx="546">
                  <c:v>18468.330000000002</c:v>
                </c:pt>
                <c:pt idx="547">
                  <c:v>13927.4</c:v>
                </c:pt>
                <c:pt idx="548">
                  <c:v>9705.19</c:v>
                </c:pt>
                <c:pt idx="549">
                  <c:v>11677.27</c:v>
                </c:pt>
                <c:pt idx="550">
                  <c:v>5804.19</c:v>
                </c:pt>
                <c:pt idx="551">
                  <c:v>10426.460000000001</c:v>
                </c:pt>
                <c:pt idx="552">
                  <c:v>25793.08</c:v>
                </c:pt>
                <c:pt idx="553">
                  <c:v>17940.449999999997</c:v>
                </c:pt>
                <c:pt idx="554">
                  <c:v>15303.539999999997</c:v>
                </c:pt>
                <c:pt idx="555">
                  <c:v>19926.64</c:v>
                </c:pt>
                <c:pt idx="556">
                  <c:v>24382.080000000002</c:v>
                </c:pt>
                <c:pt idx="557">
                  <c:v>12690.7</c:v>
                </c:pt>
                <c:pt idx="558">
                  <c:v>21246.34</c:v>
                </c:pt>
                <c:pt idx="559">
                  <c:v>7110.6100000000006</c:v>
                </c:pt>
                <c:pt idx="560">
                  <c:v>8401.2599999999984</c:v>
                </c:pt>
                <c:pt idx="561">
                  <c:v>4075.2999999999997</c:v>
                </c:pt>
                <c:pt idx="562">
                  <c:v>22996.81</c:v>
                </c:pt>
                <c:pt idx="563">
                  <c:v>13431.06</c:v>
                </c:pt>
                <c:pt idx="564">
                  <c:v>17908.079999999998</c:v>
                </c:pt>
                <c:pt idx="565">
                  <c:v>187.58</c:v>
                </c:pt>
                <c:pt idx="566">
                  <c:v>14653.650000000001</c:v>
                </c:pt>
                <c:pt idx="567">
                  <c:v>8939.1</c:v>
                </c:pt>
                <c:pt idx="568">
                  <c:v>3223.72</c:v>
                </c:pt>
                <c:pt idx="569">
                  <c:v>5741.94</c:v>
                </c:pt>
                <c:pt idx="570">
                  <c:v>8359.76</c:v>
                </c:pt>
                <c:pt idx="571">
                  <c:v>9137.4700000000012</c:v>
                </c:pt>
                <c:pt idx="572">
                  <c:v>6399.3</c:v>
                </c:pt>
                <c:pt idx="573">
                  <c:v>11096.27</c:v>
                </c:pt>
                <c:pt idx="574">
                  <c:v>18709.03</c:v>
                </c:pt>
                <c:pt idx="575">
                  <c:v>9559.11</c:v>
                </c:pt>
                <c:pt idx="576">
                  <c:v>14995.61</c:v>
                </c:pt>
                <c:pt idx="577">
                  <c:v>6903.11</c:v>
                </c:pt>
                <c:pt idx="578">
                  <c:v>9206.36</c:v>
                </c:pt>
                <c:pt idx="579">
                  <c:v>4709.42</c:v>
                </c:pt>
                <c:pt idx="580">
                  <c:v>19112.41</c:v>
                </c:pt>
                <c:pt idx="581">
                  <c:v>6830.9</c:v>
                </c:pt>
                <c:pt idx="582">
                  <c:v>9953.36</c:v>
                </c:pt>
                <c:pt idx="583">
                  <c:v>2460.9499999999998</c:v>
                </c:pt>
                <c:pt idx="584">
                  <c:v>24065.85</c:v>
                </c:pt>
                <c:pt idx="585">
                  <c:v>10956.83</c:v>
                </c:pt>
                <c:pt idx="586">
                  <c:v>25594.71</c:v>
                </c:pt>
                <c:pt idx="587">
                  <c:v>15059.52</c:v>
                </c:pt>
                <c:pt idx="588">
                  <c:v>15954.259999999998</c:v>
                </c:pt>
                <c:pt idx="589">
                  <c:v>5821.62</c:v>
                </c:pt>
                <c:pt idx="590">
                  <c:v>10532.699999999999</c:v>
                </c:pt>
                <c:pt idx="591">
                  <c:v>4911.9399999999996</c:v>
                </c:pt>
                <c:pt idx="592">
                  <c:v>12655.01</c:v>
                </c:pt>
                <c:pt idx="593">
                  <c:v>17708.88</c:v>
                </c:pt>
                <c:pt idx="594">
                  <c:v>4882.8900000000003</c:v>
                </c:pt>
                <c:pt idx="595">
                  <c:v>7668.37</c:v>
                </c:pt>
                <c:pt idx="596">
                  <c:v>13489.990000000002</c:v>
                </c:pt>
                <c:pt idx="597">
                  <c:v>2159.66</c:v>
                </c:pt>
                <c:pt idx="598">
                  <c:v>546.97</c:v>
                </c:pt>
                <c:pt idx="599">
                  <c:v>2283.33</c:v>
                </c:pt>
                <c:pt idx="600">
                  <c:v>11761.93</c:v>
                </c:pt>
                <c:pt idx="601">
                  <c:v>17479.8</c:v>
                </c:pt>
                <c:pt idx="602">
                  <c:v>9637.1299999999992</c:v>
                </c:pt>
                <c:pt idx="603">
                  <c:v>19063.439999999999</c:v>
                </c:pt>
                <c:pt idx="604">
                  <c:v>6084.7300000000005</c:v>
                </c:pt>
                <c:pt idx="605">
                  <c:v>5611.63</c:v>
                </c:pt>
                <c:pt idx="606">
                  <c:v>8018.6299999999992</c:v>
                </c:pt>
                <c:pt idx="607">
                  <c:v>8803.8100000000013</c:v>
                </c:pt>
                <c:pt idx="608">
                  <c:v>1766.24</c:v>
                </c:pt>
                <c:pt idx="609">
                  <c:v>1322.19</c:v>
                </c:pt>
                <c:pt idx="610">
                  <c:v>11666.48</c:v>
                </c:pt>
                <c:pt idx="611">
                  <c:v>20297.650000000001</c:v>
                </c:pt>
                <c:pt idx="612">
                  <c:v>8074.24</c:v>
                </c:pt>
                <c:pt idx="613">
                  <c:v>13133.92</c:v>
                </c:pt>
                <c:pt idx="614">
                  <c:v>2317.36</c:v>
                </c:pt>
                <c:pt idx="615">
                  <c:v>7248.3899999999994</c:v>
                </c:pt>
                <c:pt idx="616">
                  <c:v>3325.8100000000004</c:v>
                </c:pt>
                <c:pt idx="617">
                  <c:v>429.11</c:v>
                </c:pt>
                <c:pt idx="618">
                  <c:v>10511.119999999999</c:v>
                </c:pt>
                <c:pt idx="619">
                  <c:v>7084.0499999999993</c:v>
                </c:pt>
                <c:pt idx="620">
                  <c:v>7269.97</c:v>
                </c:pt>
                <c:pt idx="621">
                  <c:v>11600.91</c:v>
                </c:pt>
                <c:pt idx="622">
                  <c:v>3934.2</c:v>
                </c:pt>
                <c:pt idx="623">
                  <c:v>22272.22</c:v>
                </c:pt>
                <c:pt idx="624">
                  <c:v>17571.93</c:v>
                </c:pt>
                <c:pt idx="625">
                  <c:v>751.15</c:v>
                </c:pt>
                <c:pt idx="626">
                  <c:v>6225</c:v>
                </c:pt>
                <c:pt idx="627">
                  <c:v>2850.22</c:v>
                </c:pt>
                <c:pt idx="628">
                  <c:v>12746.310000000001</c:v>
                </c:pt>
                <c:pt idx="629">
                  <c:v>12962.94</c:v>
                </c:pt>
                <c:pt idx="630">
                  <c:v>14768.189999999999</c:v>
                </c:pt>
                <c:pt idx="631">
                  <c:v>7999.54</c:v>
                </c:pt>
                <c:pt idx="632">
                  <c:v>4426.3899999999994</c:v>
                </c:pt>
                <c:pt idx="633">
                  <c:v>18392.8</c:v>
                </c:pt>
                <c:pt idx="634">
                  <c:v>14520.850000000002</c:v>
                </c:pt>
                <c:pt idx="635">
                  <c:v>6808.49</c:v>
                </c:pt>
                <c:pt idx="636">
                  <c:v>5192.4799999999996</c:v>
                </c:pt>
                <c:pt idx="637">
                  <c:v>9649.58</c:v>
                </c:pt>
                <c:pt idx="638">
                  <c:v>379.31</c:v>
                </c:pt>
                <c:pt idx="639">
                  <c:v>13091.59</c:v>
                </c:pt>
                <c:pt idx="640">
                  <c:v>18699.07</c:v>
                </c:pt>
                <c:pt idx="641">
                  <c:v>3056.89</c:v>
                </c:pt>
                <c:pt idx="642">
                  <c:v>14335.759999999998</c:v>
                </c:pt>
                <c:pt idx="643">
                  <c:v>5605.82</c:v>
                </c:pt>
                <c:pt idx="644">
                  <c:v>9340.82</c:v>
                </c:pt>
                <c:pt idx="645">
                  <c:v>3869.46</c:v>
                </c:pt>
                <c:pt idx="646">
                  <c:v>3845.39</c:v>
                </c:pt>
                <c:pt idx="647">
                  <c:v>13125.62</c:v>
                </c:pt>
                <c:pt idx="648">
                  <c:v>1792.8</c:v>
                </c:pt>
                <c:pt idx="649">
                  <c:v>8448.57</c:v>
                </c:pt>
                <c:pt idx="650">
                  <c:v>11785.17</c:v>
                </c:pt>
                <c:pt idx="651">
                  <c:v>3029.5</c:v>
                </c:pt>
                <c:pt idx="652">
                  <c:v>3518.37</c:v>
                </c:pt>
                <c:pt idx="653">
                  <c:v>959.48</c:v>
                </c:pt>
                <c:pt idx="654">
                  <c:v>9277.74</c:v>
                </c:pt>
                <c:pt idx="655">
                  <c:v>9086.0099999999984</c:v>
                </c:pt>
                <c:pt idx="656">
                  <c:v>2383.7600000000002</c:v>
                </c:pt>
                <c:pt idx="657">
                  <c:v>3360.67</c:v>
                </c:pt>
                <c:pt idx="658">
                  <c:v>4444.6499999999996</c:v>
                </c:pt>
                <c:pt idx="659">
                  <c:v>19379.669999999998</c:v>
                </c:pt>
                <c:pt idx="660">
                  <c:v>14110.829999999998</c:v>
                </c:pt>
                <c:pt idx="661">
                  <c:v>9195.57</c:v>
                </c:pt>
                <c:pt idx="662">
                  <c:v>8925.82</c:v>
                </c:pt>
                <c:pt idx="663">
                  <c:v>5249.75</c:v>
                </c:pt>
                <c:pt idx="664">
                  <c:v>16621.580000000002</c:v>
                </c:pt>
                <c:pt idx="665">
                  <c:v>6122.08</c:v>
                </c:pt>
                <c:pt idx="666">
                  <c:v>1702.33</c:v>
                </c:pt>
                <c:pt idx="667">
                  <c:v>12324.67</c:v>
                </c:pt>
                <c:pt idx="668">
                  <c:v>2340.6</c:v>
                </c:pt>
                <c:pt idx="669">
                  <c:v>8965.66</c:v>
                </c:pt>
                <c:pt idx="670">
                  <c:v>14974.029999999999</c:v>
                </c:pt>
                <c:pt idx="671">
                  <c:v>2504.11</c:v>
                </c:pt>
                <c:pt idx="672">
                  <c:v>18742.23</c:v>
                </c:pt>
                <c:pt idx="673">
                  <c:v>14934.19</c:v>
                </c:pt>
                <c:pt idx="674">
                  <c:v>3974.04</c:v>
                </c:pt>
                <c:pt idx="675">
                  <c:v>3566.51</c:v>
                </c:pt>
                <c:pt idx="676">
                  <c:v>7814.4500000000007</c:v>
                </c:pt>
                <c:pt idx="677">
                  <c:v>3247.7900000000004</c:v>
                </c:pt>
                <c:pt idx="678">
                  <c:v>5699.6100000000006</c:v>
                </c:pt>
                <c:pt idx="679">
                  <c:v>8854.44</c:v>
                </c:pt>
                <c:pt idx="680">
                  <c:v>1630.95</c:v>
                </c:pt>
                <c:pt idx="681">
                  <c:v>15711.07</c:v>
                </c:pt>
                <c:pt idx="682">
                  <c:v>5313.66</c:v>
                </c:pt>
                <c:pt idx="683">
                  <c:v>7213.53</c:v>
                </c:pt>
                <c:pt idx="684">
                  <c:v>13640.22</c:v>
                </c:pt>
                <c:pt idx="685">
                  <c:v>11677.27</c:v>
                </c:pt>
                <c:pt idx="686">
                  <c:v>2096.58</c:v>
                </c:pt>
                <c:pt idx="687">
                  <c:v>7613.59</c:v>
                </c:pt>
                <c:pt idx="688">
                  <c:v>7954.7199999999993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3E-47CE-9AB4-48D1F9E30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244352"/>
        <c:axId val="1168249152"/>
      </c:lineChart>
      <c:catAx>
        <c:axId val="1168244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2">
                        <a:lumMod val="75000"/>
                        <a:alpha val="86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2">
                        <a:lumMod val="75000"/>
                        <a:alpha val="86000"/>
                      </a:schemeClr>
                    </a:solidFill>
                  </a:rPr>
                  <a:t>Date</a:t>
                </a:r>
              </a:p>
            </c:rich>
          </c:tx>
          <c:layout>
            <c:manualLayout>
              <c:xMode val="edge"/>
              <c:yMode val="edge"/>
              <c:x val="0.48970713035870506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2">
                      <a:lumMod val="75000"/>
                      <a:alpha val="8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249152"/>
        <c:crosses val="autoZero"/>
        <c:auto val="1"/>
        <c:lblAlgn val="ctr"/>
        <c:lblOffset val="100"/>
        <c:noMultiLvlLbl val="0"/>
      </c:catAx>
      <c:valAx>
        <c:axId val="11682491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24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15000">
          <a:srgbClr val="002060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>
              <a:lumMod val="20000"/>
              <a:lumOff val="8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[grocery_chain_dataset.xlsb.xlsx]Sheet2!PivotTable1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20000"/>
                    <a:lumOff val="80000"/>
                  </a:schemeClr>
                </a:solidFill>
              </a:rPr>
              <a:t>Sales</a:t>
            </a:r>
            <a:r>
              <a:rPr lang="en-US" baseline="0">
                <a:solidFill>
                  <a:schemeClr val="accent1">
                    <a:lumMod val="20000"/>
                    <a:lumOff val="80000"/>
                  </a:schemeClr>
                </a:solidFill>
              </a:rPr>
              <a:t> By store</a:t>
            </a:r>
            <a:endParaRPr lang="en-US">
              <a:solidFill>
                <a:schemeClr val="accent1">
                  <a:lumMod val="20000"/>
                  <a:lumOff val="8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>
            <a:gsLst>
              <a:gs pos="2000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6350">
                    <a:solidFill>
                      <a:schemeClr val="tx2">
                        <a:lumMod val="75000"/>
                      </a:schemeClr>
                    </a:solidFill>
                  </a:ln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2000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8.6528871391076123E-3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6350">
                    <a:solidFill>
                      <a:schemeClr val="tx2">
                        <a:lumMod val="75000"/>
                      </a:schemeClr>
                    </a:solidFill>
                  </a:ln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2000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875109361329732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6350">
                    <a:solidFill>
                      <a:schemeClr val="tx2">
                        <a:lumMod val="75000"/>
                      </a:schemeClr>
                    </a:solidFill>
                  </a:ln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2000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9763998250218621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6350">
                    <a:solidFill>
                      <a:schemeClr val="tx2">
                        <a:lumMod val="75000"/>
                      </a:schemeClr>
                    </a:solidFill>
                  </a:ln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2000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143066491688538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6350">
                    <a:solidFill>
                      <a:schemeClr val="tx2">
                        <a:lumMod val="75000"/>
                      </a:schemeClr>
                    </a:solidFill>
                  </a:ln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2000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3.0973315835519542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6350">
                    <a:solidFill>
                      <a:schemeClr val="tx2">
                        <a:lumMod val="75000"/>
                      </a:schemeClr>
                    </a:solidFill>
                  </a:ln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2000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143066491688538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6350">
                    <a:solidFill>
                      <a:schemeClr val="tx2">
                        <a:lumMod val="75000"/>
                      </a:schemeClr>
                    </a:solidFill>
                  </a:ln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2000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5.875109361329834E-3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6350">
                    <a:solidFill>
                      <a:schemeClr val="tx2">
                        <a:lumMod val="75000"/>
                      </a:schemeClr>
                    </a:solidFill>
                  </a:ln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2000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8.652887139107612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6350">
                    <a:solidFill>
                      <a:schemeClr val="tx2">
                        <a:lumMod val="75000"/>
                      </a:schemeClr>
                    </a:solidFill>
                  </a:ln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2000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5.875109361329834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6350">
                    <a:solidFill>
                      <a:schemeClr val="tx2">
                        <a:lumMod val="75000"/>
                      </a:schemeClr>
                    </a:solidFill>
                  </a:ln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33333333333335"/>
          <c:y val="0.16245370370370371"/>
          <c:w val="0.82511111111111113"/>
          <c:h val="0.73014690871974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Sheet2!$P$187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2000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5.87510936132983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31D-452E-B4BD-6739F366A562}"/>
                </c:ext>
              </c:extLst>
            </c:dLbl>
            <c:dLbl>
              <c:idx val="1"/>
              <c:layout>
                <c:manualLayout>
                  <c:x val="8.652887139107612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31D-452E-B4BD-6739F366A562}"/>
                </c:ext>
              </c:extLst>
            </c:dLbl>
            <c:dLbl>
              <c:idx val="2"/>
              <c:layout>
                <c:manualLayout>
                  <c:x val="5.875109361329834E-3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31D-452E-B4BD-6739F366A562}"/>
                </c:ext>
              </c:extLst>
            </c:dLbl>
            <c:dLbl>
              <c:idx val="3"/>
              <c:layout>
                <c:manualLayout>
                  <c:x val="1.143066491688538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31D-452E-B4BD-6739F366A562}"/>
                </c:ext>
              </c:extLst>
            </c:dLbl>
            <c:dLbl>
              <c:idx val="4"/>
              <c:layout>
                <c:manualLayout>
                  <c:x val="3.097331583551954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31D-452E-B4BD-6739F366A562}"/>
                </c:ext>
              </c:extLst>
            </c:dLbl>
            <c:dLbl>
              <c:idx val="5"/>
              <c:layout>
                <c:manualLayout>
                  <c:x val="1.143066491688538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31D-452E-B4BD-6739F366A562}"/>
                </c:ext>
              </c:extLst>
            </c:dLbl>
            <c:dLbl>
              <c:idx val="6"/>
              <c:layout>
                <c:manualLayout>
                  <c:x val="1.9763998250218621E-2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1D-452E-B4BD-6739F366A562}"/>
                </c:ext>
              </c:extLst>
            </c:dLbl>
            <c:dLbl>
              <c:idx val="7"/>
              <c:layout>
                <c:manualLayout>
                  <c:x val="1.87510936132973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1D-452E-B4BD-6739F366A562}"/>
                </c:ext>
              </c:extLst>
            </c:dLbl>
            <c:dLbl>
              <c:idx val="8"/>
              <c:layout>
                <c:manualLayout>
                  <c:x val="8.6528871391076123E-3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1D-452E-B4BD-6739F366A5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6350">
                      <a:solidFill>
                        <a:schemeClr val="tx2">
                          <a:lumMod val="75000"/>
                        </a:schemeClr>
                      </a:solidFill>
                    </a:ln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Sheet2!$O$188:$O$197</c:f>
              <c:strCache>
                <c:ptCount val="9"/>
                <c:pt idx="0">
                  <c:v>City Fresh Store</c:v>
                </c:pt>
                <c:pt idx="1">
                  <c:v>Corner Grocery</c:v>
                </c:pt>
                <c:pt idx="2">
                  <c:v>FamilyFood Express</c:v>
                </c:pt>
                <c:pt idx="3">
                  <c:v>FreshMart Downtown</c:v>
                </c:pt>
                <c:pt idx="4">
                  <c:v>GreenGrocer Plaza</c:v>
                </c:pt>
                <c:pt idx="5">
                  <c:v>MegaMart Westside</c:v>
                </c:pt>
                <c:pt idx="6">
                  <c:v>QuickStop Market</c:v>
                </c:pt>
                <c:pt idx="7">
                  <c:v>SuperSave Central</c:v>
                </c:pt>
                <c:pt idx="8">
                  <c:v>ValuePlus Market</c:v>
                </c:pt>
              </c:strCache>
            </c:strRef>
          </c:cat>
          <c:val>
            <c:numRef>
              <c:f>Sheet2!$P$188:$P$197</c:f>
              <c:numCache>
                <c:formatCode>General</c:formatCode>
                <c:ptCount val="9"/>
                <c:pt idx="0">
                  <c:v>813278.82000000041</c:v>
                </c:pt>
                <c:pt idx="1">
                  <c:v>778842.11999999965</c:v>
                </c:pt>
                <c:pt idx="2">
                  <c:v>640717.67000000016</c:v>
                </c:pt>
                <c:pt idx="3">
                  <c:v>709996.10999999987</c:v>
                </c:pt>
                <c:pt idx="4">
                  <c:v>832490.83000000031</c:v>
                </c:pt>
                <c:pt idx="5">
                  <c:v>781842.57000000007</c:v>
                </c:pt>
                <c:pt idx="6">
                  <c:v>697127.79000000027</c:v>
                </c:pt>
                <c:pt idx="7">
                  <c:v>823484.4999999993</c:v>
                </c:pt>
                <c:pt idx="8">
                  <c:v>731316.32000000018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D-452E-B4BD-6739F366A56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86497263"/>
        <c:axId val="1986476143"/>
      </c:barChart>
      <c:catAx>
        <c:axId val="19864972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86476143"/>
        <c:crosses val="autoZero"/>
        <c:auto val="1"/>
        <c:lblAlgn val="ctr"/>
        <c:lblOffset val="100"/>
        <c:noMultiLvlLbl val="0"/>
      </c:catAx>
      <c:valAx>
        <c:axId val="19864761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8649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tx2">
            <a:lumMod val="7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[grocery_chain_dataset.xlsb.xlsx]Sheet2!PivotTable6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dk2">
                  <a:tint val="80000"/>
                  <a:satMod val="300000"/>
                </a:schemeClr>
              </a:gs>
              <a:gs pos="100000">
                <a:schemeClr val="dk2">
                  <a:shade val="30000"/>
                  <a:satMod val="200000"/>
                </a:schemeClr>
              </a:gs>
            </a:gsLst>
            <a:path path="circle">
              <a:fillToRect l="50000" t="50000" r="50000" b="5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20000">
                <a:schemeClr val="accent1">
                  <a:lumMod val="60000"/>
                  <a:lumOff val="4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86000">
                <a:schemeClr val="dk2">
                  <a:shade val="30000"/>
                  <a:satMod val="200000"/>
                </a:schemeClr>
              </a:gs>
            </a:gsLst>
            <a:path path="circle">
              <a:fillToRect l="50000" t="50000" r="50000" b="5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41268445689363"/>
          <c:y val="6.1734696357652913E-2"/>
          <c:w val="0.51995394740067558"/>
          <c:h val="0.8080709387783601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Sheet2!$P$230</c:f>
              <c:strCache>
                <c:ptCount val="1"/>
                <c:pt idx="0">
                  <c:v>Sum of Total_amount</c:v>
                </c:pt>
              </c:strCache>
            </c:strRef>
          </c:tx>
          <c:spPr>
            <a:gradFill>
              <a:gsLst>
                <a:gs pos="0">
                  <a:schemeClr val="dk2">
                    <a:tint val="80000"/>
                    <a:satMod val="300000"/>
                  </a:schemeClr>
                </a:gs>
                <a:gs pos="100000">
                  <a:schemeClr val="dk2">
                    <a:shade val="30000"/>
                    <a:satMod val="200000"/>
                  </a:schemeClr>
                </a:gs>
              </a:gsLst>
              <a:path path="circle">
                <a:fillToRect l="50000" t="50000" r="50000" b="50000"/>
              </a:path>
            </a:gradFill>
            <a:ln>
              <a:noFill/>
            </a:ln>
            <a:effectLst/>
          </c:spPr>
          <c:invertIfNegative val="0"/>
          <c:cat>
            <c:strRef>
              <c:f>Sheet2!$O$231:$O$242</c:f>
              <c:strCache>
                <c:ptCount val="11"/>
                <c:pt idx="0">
                  <c:v>Bakery</c:v>
                </c:pt>
                <c:pt idx="1">
                  <c:v>Beverages</c:v>
                </c:pt>
                <c:pt idx="2">
                  <c:v>Canned Goods</c:v>
                </c:pt>
                <c:pt idx="3">
                  <c:v>Dairy</c:v>
                </c:pt>
                <c:pt idx="4">
                  <c:v>Frozen Foods</c:v>
                </c:pt>
                <c:pt idx="5">
                  <c:v>Health &amp; Wellness</c:v>
                </c:pt>
                <c:pt idx="6">
                  <c:v>Household Items</c:v>
                </c:pt>
                <c:pt idx="7">
                  <c:v>Meat &amp; Seafood</c:v>
                </c:pt>
                <c:pt idx="8">
                  <c:v>Personal Care</c:v>
                </c:pt>
                <c:pt idx="9">
                  <c:v>Produce</c:v>
                </c:pt>
                <c:pt idx="10">
                  <c:v>Snacks &amp; Candy</c:v>
                </c:pt>
              </c:strCache>
            </c:strRef>
          </c:cat>
          <c:val>
            <c:numRef>
              <c:f>Sheet2!$P$231:$P$242</c:f>
              <c:numCache>
                <c:formatCode>General</c:formatCode>
                <c:ptCount val="11"/>
                <c:pt idx="0">
                  <c:v>690009.70999999973</c:v>
                </c:pt>
                <c:pt idx="1">
                  <c:v>726164.51</c:v>
                </c:pt>
                <c:pt idx="2">
                  <c:v>740159.97000000044</c:v>
                </c:pt>
                <c:pt idx="3">
                  <c:v>679347.52999999991</c:v>
                </c:pt>
                <c:pt idx="4">
                  <c:v>661768.95999999985</c:v>
                </c:pt>
                <c:pt idx="5">
                  <c:v>717057.75000000012</c:v>
                </c:pt>
                <c:pt idx="6">
                  <c:v>634806.40999999968</c:v>
                </c:pt>
                <c:pt idx="7">
                  <c:v>623435.40999999957</c:v>
                </c:pt>
                <c:pt idx="8">
                  <c:v>760354.69999999972</c:v>
                </c:pt>
                <c:pt idx="9">
                  <c:v>562334.13000000035</c:v>
                </c:pt>
                <c:pt idx="10">
                  <c:v>748190.21999999974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B-43D2-9418-F7E3543840C4}"/>
            </c:ext>
          </c:extLst>
        </c:ser>
        <c:ser>
          <c:idx val="1"/>
          <c:order val="1"/>
          <c:tx>
            <c:strRef>
              <c:f>Sheet2!$Q$230</c:f>
              <c:strCache>
                <c:ptCount val="1"/>
                <c:pt idx="0">
                  <c:v>Sum of Discount_amount</c:v>
                </c:pt>
              </c:strCache>
            </c:strRef>
          </c:tx>
          <c:spPr>
            <a:gradFill>
              <a:gsLst>
                <a:gs pos="20000">
                  <a:schemeClr val="accent1">
                    <a:lumMod val="60000"/>
                    <a:lumOff val="40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Sheet2!$O$231:$O$242</c:f>
              <c:strCache>
                <c:ptCount val="11"/>
                <c:pt idx="0">
                  <c:v>Bakery</c:v>
                </c:pt>
                <c:pt idx="1">
                  <c:v>Beverages</c:v>
                </c:pt>
                <c:pt idx="2">
                  <c:v>Canned Goods</c:v>
                </c:pt>
                <c:pt idx="3">
                  <c:v>Dairy</c:v>
                </c:pt>
                <c:pt idx="4">
                  <c:v>Frozen Foods</c:v>
                </c:pt>
                <c:pt idx="5">
                  <c:v>Health &amp; Wellness</c:v>
                </c:pt>
                <c:pt idx="6">
                  <c:v>Household Items</c:v>
                </c:pt>
                <c:pt idx="7">
                  <c:v>Meat &amp; Seafood</c:v>
                </c:pt>
                <c:pt idx="8">
                  <c:v>Personal Care</c:v>
                </c:pt>
                <c:pt idx="9">
                  <c:v>Produce</c:v>
                </c:pt>
                <c:pt idx="10">
                  <c:v>Snacks &amp; Candy</c:v>
                </c:pt>
              </c:strCache>
            </c:strRef>
          </c:cat>
          <c:val>
            <c:numRef>
              <c:f>Sheet2!$Q$231:$Q$242</c:f>
              <c:numCache>
                <c:formatCode>General</c:formatCode>
                <c:ptCount val="11"/>
                <c:pt idx="0">
                  <c:v>62425.959999999992</c:v>
                </c:pt>
                <c:pt idx="1">
                  <c:v>77083.760000000009</c:v>
                </c:pt>
                <c:pt idx="2">
                  <c:v>72293.830000000031</c:v>
                </c:pt>
                <c:pt idx="3">
                  <c:v>66541.929999999993</c:v>
                </c:pt>
                <c:pt idx="4">
                  <c:v>66007.41</c:v>
                </c:pt>
                <c:pt idx="5">
                  <c:v>60906.23000000001</c:v>
                </c:pt>
                <c:pt idx="6">
                  <c:v>62083.169999999984</c:v>
                </c:pt>
                <c:pt idx="7">
                  <c:v>59764.979999999989</c:v>
                </c:pt>
                <c:pt idx="8">
                  <c:v>72357.739999999991</c:v>
                </c:pt>
                <c:pt idx="9">
                  <c:v>56434.189999999973</c:v>
                </c:pt>
                <c:pt idx="10">
                  <c:v>78633.369999999981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9B-43D2-9418-F7E3543840C4}"/>
            </c:ext>
          </c:extLst>
        </c:ser>
        <c:ser>
          <c:idx val="2"/>
          <c:order val="2"/>
          <c:tx>
            <c:strRef>
              <c:f>Sheet2!$R$230</c:f>
              <c:strCache>
                <c:ptCount val="1"/>
                <c:pt idx="0">
                  <c:v>Sum of Final_amount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20000"/>
                    <a:lumOff val="80000"/>
                  </a:schemeClr>
                </a:gs>
                <a:gs pos="86000">
                  <a:schemeClr val="dk2">
                    <a:shade val="30000"/>
                    <a:satMod val="200000"/>
                  </a:schemeClr>
                </a:gs>
              </a:gsLst>
              <a:path path="circle">
                <a:fillToRect l="50000" t="50000" r="50000" b="50000"/>
              </a:path>
            </a:gradFill>
            <a:ln>
              <a:noFill/>
            </a:ln>
            <a:effectLst/>
          </c:spPr>
          <c:invertIfNegative val="0"/>
          <c:cat>
            <c:strRef>
              <c:f>Sheet2!$O$231:$O$242</c:f>
              <c:strCache>
                <c:ptCount val="11"/>
                <c:pt idx="0">
                  <c:v>Bakery</c:v>
                </c:pt>
                <c:pt idx="1">
                  <c:v>Beverages</c:v>
                </c:pt>
                <c:pt idx="2">
                  <c:v>Canned Goods</c:v>
                </c:pt>
                <c:pt idx="3">
                  <c:v>Dairy</c:v>
                </c:pt>
                <c:pt idx="4">
                  <c:v>Frozen Foods</c:v>
                </c:pt>
                <c:pt idx="5">
                  <c:v>Health &amp; Wellness</c:v>
                </c:pt>
                <c:pt idx="6">
                  <c:v>Household Items</c:v>
                </c:pt>
                <c:pt idx="7">
                  <c:v>Meat &amp; Seafood</c:v>
                </c:pt>
                <c:pt idx="8">
                  <c:v>Personal Care</c:v>
                </c:pt>
                <c:pt idx="9">
                  <c:v>Produce</c:v>
                </c:pt>
                <c:pt idx="10">
                  <c:v>Snacks &amp; Candy</c:v>
                </c:pt>
              </c:strCache>
            </c:strRef>
          </c:cat>
          <c:val>
            <c:numRef>
              <c:f>Sheet2!$R$231:$R$242</c:f>
              <c:numCache>
                <c:formatCode>General</c:formatCode>
                <c:ptCount val="11"/>
                <c:pt idx="0">
                  <c:v>627583.75</c:v>
                </c:pt>
                <c:pt idx="1">
                  <c:v>649080.74999999988</c:v>
                </c:pt>
                <c:pt idx="2">
                  <c:v>667866.1399999999</c:v>
                </c:pt>
                <c:pt idx="3">
                  <c:v>612805.59999999974</c:v>
                </c:pt>
                <c:pt idx="4">
                  <c:v>595761.55000000016</c:v>
                </c:pt>
                <c:pt idx="5">
                  <c:v>656151.51999999967</c:v>
                </c:pt>
                <c:pt idx="6">
                  <c:v>572723.24</c:v>
                </c:pt>
                <c:pt idx="7">
                  <c:v>563670.43000000005</c:v>
                </c:pt>
                <c:pt idx="8">
                  <c:v>687996.95999999961</c:v>
                </c:pt>
                <c:pt idx="9">
                  <c:v>505899.93999999971</c:v>
                </c:pt>
                <c:pt idx="10">
                  <c:v>669556.85000000021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9B-43D2-9418-F7E354384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9530511"/>
        <c:axId val="1089531471"/>
      </c:barChart>
      <c:catAx>
        <c:axId val="10895305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89531471"/>
        <c:crosses val="autoZero"/>
        <c:auto val="1"/>
        <c:lblAlgn val="ctr"/>
        <c:lblOffset val="100"/>
        <c:noMultiLvlLbl val="0"/>
      </c:catAx>
      <c:valAx>
        <c:axId val="108953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3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2000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[grocery_chain_dataset.xlsb.xlsx]Sheet2!PivotTable3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accent1">
                    <a:lumMod val="20000"/>
                    <a:lumOff val="80000"/>
                  </a:schemeClr>
                </a:solidFill>
              </a:rPr>
              <a:t>Product Sales</a:t>
            </a:r>
            <a:endParaRPr lang="en-US">
              <a:solidFill>
                <a:schemeClr val="accent1">
                  <a:lumMod val="20000"/>
                  <a:lumOff val="8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20000"/>
              <a:lumOff val="80000"/>
            </a:schemeClr>
          </a:solidFill>
          <a:ln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20000"/>
              <a:lumOff val="80000"/>
            </a:schemeClr>
          </a:solidFill>
          <a:ln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20000"/>
              <a:lumOff val="80000"/>
            </a:schemeClr>
          </a:solidFill>
          <a:ln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20000"/>
              <a:lumOff val="80000"/>
            </a:schemeClr>
          </a:solidFill>
          <a:ln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20000"/>
              <a:lumOff val="80000"/>
            </a:schemeClr>
          </a:solidFill>
          <a:ln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20000"/>
              <a:lumOff val="80000"/>
            </a:schemeClr>
          </a:solidFill>
          <a:ln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16271140049182E-2"/>
          <c:y val="0.22173365769708017"/>
          <c:w val="0.87007876432287845"/>
          <c:h val="0.62283158630065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Sheet2!$P$208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cat>
            <c:strRef>
              <c:f>Sheet2!$O$209:$O$227</c:f>
              <c:strCache>
                <c:ptCount val="18"/>
                <c:pt idx="0">
                  <c:v>Apples</c:v>
                </c:pt>
                <c:pt idx="1">
                  <c:v>Bananas</c:v>
                </c:pt>
                <c:pt idx="2">
                  <c:v>Bread</c:v>
                </c:pt>
                <c:pt idx="3">
                  <c:v>Carrots</c:v>
                </c:pt>
                <c:pt idx="4">
                  <c:v>Cereal</c:v>
                </c:pt>
                <c:pt idx="5">
                  <c:v>Cheese</c:v>
                </c:pt>
                <c:pt idx="6">
                  <c:v>Chicken Breast</c:v>
                </c:pt>
                <c:pt idx="7">
                  <c:v>Eggs</c:v>
                </c:pt>
                <c:pt idx="8">
                  <c:v>Ground Beef</c:v>
                </c:pt>
                <c:pt idx="9">
                  <c:v>Milk</c:v>
                </c:pt>
                <c:pt idx="10">
                  <c:v>Onions</c:v>
                </c:pt>
                <c:pt idx="11">
                  <c:v>Orange Juice</c:v>
                </c:pt>
                <c:pt idx="12">
                  <c:v>Pasta</c:v>
                </c:pt>
                <c:pt idx="13">
                  <c:v>Potatoes</c:v>
                </c:pt>
                <c:pt idx="14">
                  <c:v>Rice</c:v>
                </c:pt>
                <c:pt idx="15">
                  <c:v>Salmon</c:v>
                </c:pt>
                <c:pt idx="16">
                  <c:v>Tomatoes</c:v>
                </c:pt>
                <c:pt idx="17">
                  <c:v>Yogurt</c:v>
                </c:pt>
              </c:strCache>
            </c:strRef>
          </c:cat>
          <c:val>
            <c:numRef>
              <c:f>Sheet2!$P$209:$P$227</c:f>
              <c:numCache>
                <c:formatCode>General</c:formatCode>
                <c:ptCount val="18"/>
                <c:pt idx="0">
                  <c:v>378118.12000000005</c:v>
                </c:pt>
                <c:pt idx="1">
                  <c:v>390993.07999999978</c:v>
                </c:pt>
                <c:pt idx="2">
                  <c:v>443996.88000000024</c:v>
                </c:pt>
                <c:pt idx="3">
                  <c:v>279236.07</c:v>
                </c:pt>
                <c:pt idx="4">
                  <c:v>389386.20000000019</c:v>
                </c:pt>
                <c:pt idx="5">
                  <c:v>346931.7</c:v>
                </c:pt>
                <c:pt idx="6">
                  <c:v>429349.04000000021</c:v>
                </c:pt>
                <c:pt idx="7">
                  <c:v>400523.97000000003</c:v>
                </c:pt>
                <c:pt idx="8">
                  <c:v>304715.41000000009</c:v>
                </c:pt>
                <c:pt idx="9">
                  <c:v>317959.71999999991</c:v>
                </c:pt>
                <c:pt idx="10">
                  <c:v>382775.25</c:v>
                </c:pt>
                <c:pt idx="11">
                  <c:v>381894.61999999988</c:v>
                </c:pt>
                <c:pt idx="12">
                  <c:v>383936.41999999981</c:v>
                </c:pt>
                <c:pt idx="13">
                  <c:v>440418.75000000006</c:v>
                </c:pt>
                <c:pt idx="14">
                  <c:v>363741.68999999989</c:v>
                </c:pt>
                <c:pt idx="15">
                  <c:v>366470.72999999986</c:v>
                </c:pt>
                <c:pt idx="16">
                  <c:v>446681.93</c:v>
                </c:pt>
                <c:pt idx="17">
                  <c:v>361967.14999999997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29-41EE-94E0-B073351D3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6484783"/>
        <c:axId val="1986489103"/>
      </c:barChart>
      <c:catAx>
        <c:axId val="19864847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86489103"/>
        <c:crosses val="autoZero"/>
        <c:auto val="1"/>
        <c:lblAlgn val="ctr"/>
        <c:lblOffset val="100"/>
        <c:noMultiLvlLbl val="0"/>
      </c:catAx>
      <c:valAx>
        <c:axId val="19864891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8648478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gradFill>
      <a:gsLst>
        <a:gs pos="0">
          <a:schemeClr val="accent1">
            <a:lumMod val="60000"/>
            <a:lumOff val="40000"/>
          </a:schemeClr>
        </a:gs>
        <a:gs pos="80000">
          <a:schemeClr val="accent1">
            <a:shade val="93000"/>
            <a:satMod val="130000"/>
          </a:schemeClr>
        </a:gs>
        <a:gs pos="100000">
          <a:schemeClr val="accent1">
            <a:shade val="94000"/>
            <a:satMod val="135000"/>
          </a:schemeClr>
        </a:gs>
      </a:gsLst>
      <a:lin ang="162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chart" Target="../charts/chart10.xml"/><Relationship Id="rId3" Type="http://schemas.openxmlformats.org/officeDocument/2006/relationships/image" Target="../media/image3.emf"/><Relationship Id="rId21" Type="http://schemas.openxmlformats.org/officeDocument/2006/relationships/image" Target="../media/image16.sv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chart" Target="../charts/chart9.xml"/><Relationship Id="rId2" Type="http://schemas.openxmlformats.org/officeDocument/2006/relationships/image" Target="../media/image2.emf"/><Relationship Id="rId16" Type="http://schemas.openxmlformats.org/officeDocument/2006/relationships/chart" Target="../charts/chart8.xml"/><Relationship Id="rId20" Type="http://schemas.openxmlformats.org/officeDocument/2006/relationships/image" Target="../media/image15.png"/><Relationship Id="rId1" Type="http://schemas.openxmlformats.org/officeDocument/2006/relationships/image" Target="../media/image1.emf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chart" Target="../charts/chart7.xml"/><Relationship Id="rId10" Type="http://schemas.openxmlformats.org/officeDocument/2006/relationships/image" Target="../media/image10.svg"/><Relationship Id="rId19" Type="http://schemas.openxmlformats.org/officeDocument/2006/relationships/chart" Target="../charts/chart11.xml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1</xdr:row>
      <xdr:rowOff>3175</xdr:rowOff>
    </xdr:from>
    <xdr:to>
      <xdr:col>8</xdr:col>
      <xdr:colOff>444500</xdr:colOff>
      <xdr:row>12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65349E-2A7B-ED97-3075-974DB8960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434975</xdr:colOff>
      <xdr:row>13</xdr:row>
      <xdr:rowOff>98425</xdr:rowOff>
    </xdr:from>
    <xdr:to>
      <xdr:col>7</xdr:col>
      <xdr:colOff>431800</xdr:colOff>
      <xdr:row>26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8BFCFE-0387-BB1B-9439-6F123EB9A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438150</xdr:colOff>
      <xdr:row>9</xdr:row>
      <xdr:rowOff>53975</xdr:rowOff>
    </xdr:from>
    <xdr:to>
      <xdr:col>21</xdr:col>
      <xdr:colOff>133350</xdr:colOff>
      <xdr:row>24</xdr:row>
      <xdr:rowOff>34925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13AE51-07FA-71C9-892A-7F8145ACD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88900</xdr:colOff>
      <xdr:row>186</xdr:row>
      <xdr:rowOff>142875</xdr:rowOff>
    </xdr:from>
    <xdr:to>
      <xdr:col>18</xdr:col>
      <xdr:colOff>190500</xdr:colOff>
      <xdr:row>201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98D51B-BDDC-F8F8-1B05-07AC1A7E1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352425</xdr:colOff>
      <xdr:row>244</xdr:row>
      <xdr:rowOff>85725</xdr:rowOff>
    </xdr:from>
    <xdr:to>
      <xdr:col>18</xdr:col>
      <xdr:colOff>447675</xdr:colOff>
      <xdr:row>259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D33914C-0050-E3B2-0DB6-419E41F92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625475</xdr:colOff>
      <xdr:row>207</xdr:row>
      <xdr:rowOff>111125</xdr:rowOff>
    </xdr:from>
    <xdr:to>
      <xdr:col>22</xdr:col>
      <xdr:colOff>511175</xdr:colOff>
      <xdr:row>222</xdr:row>
      <xdr:rowOff>92075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65FE3A5-4B03-B2AB-B4DE-397757500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169149</xdr:rowOff>
    </xdr:from>
    <xdr:to>
      <xdr:col>22</xdr:col>
      <xdr:colOff>601041</xdr:colOff>
      <xdr:row>38</xdr:row>
      <xdr:rowOff>143841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791590F-9091-41CA-41F2-C0CA0C4DD5E8}"/>
            </a:ext>
          </a:extLst>
        </xdr:cNvPr>
        <xdr:cNvSpPr/>
      </xdr:nvSpPr>
      <xdr:spPr>
        <a:xfrm>
          <a:off x="0" y="723331"/>
          <a:ext cx="14063041" cy="6636419"/>
        </a:xfrm>
        <a:prstGeom prst="rect">
          <a:avLst/>
        </a:prstGeom>
        <a:gradFill>
          <a:gsLst>
            <a:gs pos="20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1">
                <a:lumMod val="20000"/>
                <a:lumOff val="80000"/>
                <a:alpha val="80000"/>
              </a:schemeClr>
            </a:solidFill>
          </a:endParaRPr>
        </a:p>
      </xdr:txBody>
    </xdr:sp>
    <xdr:clientData/>
  </xdr:twoCellAnchor>
  <xdr:twoCellAnchor>
    <xdr:from>
      <xdr:col>2</xdr:col>
      <xdr:colOff>404927</xdr:colOff>
      <xdr:row>4</xdr:row>
      <xdr:rowOff>55217</xdr:rowOff>
    </xdr:from>
    <xdr:to>
      <xdr:col>20</xdr:col>
      <xdr:colOff>110435</xdr:colOff>
      <xdr:row>7</xdr:row>
      <xdr:rowOff>73623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9D51681-0DE2-7684-8333-0ABBFBC14824}"/>
            </a:ext>
          </a:extLst>
        </xdr:cNvPr>
        <xdr:cNvSpPr/>
      </xdr:nvSpPr>
      <xdr:spPr>
        <a:xfrm>
          <a:off x="1619710" y="791449"/>
          <a:ext cx="10638551" cy="635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>
              <a:solidFill>
                <a:schemeClr val="tx2">
                  <a:lumMod val="20000"/>
                  <a:lumOff val="8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Grocery Mart</a:t>
          </a:r>
          <a:r>
            <a:rPr lang="en-US" sz="2800" baseline="0">
              <a:solidFill>
                <a:schemeClr val="tx2">
                  <a:lumMod val="20000"/>
                  <a:lumOff val="8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Sales Analysis</a:t>
          </a:r>
          <a:endParaRPr lang="en-US" sz="2800">
            <a:solidFill>
              <a:schemeClr val="tx2">
                <a:lumMod val="20000"/>
                <a:lumOff val="8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464760</xdr:colOff>
      <xdr:row>7</xdr:row>
      <xdr:rowOff>165232</xdr:rowOff>
    </xdr:from>
    <xdr:to>
      <xdr:col>5</xdr:col>
      <xdr:colOff>487754</xdr:colOff>
      <xdr:row>13</xdr:row>
      <xdr:rowOff>27609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9B00DFD-E40A-4C83-8A42-6C39786FA500}"/>
            </a:ext>
          </a:extLst>
        </xdr:cNvPr>
        <xdr:cNvSpPr/>
      </xdr:nvSpPr>
      <xdr:spPr>
        <a:xfrm>
          <a:off x="1679543" y="1518058"/>
          <a:ext cx="1845168" cy="1021942"/>
        </a:xfrm>
        <a:prstGeom prst="rect">
          <a:avLst/>
        </a:prstGeom>
        <a:gradFill>
          <a:gsLst>
            <a:gs pos="0">
              <a:schemeClr val="dk2">
                <a:tint val="80000"/>
                <a:satMod val="300000"/>
              </a:schemeClr>
            </a:gs>
            <a:gs pos="100000">
              <a:schemeClr val="dk2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>
              <a:solidFill>
                <a:schemeClr val="tx2">
                  <a:lumMod val="20000"/>
                  <a:lumOff val="8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</a:t>
          </a:r>
          <a:r>
            <a:rPr lang="en-US" sz="1800" baseline="0">
              <a:solidFill>
                <a:schemeClr val="tx2">
                  <a:lumMod val="20000"/>
                  <a:lumOff val="8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Sales</a:t>
          </a:r>
          <a:endParaRPr lang="en-US" sz="1800">
            <a:solidFill>
              <a:schemeClr val="tx2">
                <a:lumMod val="20000"/>
                <a:lumOff val="8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110436</xdr:colOff>
      <xdr:row>4</xdr:row>
      <xdr:rowOff>55217</xdr:rowOff>
    </xdr:from>
    <xdr:to>
      <xdr:col>2</xdr:col>
      <xdr:colOff>294492</xdr:colOff>
      <xdr:row>12</xdr:row>
      <xdr:rowOff>119638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6DD71D4-89A8-4574-975E-47DD2ABE35B6}"/>
            </a:ext>
          </a:extLst>
        </xdr:cNvPr>
        <xdr:cNvSpPr/>
      </xdr:nvSpPr>
      <xdr:spPr>
        <a:xfrm>
          <a:off x="110436" y="791449"/>
          <a:ext cx="1398839" cy="16473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800">
            <a:solidFill>
              <a:schemeClr val="tx2">
                <a:lumMod val="20000"/>
                <a:lumOff val="8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184059</xdr:colOff>
      <xdr:row>4</xdr:row>
      <xdr:rowOff>53512</xdr:rowOff>
    </xdr:from>
    <xdr:to>
      <xdr:col>2</xdr:col>
      <xdr:colOff>248478</xdr:colOff>
      <xdr:row>12</xdr:row>
      <xdr:rowOff>57565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5B5BA91-81AD-F551-C948-FEFC556D6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059" y="789744"/>
          <a:ext cx="1279202" cy="1586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119641</xdr:colOff>
      <xdr:row>12</xdr:row>
      <xdr:rowOff>165654</xdr:rowOff>
    </xdr:from>
    <xdr:to>
      <xdr:col>2</xdr:col>
      <xdr:colOff>303696</xdr:colOff>
      <xdr:row>22</xdr:row>
      <xdr:rowOff>64421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55D7FE6C-452D-4F41-85D7-EF3B631B0ECE}"/>
            </a:ext>
          </a:extLst>
        </xdr:cNvPr>
        <xdr:cNvSpPr/>
      </xdr:nvSpPr>
      <xdr:spPr>
        <a:xfrm>
          <a:off x="119641" y="2484784"/>
          <a:ext cx="1398838" cy="180376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800">
            <a:solidFill>
              <a:schemeClr val="tx2">
                <a:lumMod val="20000"/>
                <a:lumOff val="8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202464</xdr:colOff>
      <xdr:row>12</xdr:row>
      <xdr:rowOff>186706</xdr:rowOff>
    </xdr:from>
    <xdr:to>
      <xdr:col>2</xdr:col>
      <xdr:colOff>239274</xdr:colOff>
      <xdr:row>22</xdr:row>
      <xdr:rowOff>55218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037D3AA-3AC3-FDEC-8D1B-06D17531C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464" y="2505836"/>
          <a:ext cx="1251593" cy="1773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119639</xdr:colOff>
      <xdr:row>22</xdr:row>
      <xdr:rowOff>119639</xdr:rowOff>
    </xdr:from>
    <xdr:to>
      <xdr:col>2</xdr:col>
      <xdr:colOff>312898</xdr:colOff>
      <xdr:row>38</xdr:row>
      <xdr:rowOff>82827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E21D753-E917-4775-88CD-0350A7126547}"/>
            </a:ext>
          </a:extLst>
        </xdr:cNvPr>
        <xdr:cNvSpPr/>
      </xdr:nvSpPr>
      <xdr:spPr>
        <a:xfrm>
          <a:off x="119639" y="4343769"/>
          <a:ext cx="1408042" cy="29081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800">
            <a:solidFill>
              <a:schemeClr val="tx2">
                <a:lumMod val="20000"/>
                <a:lumOff val="8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202465</xdr:colOff>
      <xdr:row>23</xdr:row>
      <xdr:rowOff>1</xdr:rowOff>
    </xdr:from>
    <xdr:to>
      <xdr:col>2</xdr:col>
      <xdr:colOff>248478</xdr:colOff>
      <xdr:row>38</xdr:row>
      <xdr:rowOff>18406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BE8E853-6545-FC88-44E0-86098A68E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465" y="4408189"/>
          <a:ext cx="1260796" cy="2779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220870</xdr:colOff>
      <xdr:row>4</xdr:row>
      <xdr:rowOff>18406</xdr:rowOff>
    </xdr:from>
    <xdr:to>
      <xdr:col>22</xdr:col>
      <xdr:colOff>515361</xdr:colOff>
      <xdr:row>13</xdr:row>
      <xdr:rowOff>55218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4EE4B944-B713-4691-9EBA-7A2192DD89EC}"/>
            </a:ext>
          </a:extLst>
        </xdr:cNvPr>
        <xdr:cNvSpPr/>
      </xdr:nvSpPr>
      <xdr:spPr>
        <a:xfrm>
          <a:off x="12368696" y="754638"/>
          <a:ext cx="1509274" cy="181297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800">
            <a:solidFill>
              <a:schemeClr val="tx2">
                <a:lumMod val="20000"/>
                <a:lumOff val="8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533769</xdr:colOff>
      <xdr:row>7</xdr:row>
      <xdr:rowOff>169149</xdr:rowOff>
    </xdr:from>
    <xdr:to>
      <xdr:col>19</xdr:col>
      <xdr:colOff>556763</xdr:colOff>
      <xdr:row>13</xdr:row>
      <xdr:rowOff>31526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2BA478C1-D9E0-4629-B6EB-787B166CBB1E}"/>
            </a:ext>
          </a:extLst>
        </xdr:cNvPr>
        <xdr:cNvSpPr/>
      </xdr:nvSpPr>
      <xdr:spPr>
        <a:xfrm>
          <a:off x="10252030" y="1521975"/>
          <a:ext cx="1845168" cy="1021942"/>
        </a:xfrm>
        <a:prstGeom prst="rect">
          <a:avLst/>
        </a:prstGeom>
        <a:gradFill>
          <a:gsLst>
            <a:gs pos="0">
              <a:schemeClr val="dk2">
                <a:tint val="80000"/>
                <a:satMod val="300000"/>
              </a:schemeClr>
            </a:gs>
            <a:gs pos="100000">
              <a:schemeClr val="dk2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>
              <a:solidFill>
                <a:schemeClr val="tx2">
                  <a:lumMod val="20000"/>
                  <a:lumOff val="8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</a:t>
          </a:r>
          <a:r>
            <a:rPr lang="en-US" sz="1800" baseline="0">
              <a:solidFill>
                <a:schemeClr val="tx2">
                  <a:lumMod val="20000"/>
                  <a:lumOff val="8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Rating</a:t>
          </a:r>
          <a:endParaRPr lang="en-US" sz="1800">
            <a:solidFill>
              <a:schemeClr val="tx2">
                <a:lumMod val="20000"/>
                <a:lumOff val="8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207617</xdr:colOff>
      <xdr:row>7</xdr:row>
      <xdr:rowOff>174303</xdr:rowOff>
    </xdr:from>
    <xdr:to>
      <xdr:col>16</xdr:col>
      <xdr:colOff>230611</xdr:colOff>
      <xdr:row>13</xdr:row>
      <xdr:rowOff>36680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4C6E212-DE47-4CAB-A17A-7D150CAE700C}"/>
            </a:ext>
          </a:extLst>
        </xdr:cNvPr>
        <xdr:cNvSpPr/>
      </xdr:nvSpPr>
      <xdr:spPr>
        <a:xfrm>
          <a:off x="8103704" y="1527129"/>
          <a:ext cx="1845168" cy="1021942"/>
        </a:xfrm>
        <a:prstGeom prst="rect">
          <a:avLst/>
        </a:prstGeom>
        <a:gradFill>
          <a:gsLst>
            <a:gs pos="0">
              <a:schemeClr val="dk2">
                <a:tint val="80000"/>
                <a:satMod val="300000"/>
              </a:schemeClr>
            </a:gs>
            <a:gs pos="100000">
              <a:schemeClr val="dk2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>
              <a:solidFill>
                <a:schemeClr val="tx2">
                  <a:lumMod val="20000"/>
                  <a:lumOff val="8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</a:t>
          </a:r>
          <a:r>
            <a:rPr lang="en-US" sz="1800" baseline="0">
              <a:solidFill>
                <a:schemeClr val="tx2">
                  <a:lumMod val="20000"/>
                  <a:lumOff val="8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Profit</a:t>
          </a:r>
          <a:endParaRPr lang="en-US" sz="1800">
            <a:solidFill>
              <a:schemeClr val="tx2">
                <a:lumMod val="20000"/>
                <a:lumOff val="8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498059</xdr:colOff>
      <xdr:row>7</xdr:row>
      <xdr:rowOff>170254</xdr:rowOff>
    </xdr:from>
    <xdr:to>
      <xdr:col>12</xdr:col>
      <xdr:colOff>521053</xdr:colOff>
      <xdr:row>13</xdr:row>
      <xdr:rowOff>32631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19CF3961-0D03-462F-B50C-9ABA7A14BFC4}"/>
            </a:ext>
          </a:extLst>
        </xdr:cNvPr>
        <xdr:cNvSpPr/>
      </xdr:nvSpPr>
      <xdr:spPr>
        <a:xfrm>
          <a:off x="5964581" y="1523080"/>
          <a:ext cx="1845168" cy="1021942"/>
        </a:xfrm>
        <a:prstGeom prst="rect">
          <a:avLst/>
        </a:prstGeom>
        <a:gradFill>
          <a:gsLst>
            <a:gs pos="0">
              <a:schemeClr val="dk2">
                <a:tint val="80000"/>
                <a:satMod val="300000"/>
              </a:schemeClr>
            </a:gs>
            <a:gs pos="100000">
              <a:schemeClr val="dk2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>
              <a:solidFill>
                <a:schemeClr val="tx2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Total</a:t>
          </a:r>
          <a:r>
            <a:rPr lang="en-US" sz="1800" baseline="0">
              <a:solidFill>
                <a:schemeClr val="tx2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Discount</a:t>
          </a:r>
          <a:endParaRPr lang="en-US" sz="1800">
            <a:solidFill>
              <a:schemeClr val="tx2">
                <a:lumMod val="20000"/>
                <a:lumOff val="80000"/>
              </a:schemeClr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190315</xdr:colOff>
      <xdr:row>7</xdr:row>
      <xdr:rowOff>184610</xdr:rowOff>
    </xdr:from>
    <xdr:to>
      <xdr:col>9</xdr:col>
      <xdr:colOff>213309</xdr:colOff>
      <xdr:row>13</xdr:row>
      <xdr:rowOff>46987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E37ECB7-4877-43D7-B8D2-5A8B4237D29B}"/>
            </a:ext>
          </a:extLst>
        </xdr:cNvPr>
        <xdr:cNvSpPr/>
      </xdr:nvSpPr>
      <xdr:spPr>
        <a:xfrm>
          <a:off x="3834663" y="1537436"/>
          <a:ext cx="1845168" cy="1021942"/>
        </a:xfrm>
        <a:prstGeom prst="rect">
          <a:avLst/>
        </a:prstGeom>
        <a:gradFill>
          <a:gsLst>
            <a:gs pos="0">
              <a:schemeClr val="dk2">
                <a:tint val="80000"/>
                <a:satMod val="300000"/>
              </a:schemeClr>
            </a:gs>
            <a:gs pos="100000">
              <a:schemeClr val="dk2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>
              <a:solidFill>
                <a:schemeClr val="tx2">
                  <a:lumMod val="20000"/>
                  <a:lumOff val="8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</a:t>
          </a:r>
          <a:r>
            <a:rPr lang="en-US" sz="1800" baseline="0">
              <a:solidFill>
                <a:schemeClr val="tx2">
                  <a:lumMod val="20000"/>
                  <a:lumOff val="8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Purchase</a:t>
          </a:r>
          <a:endParaRPr lang="en-US" sz="1800">
            <a:solidFill>
              <a:schemeClr val="tx2">
                <a:lumMod val="20000"/>
                <a:lumOff val="8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20</xdr:col>
      <xdr:colOff>441740</xdr:colOff>
      <xdr:row>4</xdr:row>
      <xdr:rowOff>33621</xdr:rowOff>
    </xdr:from>
    <xdr:to>
      <xdr:col>22</xdr:col>
      <xdr:colOff>349711</xdr:colOff>
      <xdr:row>13</xdr:row>
      <xdr:rowOff>6493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C920F60B-9107-284F-E8A7-021DE21D6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89566" y="769853"/>
          <a:ext cx="1122754" cy="1749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18406</xdr:colOff>
      <xdr:row>9</xdr:row>
      <xdr:rowOff>36811</xdr:rowOff>
    </xdr:from>
    <xdr:to>
      <xdr:col>9</xdr:col>
      <xdr:colOff>138043</xdr:colOff>
      <xdr:row>12</xdr:row>
      <xdr:rowOff>184058</xdr:rowOff>
    </xdr:to>
    <xdr:pic>
      <xdr:nvPicPr>
        <xdr:cNvPr id="47" name="Graphic 46" descr="Receipt outline">
          <a:extLst>
            <a:ext uri="{FF2B5EF4-FFF2-40B4-BE49-F238E27FC236}">
              <a16:creationId xmlns:a16="http://schemas.microsoft.com/office/drawing/2014/main" id="{9F67A4A2-57EA-BF95-9E88-E8BBF902D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877536" y="1776159"/>
          <a:ext cx="727029" cy="727029"/>
        </a:xfrm>
        <a:prstGeom prst="rect">
          <a:avLst/>
        </a:prstGeom>
      </xdr:spPr>
    </xdr:pic>
    <xdr:clientData/>
  </xdr:twoCellAnchor>
  <xdr:oneCellAnchor>
    <xdr:from>
      <xdr:col>6</xdr:col>
      <xdr:colOff>542971</xdr:colOff>
      <xdr:row>10</xdr:row>
      <xdr:rowOff>92028</xdr:rowOff>
    </xdr:from>
    <xdr:ext cx="492443" cy="269304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D8A05D9-0F5A-9344-2199-C9651E0EB746}"/>
            </a:ext>
          </a:extLst>
        </xdr:cNvPr>
        <xdr:cNvSpPr txBox="1"/>
      </xdr:nvSpPr>
      <xdr:spPr>
        <a:xfrm>
          <a:off x="4187319" y="2024637"/>
          <a:ext cx="492443" cy="269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chemeClr val="tx2">
                  <a:lumMod val="20000"/>
                  <a:lumOff val="8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5877</a:t>
          </a:r>
        </a:p>
      </xdr:txBody>
    </xdr:sp>
    <xdr:clientData/>
  </xdr:oneCellAnchor>
  <xdr:twoCellAnchor editAs="oneCell">
    <xdr:from>
      <xdr:col>4</xdr:col>
      <xdr:colOff>312899</xdr:colOff>
      <xdr:row>9</xdr:row>
      <xdr:rowOff>27609</xdr:rowOff>
    </xdr:from>
    <xdr:to>
      <xdr:col>5</xdr:col>
      <xdr:colOff>515362</xdr:colOff>
      <xdr:row>13</xdr:row>
      <xdr:rowOff>64421</xdr:rowOff>
    </xdr:to>
    <xdr:pic>
      <xdr:nvPicPr>
        <xdr:cNvPr id="50" name="Graphic 49" descr="Bar chart with solid fill">
          <a:extLst>
            <a:ext uri="{FF2B5EF4-FFF2-40B4-BE49-F238E27FC236}">
              <a16:creationId xmlns:a16="http://schemas.microsoft.com/office/drawing/2014/main" id="{BE899F89-7CD5-35A2-5F24-7D21C5463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742464" y="1766957"/>
          <a:ext cx="809855" cy="809855"/>
        </a:xfrm>
        <a:prstGeom prst="rect">
          <a:avLst/>
        </a:prstGeom>
      </xdr:spPr>
    </xdr:pic>
    <xdr:clientData/>
  </xdr:twoCellAnchor>
  <xdr:oneCellAnchor>
    <xdr:from>
      <xdr:col>11</xdr:col>
      <xdr:colOff>542971</xdr:colOff>
      <xdr:row>11</xdr:row>
      <xdr:rowOff>101231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3843700-8234-A6E9-9B18-4E4409E47FE7}"/>
            </a:ext>
          </a:extLst>
        </xdr:cNvPr>
        <xdr:cNvSpPr txBox="1"/>
      </xdr:nvSpPr>
      <xdr:spPr>
        <a:xfrm>
          <a:off x="7224275" y="22271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18</xdr:col>
      <xdr:colOff>331305</xdr:colOff>
      <xdr:row>9</xdr:row>
      <xdr:rowOff>9203</xdr:rowOff>
    </xdr:from>
    <xdr:to>
      <xdr:col>19</xdr:col>
      <xdr:colOff>460145</xdr:colOff>
      <xdr:row>12</xdr:row>
      <xdr:rowOff>165653</xdr:rowOff>
    </xdr:to>
    <xdr:pic>
      <xdr:nvPicPr>
        <xdr:cNvPr id="53" name="Graphic 52" descr="Rating Star with solid fill">
          <a:extLst>
            <a:ext uri="{FF2B5EF4-FFF2-40B4-BE49-F238E27FC236}">
              <a16:creationId xmlns:a16="http://schemas.microsoft.com/office/drawing/2014/main" id="{C81E65F4-5581-94AB-D37F-ED8EE1E69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1264348" y="1748551"/>
          <a:ext cx="736232" cy="736232"/>
        </a:xfrm>
        <a:prstGeom prst="rect">
          <a:avLst/>
        </a:prstGeom>
      </xdr:spPr>
    </xdr:pic>
    <xdr:clientData/>
  </xdr:twoCellAnchor>
  <xdr:twoCellAnchor editAs="oneCell">
    <xdr:from>
      <xdr:col>11</xdr:col>
      <xdr:colOff>444494</xdr:colOff>
      <xdr:row>9</xdr:row>
      <xdr:rowOff>85581</xdr:rowOff>
    </xdr:from>
    <xdr:to>
      <xdr:col>12</xdr:col>
      <xdr:colOff>515362</xdr:colOff>
      <xdr:row>12</xdr:row>
      <xdr:rowOff>184059</xdr:rowOff>
    </xdr:to>
    <xdr:pic>
      <xdr:nvPicPr>
        <xdr:cNvPr id="55" name="Graphic 54" descr="Chocolate with solid fill">
          <a:extLst>
            <a:ext uri="{FF2B5EF4-FFF2-40B4-BE49-F238E27FC236}">
              <a16:creationId xmlns:a16="http://schemas.microsoft.com/office/drawing/2014/main" id="{48EC66DD-8DDE-662C-5956-217CA0F19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125798" y="1824929"/>
          <a:ext cx="678260" cy="678260"/>
        </a:xfrm>
        <a:prstGeom prst="rect">
          <a:avLst/>
        </a:prstGeom>
      </xdr:spPr>
    </xdr:pic>
    <xdr:clientData/>
  </xdr:twoCellAnchor>
  <xdr:twoCellAnchor editAs="oneCell">
    <xdr:from>
      <xdr:col>15</xdr:col>
      <xdr:colOff>82826</xdr:colOff>
      <xdr:row>9</xdr:row>
      <xdr:rowOff>27608</xdr:rowOff>
    </xdr:from>
    <xdr:to>
      <xdr:col>16</xdr:col>
      <xdr:colOff>220869</xdr:colOff>
      <xdr:row>12</xdr:row>
      <xdr:rowOff>193260</xdr:rowOff>
    </xdr:to>
    <xdr:pic>
      <xdr:nvPicPr>
        <xdr:cNvPr id="57" name="Graphic 56" descr="Money with solid fill">
          <a:extLst>
            <a:ext uri="{FF2B5EF4-FFF2-40B4-BE49-F238E27FC236}">
              <a16:creationId xmlns:a16="http://schemas.microsoft.com/office/drawing/2014/main" id="{CAE84900-38A1-E1CA-74B7-11FF5CCA3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9193696" y="1766956"/>
          <a:ext cx="745434" cy="745434"/>
        </a:xfrm>
        <a:prstGeom prst="rect">
          <a:avLst/>
        </a:prstGeom>
      </xdr:spPr>
    </xdr:pic>
    <xdr:clientData/>
  </xdr:twoCellAnchor>
  <xdr:oneCellAnchor>
    <xdr:from>
      <xdr:col>3</xdr:col>
      <xdr:colOff>18405</xdr:colOff>
      <xdr:row>10</xdr:row>
      <xdr:rowOff>9203</xdr:rowOff>
    </xdr:from>
    <xdr:ext cx="1021433" cy="446276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7A9DBE4-080D-C125-FC09-FECA39F8C30F}"/>
            </a:ext>
          </a:extLst>
        </xdr:cNvPr>
        <xdr:cNvSpPr txBox="1"/>
      </xdr:nvSpPr>
      <xdr:spPr>
        <a:xfrm>
          <a:off x="1840579" y="1941812"/>
          <a:ext cx="1021433" cy="446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tx2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₹ </a:t>
          </a:r>
          <a:r>
            <a:rPr lang="en-US" sz="1200" b="1" i="0" baseline="0">
              <a:solidFill>
                <a:schemeClr val="tx2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6809096.73</a:t>
          </a:r>
          <a:endParaRPr lang="en-US" sz="1200" b="1">
            <a:solidFill>
              <a:schemeClr val="tx2">
                <a:lumMod val="20000"/>
                <a:lumOff val="80000"/>
              </a:schemeClr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1200">
            <a:solidFill>
              <a:schemeClr val="tx2">
                <a:lumMod val="20000"/>
                <a:lumOff val="8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10</xdr:col>
      <xdr:colOff>101232</xdr:colOff>
      <xdr:row>10</xdr:row>
      <xdr:rowOff>119637</xdr:rowOff>
    </xdr:from>
    <xdr:ext cx="954107" cy="269304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29BFE48-4BE4-40F2-4DD8-0D12CDB2A192}"/>
            </a:ext>
          </a:extLst>
        </xdr:cNvPr>
        <xdr:cNvSpPr txBox="1"/>
      </xdr:nvSpPr>
      <xdr:spPr>
        <a:xfrm>
          <a:off x="6175145" y="2052246"/>
          <a:ext cx="954107" cy="269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chemeClr val="tx2">
                  <a:lumMod val="20000"/>
                  <a:lumOff val="8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₹</a:t>
          </a:r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200" b="1">
              <a:solidFill>
                <a:schemeClr val="tx2">
                  <a:lumMod val="20000"/>
                  <a:lumOff val="8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734532.57</a:t>
          </a:r>
        </a:p>
      </xdr:txBody>
    </xdr:sp>
    <xdr:clientData/>
  </xdr:oneCellAnchor>
  <xdr:oneCellAnchor>
    <xdr:from>
      <xdr:col>13</xdr:col>
      <xdr:colOff>285289</xdr:colOff>
      <xdr:row>10</xdr:row>
      <xdr:rowOff>128840</xdr:rowOff>
    </xdr:from>
    <xdr:ext cx="1031051" cy="269304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AF2C994-2F1C-72B4-9087-BC676648A1BA}"/>
            </a:ext>
          </a:extLst>
        </xdr:cNvPr>
        <xdr:cNvSpPr txBox="1"/>
      </xdr:nvSpPr>
      <xdr:spPr>
        <a:xfrm>
          <a:off x="8181376" y="2061449"/>
          <a:ext cx="1031051" cy="269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chemeClr val="tx2">
                  <a:lumMod val="20000"/>
                  <a:lumOff val="8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₹ 1518641.04</a:t>
          </a:r>
        </a:p>
      </xdr:txBody>
    </xdr:sp>
    <xdr:clientData/>
  </xdr:oneCellAnchor>
  <xdr:oneCellAnchor>
    <xdr:from>
      <xdr:col>17</xdr:col>
      <xdr:colOff>386521</xdr:colOff>
      <xdr:row>10</xdr:row>
      <xdr:rowOff>101232</xdr:rowOff>
    </xdr:from>
    <xdr:ext cx="261610" cy="269304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B368797-C10A-38BA-029B-036F073DCD7F}"/>
            </a:ext>
          </a:extLst>
        </xdr:cNvPr>
        <xdr:cNvSpPr txBox="1"/>
      </xdr:nvSpPr>
      <xdr:spPr>
        <a:xfrm>
          <a:off x="10712173" y="2033841"/>
          <a:ext cx="261610" cy="269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 i="0">
              <a:solidFill>
                <a:schemeClr val="tx2">
                  <a:lumMod val="20000"/>
                  <a:lumOff val="8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</a:t>
          </a:r>
        </a:p>
      </xdr:txBody>
    </xdr:sp>
    <xdr:clientData/>
  </xdr:oneCellAnchor>
  <xdr:twoCellAnchor>
    <xdr:from>
      <xdr:col>2</xdr:col>
      <xdr:colOff>377318</xdr:colOff>
      <xdr:row>13</xdr:row>
      <xdr:rowOff>104729</xdr:rowOff>
    </xdr:from>
    <xdr:to>
      <xdr:col>9</xdr:col>
      <xdr:colOff>349710</xdr:colOff>
      <xdr:row>24</xdr:row>
      <xdr:rowOff>110435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299D0155-F5F0-45CB-8D0E-8A3C0E05A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41998</xdr:colOff>
      <xdr:row>25</xdr:row>
      <xdr:rowOff>23090</xdr:rowOff>
    </xdr:from>
    <xdr:to>
      <xdr:col>22</xdr:col>
      <xdr:colOff>531091</xdr:colOff>
      <xdr:row>38</xdr:row>
      <xdr:rowOff>46182</xdr:rowOff>
    </xdr:to>
    <xdr:graphicFrame macro="">
      <xdr:nvGraphicFramePr>
        <xdr:cNvPr id="2048" name="Chart 2047">
          <a:extLst>
            <a:ext uri="{FF2B5EF4-FFF2-40B4-BE49-F238E27FC236}">
              <a16:creationId xmlns:a16="http://schemas.microsoft.com/office/drawing/2014/main" id="{79660C5F-5CA7-4698-A2E3-B57E2D4F1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349710</xdr:colOff>
      <xdr:row>24</xdr:row>
      <xdr:rowOff>159946</xdr:rowOff>
    </xdr:from>
    <xdr:to>
      <xdr:col>9</xdr:col>
      <xdr:colOff>570579</xdr:colOff>
      <xdr:row>38</xdr:row>
      <xdr:rowOff>101232</xdr:rowOff>
    </xdr:to>
    <xdr:graphicFrame macro="">
      <xdr:nvGraphicFramePr>
        <xdr:cNvPr id="2052" name="Chart 2051">
          <a:extLst>
            <a:ext uri="{FF2B5EF4-FFF2-40B4-BE49-F238E27FC236}">
              <a16:creationId xmlns:a16="http://schemas.microsoft.com/office/drawing/2014/main" id="{16E9F1B1-6341-4408-B7E0-94782494C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581421</xdr:colOff>
      <xdr:row>25</xdr:row>
      <xdr:rowOff>13803</xdr:rowOff>
    </xdr:from>
    <xdr:to>
      <xdr:col>16</xdr:col>
      <xdr:colOff>588820</xdr:colOff>
      <xdr:row>38</xdr:row>
      <xdr:rowOff>92364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EE6F7A-4675-471C-A1E5-0FCCFA884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oneCellAnchor>
    <xdr:from>
      <xdr:col>10</xdr:col>
      <xdr:colOff>103587</xdr:colOff>
      <xdr:row>29</xdr:row>
      <xdr:rowOff>143555</xdr:rowOff>
    </xdr:from>
    <xdr:ext cx="264560" cy="84696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AECF15-07A1-E221-9615-1418B76640B3}"/>
            </a:ext>
          </a:extLst>
        </xdr:cNvPr>
        <xdr:cNvSpPr txBox="1"/>
      </xdr:nvSpPr>
      <xdr:spPr>
        <a:xfrm rot="16200000">
          <a:off x="5931476" y="5988121"/>
          <a:ext cx="8469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2">
                  <a:lumMod val="75000"/>
                </a:schemeClr>
              </a:solidFill>
            </a:rPr>
            <a:t>Store</a:t>
          </a:r>
          <a:r>
            <a:rPr lang="en-US" sz="1100" baseline="0">
              <a:solidFill>
                <a:schemeClr val="tx2">
                  <a:lumMod val="75000"/>
                </a:schemeClr>
              </a:solidFill>
            </a:rPr>
            <a:t> name</a:t>
          </a:r>
          <a:endParaRPr lang="en-US" sz="1100">
            <a:solidFill>
              <a:schemeClr val="tx2">
                <a:lumMod val="75000"/>
              </a:schemeClr>
            </a:solidFill>
          </a:endParaRPr>
        </a:p>
      </xdr:txBody>
    </xdr:sp>
    <xdr:clientData/>
  </xdr:oneCellAnchor>
  <xdr:twoCellAnchor>
    <xdr:from>
      <xdr:col>16</xdr:col>
      <xdr:colOff>588819</xdr:colOff>
      <xdr:row>13</xdr:row>
      <xdr:rowOff>127000</xdr:rowOff>
    </xdr:from>
    <xdr:to>
      <xdr:col>22</xdr:col>
      <xdr:colOff>588818</xdr:colOff>
      <xdr:row>25</xdr:row>
      <xdr:rowOff>11545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93D5B10-FE1C-497F-AB1A-700BD1BCE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7</xdr:col>
      <xdr:colOff>34544</xdr:colOff>
      <xdr:row>4</xdr:row>
      <xdr:rowOff>59853</xdr:rowOff>
    </xdr:from>
    <xdr:to>
      <xdr:col>8</xdr:col>
      <xdr:colOff>34636</xdr:colOff>
      <xdr:row>7</xdr:row>
      <xdr:rowOff>59945</xdr:rowOff>
    </xdr:to>
    <xdr:pic>
      <xdr:nvPicPr>
        <xdr:cNvPr id="16" name="Graphic 15" descr="Bar graph with upward trend outline">
          <a:extLst>
            <a:ext uri="{FF2B5EF4-FFF2-40B4-BE49-F238E27FC236}">
              <a16:creationId xmlns:a16="http://schemas.microsoft.com/office/drawing/2014/main" id="{6F6E0A8B-9769-305A-B8FD-746F21B19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4317908" y="798762"/>
          <a:ext cx="612001" cy="612001"/>
        </a:xfrm>
        <a:prstGeom prst="rect">
          <a:avLst/>
        </a:prstGeom>
      </xdr:spPr>
    </xdr:pic>
    <xdr:clientData/>
  </xdr:twoCellAnchor>
  <xdr:twoCellAnchor>
    <xdr:from>
      <xdr:col>9</xdr:col>
      <xdr:colOff>450271</xdr:colOff>
      <xdr:row>13</xdr:row>
      <xdr:rowOff>92363</xdr:rowOff>
    </xdr:from>
    <xdr:to>
      <xdr:col>16</xdr:col>
      <xdr:colOff>565727</xdr:colOff>
      <xdr:row>24</xdr:row>
      <xdr:rowOff>115455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E123FF7-A74D-4B14-A3F2-F3AEB00F0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0.40582</cdr:x>
      <cdr:y>0.8873</cdr:y>
    </cdr:from>
    <cdr:to>
      <cdr:x>0.58594</cdr:x>
      <cdr:y>0.96318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CC155D6-5D26-C2CB-CC56-BB320E5C6B87}"/>
            </a:ext>
          </a:extLst>
        </cdr:cNvPr>
        <cdr:cNvSpPr txBox="1"/>
      </cdr:nvSpPr>
      <cdr:spPr>
        <a:xfrm xmlns:a="http://schemas.openxmlformats.org/drawingml/2006/main">
          <a:off x="1855392" y="2434035"/>
          <a:ext cx="823516" cy="2081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>
              <a:solidFill>
                <a:schemeClr val="tx2">
                  <a:lumMod val="75000"/>
                </a:schemeClr>
              </a:solidFill>
            </a:rPr>
            <a:t>Sum of Value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0.02956</cdr:x>
      <cdr:y>0.15816</cdr:y>
    </cdr:from>
    <cdr:to>
      <cdr:x>0.10162</cdr:x>
      <cdr:y>0.69736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44AECF15-07A1-E221-9615-1418B76640B3}"/>
            </a:ext>
          </a:extLst>
        </cdr:cNvPr>
        <cdr:cNvSpPr txBox="1"/>
      </cdr:nvSpPr>
      <cdr:spPr>
        <a:xfrm xmlns:a="http://schemas.openxmlformats.org/drawingml/2006/main" rot="16200000">
          <a:off x="-369259" y="835701"/>
          <a:ext cx="1220142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solidFill>
                <a:schemeClr val="tx2">
                  <a:lumMod val="50000"/>
                </a:schemeClr>
              </a:solidFill>
            </a:rPr>
            <a:t>Value</a:t>
          </a:r>
          <a:r>
            <a:rPr lang="en-US" sz="1100" b="1" baseline="0">
              <a:solidFill>
                <a:schemeClr val="tx2">
                  <a:lumMod val="50000"/>
                </a:schemeClr>
              </a:solidFill>
            </a:rPr>
            <a:t> of Products</a:t>
          </a:r>
          <a:endParaRPr lang="en-US" sz="1100" b="1">
            <a:solidFill>
              <a:schemeClr val="tx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0.56604</cdr:x>
      <cdr:y>0.05319</cdr:y>
    </cdr:from>
    <cdr:to>
      <cdr:x>0.99057</cdr:x>
      <cdr:y>0.14894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D4CE8CB-4A7E-AADC-0E54-5139AE2098E7}"/>
            </a:ext>
          </a:extLst>
        </cdr:cNvPr>
        <cdr:cNvSpPr txBox="1"/>
      </cdr:nvSpPr>
      <cdr:spPr>
        <a:xfrm xmlns:a="http://schemas.openxmlformats.org/drawingml/2006/main">
          <a:off x="2078182" y="115453"/>
          <a:ext cx="1558636" cy="20781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 kern="1200">
              <a:solidFill>
                <a:schemeClr val="tx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Sum</a:t>
          </a:r>
          <a:r>
            <a:rPr lang="en-US" sz="1200" b="1" kern="1200" baseline="0">
              <a:solidFill>
                <a:schemeClr val="tx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of Discount</a:t>
          </a:r>
          <a:endParaRPr lang="en-US" sz="1200" b="1" kern="1200">
            <a:solidFill>
              <a:schemeClr val="tx2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0.3937</cdr:x>
      <cdr:y>0.86304</cdr:y>
    </cdr:from>
    <cdr:to>
      <cdr:x>0.63517</cdr:x>
      <cdr:y>0.96196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D02818D-64FC-D989-CEC1-622E0850C2DC}"/>
            </a:ext>
          </a:extLst>
        </cdr:cNvPr>
        <cdr:cNvSpPr txBox="1"/>
      </cdr:nvSpPr>
      <cdr:spPr>
        <a:xfrm xmlns:a="http://schemas.openxmlformats.org/drawingml/2006/main">
          <a:off x="1731820" y="1833418"/>
          <a:ext cx="1062182" cy="2101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Sum Of Product</a:t>
          </a:r>
        </a:p>
      </cdr:txBody>
    </cdr:sp>
  </cdr:relSizeAnchor>
  <cdr:relSizeAnchor xmlns:cdr="http://schemas.openxmlformats.org/drawingml/2006/chartDrawing">
    <cdr:from>
      <cdr:x>0.03675</cdr:x>
      <cdr:y>0.34783</cdr:y>
    </cdr:from>
    <cdr:to>
      <cdr:x>0.08005</cdr:x>
      <cdr:y>0.80435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0EEA8BC2-596D-E647-078D-41B513FBE856}"/>
            </a:ext>
          </a:extLst>
        </cdr:cNvPr>
        <cdr:cNvSpPr txBox="1"/>
      </cdr:nvSpPr>
      <cdr:spPr>
        <a:xfrm xmlns:a="http://schemas.openxmlformats.org/drawingml/2006/main" rot="16200000">
          <a:off x="-228023" y="1128569"/>
          <a:ext cx="969818" cy="1904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>
              <a:solidFill>
                <a:schemeClr val="tx2">
                  <a:lumMod val="75000"/>
                </a:schemeClr>
              </a:solidFill>
            </a:rPr>
            <a:t>Value</a:t>
          </a:r>
          <a:r>
            <a:rPr lang="en-US" sz="1100" kern="1200" baseline="0">
              <a:solidFill>
                <a:schemeClr val="tx2">
                  <a:lumMod val="75000"/>
                </a:schemeClr>
              </a:solidFill>
            </a:rPr>
            <a:t> of Product</a:t>
          </a:r>
          <a:endParaRPr lang="en-US" sz="1100" kern="1200">
            <a:solidFill>
              <a:schemeClr val="tx2">
                <a:lumMod val="75000"/>
              </a:schemeClr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9.874330787039" createdVersion="8" refreshedVersion="8" minRefreshableVersion="3" recordCount="1980" xr:uid="{019E97FF-6B2B-4BD6-9289-49C6900667DC}">
  <cacheSource type="worksheet">
    <worksheetSource name="gcds"/>
  </cacheSource>
  <cacheFields count="21">
    <cacheField name="Customer_id" numFmtId="0">
      <sharedItems containsSemiMixedTypes="0" containsString="0" containsNumber="1" containsInteger="1" minValue="1006" maxValue="9998"/>
    </cacheField>
    <cacheField name="Store_name" numFmtId="0">
      <sharedItems/>
    </cacheField>
    <cacheField name="_date" numFmtId="164">
      <sharedItems containsSemiMixedTypes="0" containsNonDate="0" containsDate="1" containsString="0" minDate="2023-08-07T00:00:00" maxDate="2025-08-06T00:00:00"/>
    </cacheField>
    <cacheField name="Product_category" numFmtId="0">
      <sharedItems/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82.17" maxValue="2488.34"/>
    </cacheField>
    <cacheField name="Total_amount" numFmtId="0">
      <sharedItems containsSemiMixedTypes="0" containsString="0" containsNumber="1" minValue="83.83" maxValue="12441.7"/>
    </cacheField>
    <cacheField name="Discount_amount" numFmtId="0">
      <sharedItems containsSemiMixedTypes="0" containsString="0" containsNumber="1" minValue="0" maxValue="2485.02"/>
    </cacheField>
    <cacheField name="Final_amount" numFmtId="0">
      <sharedItems containsSemiMixedTypes="0" containsString="0" containsNumber="1" minValue="-284.69" maxValue="12276.53"/>
    </cacheField>
    <cacheField name="Loyalty_points" numFmtId="0">
      <sharedItems containsSemiMixedTypes="0" containsString="0" containsNumber="1" containsInteger="1" minValue="0" maxValue="500"/>
    </cacheField>
    <cacheField name="time" numFmtId="0">
      <sharedItems containsDate="1" containsMixedTypes="1" minDate="1899-12-30T00:06:49" maxDate="1899-12-30T23:53:07"/>
    </cacheField>
    <cacheField name="day" numFmtId="0">
      <sharedItems containsSemiMixedTypes="0" containsString="0" containsNumber="1" containsInteger="1" minValue="1" maxValue="31"/>
    </cacheField>
    <cacheField name="month 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5"/>
    </cacheField>
    <cacheField name="Transaction_date" numFmtId="14">
      <sharedItems containsSemiMixedTypes="0" containsNonDate="0" containsDate="1" containsString="0" minDate="2023-08-07T00:00:00" maxDate="2025-08-06T00:00:00"/>
    </cacheField>
    <cacheField name="PaymentMode" numFmtId="0">
      <sharedItems/>
    </cacheField>
    <cacheField name="Gender" numFmtId="0">
      <sharedItems/>
    </cacheField>
    <cacheField name="Rating" numFmtId="0">
      <sharedItems containsSemiMixedTypes="0" containsString="0" containsNumber="1" containsInteger="1" minValue="1" maxValue="5"/>
    </cacheField>
    <cacheField name="StoreCity" numFmtId="0">
      <sharedItems/>
    </cacheField>
    <cacheField name="Transaction_time" numFmtId="165">
      <sharedItems count="1959">
        <s v="04:32:54 AM"/>
        <s v="12:53:51 PM"/>
        <s v="07:52:22 PM"/>
        <s v="11:39:40 AM"/>
        <s v="12:09:12 AM"/>
        <s v="09:37:50 AM"/>
        <s v="10:27:02 PM"/>
        <s v="09:53:43 AM"/>
        <s v="01:13:06 AM"/>
        <s v="02:53:19 PM"/>
        <s v="05:10:03 AM"/>
        <s v="01:49:27 AM"/>
        <s v="09:51:09 PM"/>
        <s v="01:43:15 PM"/>
        <s v="10:24:39 PM"/>
        <s v="01:24:13 AM"/>
        <s v="05:37:24 PM"/>
        <s v="06:47:45 PM"/>
        <s v="02:18:23 PM"/>
        <s v="12:27:02 AM"/>
        <s v="07:56:03 PM"/>
        <s v="10:16:26 PM"/>
        <s v="11:08:25 PM"/>
        <s v="04:16:08 AM"/>
        <s v="08:38:11 AM"/>
        <s v="03:21:36 PM"/>
        <s v="10:21:44 PM"/>
        <s v="07:18:50 PM"/>
        <s v="03:26:57 AM"/>
        <s v="12:43:10 PM"/>
        <s v="03:16:38 AM"/>
        <s v="06:47:56 AM"/>
        <s v="08:22:57 AM"/>
        <s v="12:53:30 AM"/>
        <s v="12:27:46 PM"/>
        <s v="04:34:19 PM"/>
        <s v="12:57:29 PM"/>
        <s v="01:00:08 PM"/>
        <s v="01:23:46 AM"/>
        <s v="02:56:42 PM"/>
        <s v="12:13:30 PM"/>
        <s v="11:12:33 AM"/>
        <s v="04:41:14 AM"/>
        <s v="08:26:23 PM"/>
        <s v="04:30:56 AM"/>
        <s v="02:43:44 AM"/>
        <s v="07:39:29 AM"/>
        <s v="09:33:55 AM"/>
        <s v="12:57:03 PM"/>
        <s v="01:03:37 AM"/>
        <s v="09:15:41 PM"/>
        <s v="10:32:41 AM"/>
        <s v="10:19:55 AM"/>
        <s v="12:27:10 PM"/>
        <s v="09:45:36 PM"/>
        <s v="08:37:32 PM"/>
        <s v="07:45:12 AM"/>
        <s v="05:29:20 PM"/>
        <s v="11:23:04 PM"/>
        <s v="08:46:31 AM"/>
        <s v="12:55:56 PM"/>
        <s v="08:50:09 AM"/>
        <s v="12:26:44 PM"/>
        <s v="09:40:59 PM"/>
        <s v="03:27:07 PM"/>
        <s v="06:12:36 PM"/>
        <s v="03:19:57 AM"/>
        <s v="07:26:53 PM"/>
        <s v="01:21:17 PM"/>
        <s v="10:03:52 AM"/>
        <s v="07:09:04 AM"/>
        <s v="12:07:25 AM"/>
        <s v="04:44:27 AM"/>
        <s v="04:17:05 PM"/>
        <s v="06:13:24 PM"/>
        <s v="09:22:27 PM"/>
        <s v="02:55:04 AM"/>
        <s v="10:11:34 PM"/>
        <s v="03:57:14 PM"/>
        <s v="06:29:13 PM"/>
        <s v="08:56:56 PM"/>
        <s v="01:46:17 AM"/>
        <s v="01:33:02 PM"/>
        <s v="07:42:45 AM"/>
        <s v="03:47:16 PM"/>
        <s v="06:10:07 PM"/>
        <s v="07:50:24 PM"/>
        <s v="01:26:18 PM"/>
        <s v="04:05:57 PM"/>
        <s v="12:44:01 PM"/>
        <s v="05:39:43 PM"/>
        <s v="07:35:57 PM"/>
        <s v="08:34:20 PM"/>
        <s v="08:23:51 PM"/>
        <s v="03:04:41 PM"/>
        <s v="06:17:20 PM"/>
        <s v="02:41:54 AM"/>
        <s v="10:18:12 AM"/>
        <s v="05:41:57 PM"/>
        <s v="12:09:50 AM"/>
        <s v="04:06:43 AM"/>
        <s v="08:58:35 AM"/>
        <s v="10:56:21 AM"/>
        <s v="01:11:46 PM"/>
        <s v="01:37:18 PM"/>
        <s v="01:37:04 PM"/>
        <s v="09:29:14 AM"/>
        <s v="12:01:37 PM"/>
        <s v="06:30:06 AM"/>
        <s v="06:57:33 AM"/>
        <s v="10:59:59 AM"/>
        <s v="11:31:30 AM"/>
        <s v="02:54:53 PM"/>
        <s v="08:30:11 AM"/>
        <s v="05:33:52 AM"/>
        <s v="04:20:20 PM"/>
        <s v="01:11:42 PM"/>
        <s v="05:05:46 PM"/>
        <s v="09:39:03 PM"/>
        <s v="07:32:17 PM"/>
        <s v="03:35:58 AM"/>
        <s v="08:40:06 AM"/>
        <s v="10:54:16 PM"/>
        <s v="12:40:58 AM"/>
        <s v="12:20:58 PM"/>
        <s v="11:23:57 PM"/>
        <s v="06:33:20 PM"/>
        <s v="04:00:21 AM"/>
        <s v="01:11:49 PM"/>
        <s v="11:00:14 AM"/>
        <s v="11:08:22 AM"/>
        <s v="05:39:29 AM"/>
        <s v="12:12:44 PM"/>
        <s v="01:02:33 PM"/>
        <s v="03:07:04 PM"/>
        <s v="12:54:18 AM"/>
        <s v="04:14:13 AM"/>
        <s v="12:43:36 AM"/>
        <s v="09:42:19 AM"/>
        <s v="02:07:18 PM"/>
        <s v="07:52:59 AM"/>
        <s v="05:53:11 AM"/>
        <s v="11:12:00 PM"/>
        <s v="02:04:37 AM"/>
        <s v="01:53:11 PM"/>
        <s v="10:52:07 AM"/>
        <s v="10:41:26 AM"/>
        <s v="03:15:50 AM"/>
        <s v="11:42:48 PM"/>
        <s v="12:30:41 AM"/>
        <s v="08:16:28 AM"/>
        <s v="05:40:59 AM"/>
        <s v="02:25:58 PM"/>
        <s v="06:49:32 PM"/>
        <s v="01:24:39 AM"/>
        <s v="11:09:06 AM"/>
        <s v="04:36:57 PM"/>
        <s v="03:15:30 AM"/>
        <s v="07:23:27 PM"/>
        <s v="01:33:49 AM"/>
        <s v="07:29:27 PM"/>
        <s v="05:45:23 AM"/>
        <s v="02:33:09 AM"/>
        <s v="05:25:48 PM"/>
        <s v="11:35:29 AM"/>
        <s v="08:58:35 PM"/>
        <s v="09:59:38 AM"/>
        <s v="01:52:03 AM"/>
        <s v="10:21:57 AM"/>
        <s v="07:27:43 AM"/>
        <s v="07:31:59 AM"/>
        <s v="10:31:25 AM"/>
        <s v="11:06:08 AM"/>
        <s v="02:56:29 AM"/>
        <s v="06:43:39 AM"/>
        <s v="09:30:38 PM"/>
        <s v="02:56:18 AM"/>
        <s v="07:47:57 PM"/>
        <s v="05:36:29 AM"/>
        <s v="05:32:17 PM"/>
        <s v="02:32:57 PM"/>
        <s v="10:51:06 PM"/>
        <s v="12:14:48 PM"/>
        <s v="09:59:14 PM"/>
        <s v="12:09:04 PM"/>
        <s v="10:55:01 AM"/>
        <s v="11:04:56 PM"/>
        <s v="03:50:07 AM"/>
        <s v="04:27:06 PM"/>
        <s v="12:18:23 AM"/>
        <s v="10:35:32 PM"/>
        <s v="08:52:51 PM"/>
        <s v="06:54:59 PM"/>
        <s v="02:48:57 PM"/>
        <s v="07:35:42 PM"/>
        <s v="04:57:57 PM"/>
        <s v="11:31:08 PM"/>
        <s v="11:08:03 PM"/>
        <s v="11:52:25 PM"/>
        <s v="07:31:11 AM"/>
        <s v="08:33:38 AM"/>
        <s v="11:18:58 AM"/>
        <s v="11:03:12 AM"/>
        <s v="05:44:17 AM"/>
        <s v="10:38:52 AM"/>
        <s v="01:43:46 PM"/>
        <s v="07:12:10 PM"/>
        <s v="09:20:50 PM"/>
        <s v="03:47:31 AM"/>
        <s v="06:08:13 AM"/>
        <s v="07:53:43 AM"/>
        <s v="02:54:51 AM"/>
        <s v="09:11:31 AM"/>
        <s v="05:14:25 PM"/>
        <s v="08:00:19 PM"/>
        <s v="09:47:30 PM"/>
        <s v="01:07:58 PM"/>
        <s v="08:56:04 PM"/>
        <s v="05:12:33 PM"/>
        <s v="09:56:19 PM"/>
        <s v="05:21:32 PM"/>
        <s v="09:58:10 PM"/>
        <s v="04:44:35 PM"/>
        <s v="05:54:52 AM"/>
        <s v="12:51:37 AM"/>
        <s v="03:34:35 AM"/>
        <s v="01:18:00 AM"/>
        <s v="11:04:24 AM"/>
        <s v="02:53:28 AM"/>
        <s v="07:52:49 PM"/>
        <s v="06:11:34 PM"/>
        <s v="06:08:03 PM"/>
        <s v="02:06:19 AM"/>
        <s v="02:57:46 AM"/>
        <s v="11:29:25 PM"/>
        <s v="07:12:08 PM"/>
        <s v="03:43:29 AM"/>
        <s v="09:06:07 AM"/>
        <s v="01:47:45 PM"/>
        <s v="02:59:10 PM"/>
        <s v="05:46:47 AM"/>
        <s v="12:17:11 PM"/>
        <s v="11:11:22 PM"/>
        <s v="04:20:51 AM"/>
        <s v="12:26:33 AM"/>
        <s v="10:19:54 AM"/>
        <s v="07:32:00 AM"/>
        <s v="02:56:24 AM"/>
        <s v="09:46:53 AM"/>
        <s v="04:01:08 AM"/>
        <s v="02:41:13 PM"/>
        <s v="09:36:25 AM"/>
        <s v="07:11:23 AM"/>
        <s v="12:28:10 PM"/>
        <s v="11:07:25 AM"/>
        <s v="03:17:32 PM"/>
        <s v="06:03:37 PM"/>
        <s v="02:49:09 PM"/>
        <s v="10:24:30 PM"/>
        <s v="03:46:20 PM"/>
        <s v="02:51:34 AM"/>
        <s v="05:06:43 PM"/>
        <s v="01:08:54 PM"/>
        <s v="07:34:15 AM"/>
        <s v="07:40:47 PM"/>
        <s v="09:42:30 AM"/>
        <s v="01:19:00 PM"/>
        <s v="11:19:12 PM"/>
        <s v="09:13:43 PM"/>
        <s v="07:20:53 PM"/>
        <s v="03:22:33 PM"/>
        <s v="08:05:02 PM"/>
        <s v="09:57:58 AM"/>
        <s v="12:39:21 AM"/>
        <s v="08:51:13 AM"/>
        <s v="11:11:58 AM"/>
        <s v="09:12:01 PM"/>
        <s v="09:52:00 AM"/>
        <s v="07:47:22 PM"/>
        <s v="03:56:58 PM"/>
        <s v="10:18:11 PM"/>
        <s v="02:13:08 AM"/>
        <s v="06:18:23 AM"/>
        <s v="02:58:55 PM"/>
        <s v="09:35:35 PM"/>
        <s v="01:40:07 PM"/>
        <s v="03:39:40 PM"/>
        <s v="02:46:12 AM"/>
        <s v="11:29:27 AM"/>
        <s v="12:24:29 AM"/>
        <s v="01:45:03 AM"/>
        <s v="04:07:51 AM"/>
        <s v="03:18:51 PM"/>
        <s v="07:40:32 PM"/>
        <s v="12:56:19 PM"/>
        <s v="04:04:28 AM"/>
        <s v="02:40:15 PM"/>
        <s v="06:49:17 AM"/>
        <s v="09:08:23 AM"/>
        <s v="07:53:31 AM"/>
        <s v="07:35:16 PM"/>
        <s v="09:03:38 AM"/>
        <s v="01:30:19 AM"/>
        <s v="09:24:01 PM"/>
        <s v="09:51:57 PM"/>
        <s v="12:48:06 AM"/>
        <s v="03:30:49 AM"/>
        <s v="06:37:50 AM"/>
        <s v="06:34:46 PM"/>
        <s v="03:21:11 PM"/>
        <s v="02:04:48 PM"/>
        <s v="12:56:24 AM"/>
        <s v="11:50:36 PM"/>
        <s v="11:13:18 AM"/>
        <s v="09:33:43 PM"/>
        <s v="06:34:17 AM"/>
        <s v="04:15:37 AM"/>
        <s v="08:28:15 AM"/>
        <s v="06:35:34 AM"/>
        <s v="10:55:09 AM"/>
        <s v="12:28:35 AM"/>
        <s v="11:31:13 PM"/>
        <s v="07:49:46 PM"/>
        <s v="11:17:32 PM"/>
        <s v="03:19:51 PM"/>
        <s v="02:21:11 AM"/>
        <s v="07:26:22 AM"/>
        <s v="10:14:02 AM"/>
        <s v="03:04:25 PM"/>
        <s v="11:37:28 PM"/>
        <s v="04:07:42 AM"/>
        <s v="06:50:31 PM"/>
        <s v="02:44:10 AM"/>
        <s v="10:09:48 PM"/>
        <s v="09:01:51 PM"/>
        <s v="11:35:43 PM"/>
        <s v="05:57:58 PM"/>
        <s v="09:20:46 PM"/>
        <s v="03:30:54 PM"/>
        <s v="12:31:54 AM"/>
        <s v="06:10:46 AM"/>
        <s v="04:58:02 AM"/>
        <s v="02:08:20 AM"/>
        <s v="11:57:26 AM"/>
        <s v="05:55:30 AM"/>
        <s v="05:53:26 PM"/>
        <s v="01:25:00 AM"/>
        <s v="02:06:01 PM"/>
        <s v="11:20:00 AM"/>
        <s v="07:55:12 AM"/>
        <s v="02:27:26 PM"/>
        <s v="06:50:15 AM"/>
        <s v="04:05:56 AM"/>
        <s v="05:16:15 AM"/>
        <s v="08:32:52 PM"/>
        <s v="11:27:34 PM"/>
        <s v="08:30:31 AM"/>
        <s v="02:18:19 PM"/>
        <s v="09:41:40 PM"/>
        <s v="02:39:19 PM"/>
        <s v="10:34:16 AM"/>
        <s v="08:50:04 PM"/>
        <s v="01:18:56 PM"/>
        <s v="01:48:40 PM"/>
        <s v="07:57:18 PM"/>
        <s v="07:58:41 PM"/>
        <s v="03:35:27 AM"/>
        <s v="12:36:58 AM"/>
        <s v="02:52:56 PM"/>
        <s v="10:21:25 PM"/>
        <s v="06:16:41 PM"/>
        <s v="12:05:01 AM"/>
        <s v="09:23:03 PM"/>
        <s v="10:49:31 AM"/>
        <s v="01:35:10 AM"/>
        <s v="02:51:27 PM"/>
        <s v="08:27:49 AM"/>
        <s v="05:40:54 PM"/>
        <s v="11:53:42 AM"/>
        <s v="12:13:57 AM"/>
        <s v="08:13:26 AM"/>
        <s v="01:28:12 PM"/>
        <s v="11:29:55 PM"/>
        <s v="01:17:06 AM"/>
        <s v="07:17:21 PM"/>
        <s v="11:37:37 AM"/>
        <s v="10:44:25 PM"/>
        <s v="06:07:23 PM"/>
        <s v="12:57:02 PM"/>
        <s v="03:29:18 PM"/>
        <s v="01:50:05 AM"/>
        <s v="01:35:01 AM"/>
        <s v="06:57:25 PM"/>
        <s v="05:57:32 AM"/>
        <s v="12:33:42 PM"/>
        <s v="10:27:52 AM"/>
        <s v="09:28:48 PM"/>
        <s v="11:06:06 PM"/>
        <s v="11:49:04 AM"/>
        <s v="10:05:15 AM"/>
        <s v="09:44:09 PM"/>
        <s v="08:38:49 PM"/>
        <s v="08:40:11 AM"/>
        <s v="12:28:12 PM"/>
        <s v="07:16:43 PM"/>
        <s v="01:00:51 PM"/>
        <s v="01:12:35 AM"/>
        <s v="01:14:47 AM"/>
        <s v="04:49:16 PM"/>
        <s v="01:13:24 AM"/>
        <s v="11:43:52 AM"/>
        <s v="08:15:17 AM"/>
        <s v="02:47:04 AM"/>
        <s v="07:35:22 PM"/>
        <s v="08:06:53 PM"/>
        <s v="03:43:25 AM"/>
        <s v="02:27:01 AM"/>
        <s v="06:26:02 PM"/>
        <s v="09:42:06 AM"/>
        <s v="04:43:38 AM"/>
        <s v="07:16:05 PM"/>
        <s v="08:34:19 AM"/>
        <s v="02:49:38 PM"/>
        <s v="12:01:41 PM"/>
        <s v="09:45:28 AM"/>
        <s v="09:29:24 AM"/>
        <s v="08:50:31 AM"/>
        <s v="02:47:23 PM"/>
        <s v="12:37:41 AM"/>
        <s v="04:58:57 PM"/>
        <s v="05:18:32 PM"/>
        <s v="03:27:50 PM"/>
        <s v="09:49:31 PM"/>
        <s v="03:32:13 AM"/>
        <s v="10:57:41 PM"/>
        <s v="07:09:26 PM"/>
        <s v="05:03:24 AM"/>
        <s v="10:37:04 AM"/>
        <s v="08:40:39 AM"/>
        <s v="02:00:05 PM"/>
        <s v="06:54:21 PM"/>
        <s v="12:36:38 AM"/>
        <s v="05:05:11 AM"/>
        <s v="08:58:36 AM"/>
        <s v="08:21:49 AM"/>
        <s v="06:21:02 PM"/>
        <s v="02:45:42 AM"/>
        <s v="04:55:35 PM"/>
        <s v="09:29:29 PM"/>
        <s v="07:04:30 AM"/>
        <s v="02:10:09 PM"/>
        <s v="06:07:33 PM"/>
        <s v="08:13:54 PM"/>
        <s v="02:52:04 PM"/>
        <s v="08:29:00 AM"/>
        <s v="01:31:56 AM"/>
        <s v="11:32:04 PM"/>
        <s v="09:15:36 PM"/>
        <s v="12:08:50 AM"/>
        <s v="06:51:52 PM"/>
        <s v="09:42:33 PM"/>
        <s v="03:04:20 AM"/>
        <s v="11:24:17 AM"/>
        <s v="08:32:50 PM"/>
        <s v="05:40:00 PM"/>
        <s v="06:44:21 PM"/>
        <s v="08:40:38 PM"/>
        <s v="10:40:31 AM"/>
        <s v="05:12:14 AM"/>
        <s v="04:51:30 AM"/>
        <s v="07:59:34 PM"/>
        <s v="05:34:57 PM"/>
        <s v="08:35:45 PM"/>
        <s v="08:33:01 PM"/>
        <s v="07:55:22 PM"/>
        <s v="04:50:01 PM"/>
        <s v="05:06:19 PM"/>
        <s v="05:27:19 AM"/>
        <s v="05:18:49 AM"/>
        <s v="08:09:31 PM"/>
        <s v="12:51:04 AM"/>
        <s v="09:18:11 PM"/>
        <s v="12:28:59 PM"/>
        <s v="12:20:03 PM"/>
        <s v="07:58:54 PM"/>
        <s v="05:24:54 PM"/>
        <s v="07:07:49 AM"/>
        <s v="05:42:45 PM"/>
        <s v="02:58:00 PM"/>
        <s v="02:52:30 PM"/>
        <s v="09:26:58 AM"/>
        <s v="08:58:16 AM"/>
        <s v="06:37:30 PM"/>
        <s v="03:52:12 AM"/>
        <s v="06:25:11 PM"/>
        <s v="11:10:06 PM"/>
        <s v="04:47:02 PM"/>
        <s v="11:51:28 PM"/>
        <s v="11:44:50 AM"/>
        <s v="05:32:06 AM"/>
        <s v="03:06:19 PM"/>
        <s v="09:42:58 AM"/>
        <s v="09:31:57 PM"/>
        <s v="07:54:02 PM"/>
        <s v="11:35:16 AM"/>
        <s v="01:43:47 PM"/>
        <s v="09:27:42 PM"/>
        <s v="05:20:28 PM"/>
        <s v="05:03:27 PM"/>
        <s v="05:23:04 PM"/>
        <s v="03:03:39 PM"/>
        <s v="12:54:54 PM"/>
        <s v="10:01:45 PM"/>
        <s v="01:40:47 AM"/>
        <s v="01:48:02 AM"/>
        <s v="12:30:07 PM"/>
        <s v="11:49:55 AM"/>
        <s v="03:39:01 AM"/>
        <s v="10:36:12 AM"/>
        <s v="08:03:17 PM"/>
        <s v="04:07:24 PM"/>
        <s v="12:50:40 AM"/>
        <s v="06:00:43 PM"/>
        <s v="05:52:29 PM"/>
        <s v="09:22:36 AM"/>
        <s v="06:50:03 PM"/>
        <s v="10:26:04 PM"/>
        <s v="01:48:51 PM"/>
        <s v="06:29:33 AM"/>
        <s v="11:52:06 AM"/>
        <s v="11:09:46 PM"/>
        <s v="12:42:47 PM"/>
        <s v="04:15:46 PM"/>
        <s v="04:44:20 AM"/>
        <s v="03:21:09 AM"/>
        <s v="06:18:48 AM"/>
        <s v="05:58:55 PM"/>
        <s v="08:07:51 PM"/>
        <s v="12:07:51 PM"/>
        <s v="07:14:48 AM"/>
        <s v="06:01:26 PM"/>
        <s v="04:56:59 AM"/>
        <s v="04:56:16 AM"/>
        <s v="05:40:36 AM"/>
        <s v="05:29:54 AM"/>
        <s v="04:04:44 PM"/>
        <s v="06:17:18 AM"/>
        <s v="07:53:29 AM"/>
        <s v="02:36:01 AM"/>
        <s v="07:48:44 AM"/>
        <s v="02:30:03 PM"/>
        <s v="06:48:14 AM"/>
        <s v="12:51:42 AM"/>
        <s v="08:23:26 PM"/>
        <s v="01:38:12 PM"/>
        <s v="08:00:55 AM"/>
        <s v="04:13:32 PM"/>
        <s v="11:47:41 PM"/>
        <s v="07:27:38 PM"/>
        <s v="10:18:03 PM"/>
        <s v="09:06:56 PM"/>
        <s v="12:21:27 PM"/>
        <s v="07:01:46 PM"/>
        <s v="01:48:29 AM"/>
        <s v="05:52:58 AM"/>
        <s v="10:22:26 AM"/>
        <s v="06:13:58 PM"/>
        <s v="10:37:21 AM"/>
        <s v="06:45:00 AM"/>
        <s v="05:56:48 AM"/>
        <s v="11:55:34 PM"/>
        <s v="05:49:42 PM"/>
        <s v="09:51:58 AM"/>
        <s v="11:14:19 AM"/>
        <s v="09:56:58 PM"/>
        <s v="08:16:19 PM"/>
        <s v="12:30:30 AM"/>
        <s v="12:33:58 AM"/>
        <s v="03:35:41 PM"/>
        <s v="08:14:44 PM"/>
        <s v="08:55:16 AM"/>
        <s v="08:47:40 AM"/>
        <s v="11:46:42 PM"/>
        <s v="03:50:43 PM"/>
        <s v="01:50:33 PM"/>
        <s v="08:21:11 PM"/>
        <s v="01:31:05 AM"/>
        <s v="04:59:23 AM"/>
        <s v="12:16:36 PM"/>
        <s v="07:48:26 PM"/>
        <s v="03:18:30 PM"/>
        <s v="06:10:57 AM"/>
        <s v="11:05:30 AM"/>
        <s v="02:19:37 PM"/>
        <s v="03:55:14 AM"/>
        <s v="04:48:44 PM"/>
        <s v="04:38:25 PM"/>
        <s v="04:04:30 PM"/>
        <s v="04:31:03 PM"/>
        <s v="12:52:58 PM"/>
        <s v="06:37:43 PM"/>
        <s v="04:49:54 PM"/>
        <s v="06:50:15 PM"/>
        <s v="11:42:16 AM"/>
        <s v="09:11:03 PM"/>
        <s v="05:41:13 PM"/>
        <s v="06:32:03 PM"/>
        <s v="06:40:48 AM"/>
        <s v="07:23:31 PM"/>
        <s v="05:20:15 PM"/>
        <s v="12:24:10 AM"/>
        <s v="02:53:23 AM"/>
        <s v="11:42:02 PM"/>
        <s v="12:39:59 PM"/>
        <s v="02:16:51 PM"/>
        <s v="02:01:38 PM"/>
        <s v="03:23:54 PM"/>
        <s v="06:48:20 AM"/>
        <s v="07:50:45 AM"/>
        <s v="05:31:34 AM"/>
        <s v="07:07:31 AM"/>
        <s v="08:14:25 AM"/>
        <s v="10:49:27 PM"/>
        <s v="10:35:51 AM"/>
        <s v="09:23:48 AM"/>
        <s v="12:19:45 AM"/>
        <s v="03:22:39 PM"/>
        <s v="07:21:29 PM"/>
        <s v="01:07:32 PM"/>
        <s v="06:05:37 PM"/>
        <s v="06:55:37 AM"/>
        <s v="01:48:32 AM"/>
        <s v="01:21:33 PM"/>
        <s v="01:49:22 PM"/>
        <s v="04:04:09 PM"/>
        <s v="06:51:09 PM"/>
        <s v="05:40:44 AM"/>
        <s v="05:01:22 PM"/>
        <s v="07:01:44 PM"/>
        <s v="09:07:50 AM"/>
        <s v="07:14:02 AM"/>
        <s v="12:15:27 AM"/>
        <s v="04:33:51 AM"/>
        <s v="01:26:41 AM"/>
        <s v="08:55:26 PM"/>
        <s v="08:46:29 AM"/>
        <s v="01:41:56 AM"/>
        <s v="12:27:13 AM"/>
        <s v="01:07:52 AM"/>
        <s v="04:14:19 PM"/>
        <s v="04:29:21 PM"/>
        <s v="10:29:59 PM"/>
        <s v="11:33:04 PM"/>
        <s v="12:02:07 PM"/>
        <s v="05:02:28 AM"/>
        <s v="07:17:57 PM"/>
        <s v="06:38:00 AM"/>
        <s v="07:52:30 AM"/>
        <s v="05:03:56 AM"/>
        <s v="11:23:40 AM"/>
        <s v="01:45:51 PM"/>
        <s v="02:18:17 PM"/>
        <s v="09:05:50 PM"/>
        <s v="02:56:57 AM"/>
        <s v="07:52:23 PM"/>
        <s v="07:12:09 PM"/>
        <s v="10:59:42 AM"/>
        <s v="08:12:13 PM"/>
        <s v="09:40:29 AM"/>
        <s v="01:45:41 AM"/>
        <s v="10:30:29 PM"/>
        <s v="12:39:38 PM"/>
        <s v="05:31:40 AM"/>
        <s v="10:08:44 AM"/>
        <s v="12:22:51 AM"/>
        <s v="01:43:07 PM"/>
        <s v="04:59:30 AM"/>
        <s v="12:53:33 PM"/>
        <s v="07:42:04 PM"/>
        <s v="05:22:41 PM"/>
        <s v="03:32:30 AM"/>
        <s v="06:33:44 AM"/>
        <s v="02:58:17 PM"/>
        <s v="03:34:50 PM"/>
        <s v="03:12:38 AM"/>
        <s v="04:10:37 PM"/>
        <s v="08:43:07 AM"/>
        <s v="12:08:09 PM"/>
        <s v="09:17:30 PM"/>
        <s v="02:45:26 AM"/>
        <s v="06:04:49 AM"/>
        <s v="07:45:47 AM"/>
        <s v="03:11:39 PM"/>
        <s v="04:26:14 PM"/>
        <s v="05:17:29 AM"/>
        <s v="05:38:00 AM"/>
        <s v="08:11:36 PM"/>
        <s v="01:55:55 AM"/>
        <s v="05:25:32 AM"/>
        <s v="12:16:16 AM"/>
        <s v="12:30:38 PM"/>
        <s v="03:20:04 AM"/>
        <s v="03:26:49 PM"/>
        <s v="03:52:40 AM"/>
        <s v="07:19:34 PM"/>
        <s v="07:18:47 PM"/>
        <s v="02:21:40 PM"/>
        <s v="02:09:17 PM"/>
        <s v="10:26:57 AM"/>
        <s v="10:10:37 AM"/>
        <s v="04:31:10 AM"/>
        <s v="09:32:02 PM"/>
        <s v="04:45:05 AM"/>
        <s v="10:24:49 AM"/>
        <s v="05:59:54 PM"/>
        <s v="06:17:14 AM"/>
        <s v="05:14:34 PM"/>
        <s v="07:57:12 PM"/>
        <s v="07:26:18 AM"/>
        <s v="01:46:52 PM"/>
        <s v="11:56:03 PM"/>
        <s v="09:31:07 PM"/>
        <s v="03:25:29 AM"/>
        <s v="07:00:08 AM"/>
        <s v="07:30:22 AM"/>
        <s v="11:27:32 PM"/>
        <s v="07:11:23 PM"/>
        <s v="02:03:48 AM"/>
        <s v="07:52:47 PM"/>
        <s v="04:12:33 AM"/>
        <s v="06:54:57 AM"/>
        <s v="08:30:10 AM"/>
        <s v="08:00:43 PM"/>
        <s v="09:33:02 PM"/>
        <s v="05:38:01 AM"/>
        <s v="06:26:05 PM"/>
        <s v="10:07:14 AM"/>
        <s v="07:38:48 PM"/>
        <s v="10:55:44 PM"/>
        <s v="06:02:55 PM"/>
        <s v="12:15:15 PM"/>
        <s v="10:10:24 AM"/>
        <s v="09:26:39 AM"/>
        <s v="08:28:29 AM"/>
        <s v="02:20:15 AM"/>
        <s v="06:33:39 AM"/>
        <s v="01:48:54 PM"/>
        <s v="02:00:13 AM"/>
        <s v="09:13:00 PM"/>
        <s v="07:16:28 PM"/>
        <s v="10:33:43 AM"/>
        <s v="01:15:45 AM"/>
        <s v="10:32:13 PM"/>
        <s v="07:38:08 AM"/>
        <s v="07:25:03 PM"/>
        <s v="02:49:25 AM"/>
        <s v="11:55:23 AM"/>
        <s v="09:41:00 PM"/>
        <s v="09:57:53 PM"/>
        <s v="01:35:03 PM"/>
        <s v="05:54:28 AM"/>
        <s v="07:50:02 PM"/>
        <s v="06:59:18 PM"/>
        <s v="10:24:44 AM"/>
        <s v="04:44:02 PM"/>
        <s v="01:49:43 AM"/>
        <s v="10:40:24 AM"/>
        <s v="07:06:34 PM"/>
        <s v="02:52:07 PM"/>
        <s v="04:55:54 AM"/>
        <s v="02:50:57 PM"/>
        <s v="12:06:40 AM"/>
        <s v="05:55:50 PM"/>
        <s v="09:08:16 AM"/>
        <s v="03:09:33 AM"/>
        <s v="06:39:10 AM"/>
        <s v="09:43:16 AM"/>
        <s v="10:16:48 PM"/>
        <s v="05:33:39 AM"/>
        <s v="01:44:49 AM"/>
        <s v="06:23:25 PM"/>
        <s v="12:13:25 AM"/>
        <s v="10:51:20 AM"/>
        <s v="05:39:04 AM"/>
        <s v="06:55:26 PM"/>
        <s v="12:14:00 AM"/>
        <s v="11:24:04 PM"/>
        <s v="10:33:50 AM"/>
        <s v="09:13:12 PM"/>
        <s v="08:27:00 PM"/>
        <s v="12:32:29 AM"/>
        <s v="08:38:55 PM"/>
        <s v="11:26:37 PM"/>
        <s v="11:23:39 AM"/>
        <s v="12:21:08 PM"/>
        <s v="10:22:52 AM"/>
        <s v="10:06:20 AM"/>
        <s v="12:54:56 AM"/>
        <s v="03:07:38 AM"/>
        <s v="09:03:44 AM"/>
        <s v="09:11:23 AM"/>
        <s v="05:52:52 AM"/>
        <s v="10:57:01 PM"/>
        <s v="02:23:52 AM"/>
        <s v="10:08:25 PM"/>
        <s v="07:07:38 AM"/>
        <s v="08:40:28 AM"/>
        <s v="08:15:41 AM"/>
        <s v="10:05:17 PM"/>
        <s v="06:49:34 AM"/>
        <s v="03:59:33 PM"/>
        <s v="10:01:15 PM"/>
        <s v="11:33:36 PM"/>
        <s v="10:36:38 PM"/>
        <s v="05:04:06 PM"/>
        <s v="09:12:18 AM"/>
        <s v="12:21:12 PM"/>
        <s v="04:05:47 PM"/>
        <s v="04:08:45 AM"/>
        <s v="03:49:44 AM"/>
        <s v="08:07:40 PM"/>
        <s v="07:56:01 PM"/>
        <s v="02:20:08 AM"/>
        <s v="01:47:51 PM"/>
        <s v="07:29:56 AM"/>
        <s v="06:54:29 PM"/>
        <s v="07:07:39 AM"/>
        <s v="06:54:52 PM"/>
        <s v="01:27:21 AM"/>
        <s v="08:03:54 AM"/>
        <s v="06:28:49 PM"/>
        <s v="03:38:57 PM"/>
        <s v="01:25:35 PM"/>
        <s v="05:39:19 PM"/>
        <s v="01:39:11 PM"/>
        <s v="02:29:22 PM"/>
        <s v="04:11:59 AM"/>
        <s v="12:44:15 PM"/>
        <s v="05:36:05 AM"/>
        <s v="07:33:38 PM"/>
        <s v="11:05:43 AM"/>
        <s v="05:35:31 PM"/>
        <s v="01:06:39 PM"/>
        <s v="07:29:49 AM"/>
        <s v="01:12:43 AM"/>
        <s v="11:29:59 AM"/>
        <s v="07:29:48 AM"/>
        <s v="10:35:03 PM"/>
        <s v="03:31:31 PM"/>
        <s v="10:31:40 AM"/>
        <s v="12:21:43 AM"/>
        <s v="04:03:13 AM"/>
        <s v="09:10:27 AM"/>
        <s v="08:21:28 AM"/>
        <s v="06:55:05 AM"/>
        <s v="02:18:40 PM"/>
        <s v="02:10:56 PM"/>
        <s v="12:21:14 PM"/>
        <s v="12:17:30 AM"/>
        <s v="05:18:59 PM"/>
        <s v="07:53:51 AM"/>
        <s v="12:50:55 PM"/>
        <s v="06:52:42 AM"/>
        <s v="01:00:13 PM"/>
        <s v="03:09:20 AM"/>
        <s v="12:27:35 PM"/>
        <s v="08:41:23 AM"/>
        <s v="06:03:08 PM"/>
        <s v="01:06:03 PM"/>
        <s v="03:55:04 AM"/>
        <s v="01:07:44 AM"/>
        <s v="06:04:36 PM"/>
        <s v="07:51:28 PM"/>
        <s v="11:44:13 AM"/>
        <s v="08:34:29 PM"/>
        <s v="11:49:04 PM"/>
        <s v="06:00:40 AM"/>
        <s v="07:17:01 AM"/>
        <s v="07:46:12 AM"/>
        <s v="01:00:45 AM"/>
        <s v="01:01:15 AM"/>
        <s v="12:13:48 PM"/>
        <s v="11:49:05 PM"/>
        <s v="10:07:21 AM"/>
        <s v="07:22:04 AM"/>
        <s v="02:35:14 PM"/>
        <s v="10:24:58 PM"/>
        <s v="05:17:35 PM"/>
        <s v="09:05:26 AM"/>
        <s v="01:13:14 PM"/>
        <s v="11:35:27 AM"/>
        <s v="04:34:01 PM"/>
        <s v="07:04:47 PM"/>
        <s v="01:03:12 AM"/>
        <s v="02:23:54 AM"/>
        <s v="08:36:21 AM"/>
        <s v="12:26:27 PM"/>
        <s v="08:25:08 PM"/>
        <s v="12:22:48 AM"/>
        <s v="04:03:50 PM"/>
        <s v="06:26:42 AM"/>
        <s v="08:44:28 PM"/>
        <s v="06:10:15 PM"/>
        <s v="04:57:40 PM"/>
        <s v="02:59:57 AM"/>
        <s v="09:34:50 AM"/>
        <s v="03:08:14 AM"/>
        <s v="03:54:14 AM"/>
        <s v="09:15:24 PM"/>
        <s v="01:11:45 AM"/>
        <s v="06:26:45 PM"/>
        <s v="04:38:27 PM"/>
        <s v="05:30:55 AM"/>
        <s v="08:24:22 PM"/>
        <s v="10:54:16 AM"/>
        <s v="10:17:14 PM"/>
        <s v="06:14:11 AM"/>
        <s v="12:46:31 AM"/>
        <s v="08:53:36 AM"/>
        <s v="01:44:24 PM"/>
        <s v="12:32:22 PM"/>
        <s v="02:00:12 AM"/>
        <s v="06:57:43 AM"/>
        <s v="12:08:19 AM"/>
        <s v="08:42:18 AM"/>
        <s v="03:39:48 PM"/>
        <s v="04:04:24 AM"/>
        <s v="12:16:26 PM"/>
        <s v="06:27:14 PM"/>
        <s v="09:22:30 AM"/>
        <s v="03:15:31 PM"/>
        <s v="10:54:54 PM"/>
        <s v="01:10:26 AM"/>
        <s v="08:16:28 PM"/>
        <s v="07:46:51 AM"/>
        <s v="10:01:06 AM"/>
        <s v="05:38:52 AM"/>
        <s v="01:58:05 PM"/>
        <s v="04:12:24 PM"/>
        <s v="10:20:21 AM"/>
        <s v="03:38:18 AM"/>
        <s v="02:52:21 AM"/>
        <s v="11:49:34 PM"/>
        <s v="07:02:25 AM"/>
        <s v="10:43:33 PM"/>
        <s v="04:12:27 PM"/>
        <s v="10:50:34 PM"/>
        <s v="01:35:41 PM"/>
        <s v="07:52:17 PM"/>
        <s v="09:54:18 AM"/>
        <s v="09:48:17 PM"/>
        <s v="09:07:19 PM"/>
        <s v="09:49:54 PM"/>
        <s v="02:43:46 PM"/>
        <s v="09:20:00 AM"/>
        <s v="05:37:00 AM"/>
        <s v="02:48:31 PM"/>
        <s v="03:00:52 AM"/>
        <s v="03:57:00 AM"/>
        <s v="11:15:47 AM"/>
        <s v="07:29:20 PM"/>
        <s v="02:10:05 AM"/>
        <s v="05:58:32 PM"/>
        <s v="07:54:03 PM"/>
        <s v="01:57:26 PM"/>
        <s v="12:35:59 PM"/>
        <s v="10:07:32 AM"/>
        <s v="09:48:39 PM"/>
        <s v="11:08:41 AM"/>
        <s v="10:36:24 PM"/>
        <s v="12:27:09 AM"/>
        <s v="04:21:10 PM"/>
        <s v="12:22:21 AM"/>
        <s v="08:16:47 PM"/>
        <s v="10:47:36 PM"/>
        <s v="04:24:06 PM"/>
        <s v="11:02:55 PM"/>
        <s v="11:07:31 AM"/>
        <s v="04:12:29 AM"/>
        <s v="01:32:12 PM"/>
        <s v="09:23:55 PM"/>
        <s v="11:57:27 AM"/>
        <s v="08:04:50 AM"/>
        <s v="06:56:05 PM"/>
        <s v="12:04:46 PM"/>
        <s v="03:10:42 PM"/>
        <s v="04:50:13 AM"/>
        <s v="11:07:26 AM"/>
        <s v="12:04:51 AM"/>
        <s v="12:49:23 AM"/>
        <s v="07:23:12 PM"/>
        <s v="12:27:20 AM"/>
        <s v="01:08:35 AM"/>
        <s v="02:54:32 PM"/>
        <s v="01:58:56 PM"/>
        <s v="04:20:52 PM"/>
        <s v="07:50:51 AM"/>
        <s v="04:26:09 AM"/>
        <s v="02:46:07 AM"/>
        <s v="03:32:08 PM"/>
        <s v="09:38:49 AM"/>
        <s v="10:54:21 PM"/>
        <s v="10:52:55 PM"/>
        <s v="03:43:01 AM"/>
        <s v="11:47:44 AM"/>
        <s v="07:45:39 AM"/>
        <s v="08:06:19 PM"/>
        <s v="11:41:28 AM"/>
        <s v="11:48:17 PM"/>
        <s v="07:47:28 AM"/>
        <s v="06:40:56 AM"/>
        <s v="06:11:15 PM"/>
        <s v="10:41:22 AM"/>
        <s v="09:38:32 PM"/>
        <s v="04:51:36 PM"/>
        <s v="12:12:16 PM"/>
        <s v="11:43:43 AM"/>
        <s v="07:25:01 PM"/>
        <s v="04:53:04 PM"/>
        <s v="11:46:37 PM"/>
        <s v="07:27:42 AM"/>
        <s v="08:48:58 PM"/>
        <s v="04:39:04 AM"/>
        <s v="05:02:45 PM"/>
        <s v="10:49:36 AM"/>
        <s v="04:05:10 AM"/>
        <s v="07:05:40 AM"/>
        <s v="06:47:59 PM"/>
        <s v="04:12:53 AM"/>
        <s v="02:45:36 AM"/>
        <s v="01:04:40 AM"/>
        <s v="02:35:32 AM"/>
        <s v="08:33:11 AM"/>
        <s v="10:57:30 PM"/>
        <s v="02:11:16 PM"/>
        <s v="04:30:04 PM"/>
        <s v="12:28:13 PM"/>
        <s v="07:26:25 AM"/>
        <s v="01:00:49 AM"/>
        <s v="03:57:10 PM"/>
        <s v="04:18:38 AM"/>
        <s v="11:30:33 PM"/>
        <s v="07:03:13 PM"/>
        <s v="02:55:05 PM"/>
        <s v="08:37:11 AM"/>
        <s v="04:10:40 PM"/>
        <s v="12:45:20 PM"/>
        <s v="08:39:44 AM"/>
        <s v="04:32:37 AM"/>
        <s v="07:39:26 AM"/>
        <s v="10:53:10 AM"/>
        <s v="08:16:14 AM"/>
        <s v="10:03:38 AM"/>
        <s v="10:14:48 AM"/>
        <s v="02:04:34 PM"/>
        <s v="09:09:25 PM"/>
        <s v="05:04:13 PM"/>
        <s v="02:42:53 PM"/>
        <s v="05:26:22 PM"/>
        <s v="06:07:49 AM"/>
        <s v="12:13:32 AM"/>
        <s v="01:23:43 PM"/>
        <s v="07:38:30 PM"/>
        <s v="06:17:33 PM"/>
        <s v="02:06:12 PM"/>
        <s v="05:28:46 PM"/>
        <s v="02:44:25 AM"/>
        <s v="04:44:25 AM"/>
        <s v="10:51:55 PM"/>
        <s v="11:32:11 PM"/>
        <s v="09:22:37 PM"/>
        <s v="01:49:42 AM"/>
        <s v="07:51:16 PM"/>
        <s v="05:17:59 AM"/>
        <s v="07:40:37 PM"/>
        <s v="07:55:44 PM"/>
        <s v="05:46:17 AM"/>
        <s v="04:25:33 AM"/>
        <s v="01:57:04 AM"/>
        <s v="01:44:35 AM"/>
        <s v="02:14:12 AM"/>
        <s v="12:23:11 AM"/>
        <s v="10:06:43 PM"/>
        <s v="08:55:50 PM"/>
        <s v="01:01:53 PM"/>
        <s v="12:20:25 PM"/>
        <s v="07:45:38 AM"/>
        <s v="01:35:06 AM"/>
        <s v="03:35:33 PM"/>
        <s v="02:59:09 PM"/>
        <s v="04:37:05 AM"/>
        <s v="08:18:10 PM"/>
        <s v="06:41:38 PM"/>
        <s v="01:00:27 PM"/>
        <s v="09:33:08 PM"/>
        <s v="06:35:20 AM"/>
        <s v="06:08:53 PM"/>
        <s v="04:49:29 PM"/>
        <s v="10:47:32 PM"/>
        <s v="08:10:16 AM"/>
        <s v="05:02:02 AM"/>
        <s v="05:13:39 AM"/>
        <s v="05:29:34 PM"/>
        <s v="05:56:16 PM"/>
        <s v="12:17:32 AM"/>
        <s v="06:37:28 PM"/>
        <s v="07:29:07 PM"/>
        <s v="07:16:00 AM"/>
        <s v="01:06:21 PM"/>
        <s v="12:33:22 PM"/>
        <s v="05:04:31 PM"/>
        <s v="11:52:19 AM"/>
        <s v="05:13:56 PM"/>
        <s v="03:46:53 PM"/>
        <s v="02:41:01 AM"/>
        <s v="06:44:32 AM"/>
        <s v="10:22:22 AM"/>
        <s v="04:04:18 AM"/>
        <s v="09:07:56 AM"/>
        <s v="01:12:07 PM"/>
        <s v="09:32:16 PM"/>
        <s v="01:23:09 PM"/>
        <s v="11:59:30 PM"/>
        <s v="08:14:02 AM"/>
        <s v="10:07:12 AM"/>
        <s v="04:37:54 AM"/>
        <s v="10:43:34 AM"/>
        <s v="09:19:34 AM"/>
        <s v="07:08:01 AM"/>
        <s v="08:21:19 PM"/>
        <s v="02:58:37 AM"/>
        <s v="08:23:36 PM"/>
        <s v="05:21:35 AM"/>
        <s v="06:11:29 PM"/>
        <s v="12:10:52 PM"/>
        <s v="12:57:15 PM"/>
        <s v="06:06:07 PM"/>
        <s v="08:08:17 PM"/>
        <s v="07:09:24 AM"/>
        <s v="05:11:24 PM"/>
        <s v="10:59:19 PM"/>
        <s v="04:54:39 PM"/>
        <s v="02:27:50 PM"/>
        <s v="07:52:48 AM"/>
        <s v="03:03:20 AM"/>
        <s v="03:52:20 AM"/>
        <s v="09:42:56 AM"/>
        <s v="08:19:07 PM"/>
        <s v="03:38:15 PM"/>
        <s v="08:55:47 PM"/>
        <s v="10:34:17 PM"/>
        <s v="10:29:29 AM"/>
        <s v="10:55:46 PM"/>
        <s v="01:29:03 AM"/>
        <s v="05:30:17 PM"/>
        <s v="12:57:15 AM"/>
        <s v="05:30:05 PM"/>
        <s v="09:47:02 AM"/>
        <s v="09:44:19 PM"/>
        <s v="02:00:58 AM"/>
        <s v="01:20:46 PM"/>
        <s v="04:25:21 PM"/>
        <s v="06:59:00 AM"/>
        <s v="07:25:10 AM"/>
        <s v="08:32:43 AM"/>
        <s v="08:19:05 AM"/>
        <s v="02:50:31 AM"/>
        <s v="01:50:50 AM"/>
        <s v="07:08:12 PM"/>
        <s v="12:16:57 PM"/>
        <s v="07:34:03 PM"/>
        <s v="11:28:47 AM"/>
        <s v="09:39:00 AM"/>
        <s v="09:59:20 PM"/>
        <s v="05:04:17 AM"/>
        <s v="11:37:09 AM"/>
        <s v="05:25:38 PM"/>
        <s v="06:27:11 PM"/>
        <s v="09:08:44 PM"/>
        <s v="08:09:17 PM"/>
        <s v="02:46:30 PM"/>
        <s v="09:33:16 AM"/>
        <s v="07:05:15 AM"/>
        <s v="12:02:36 AM"/>
        <s v="10:56:28 PM"/>
        <s v="02:14:12 PM"/>
        <s v="12:51:07 PM"/>
        <s v="12:28:50 AM"/>
        <s v="03:05:15 AM"/>
        <s v="09:07:13 AM"/>
        <s v="03:04:05 AM"/>
        <s v="09:44:42 PM"/>
        <s v="03:23:12 PM"/>
        <s v="01:36:54 PM"/>
        <s v="08:47:22 AM"/>
        <s v="09:45:40 PM"/>
        <s v="06:11:40 AM"/>
        <s v="03:42:04 PM"/>
        <s v="04:16:47 AM"/>
        <s v="09:59:32 AM"/>
        <s v="11:59:49 AM"/>
        <s v="12:56:22 PM"/>
        <s v="09:42:06 PM"/>
        <s v="04:44:57 PM"/>
        <s v="05:36:14 PM"/>
        <s v="04:42:19 PM"/>
        <s v="10:40:31 PM"/>
        <s v="02:01:04 AM"/>
        <s v="03:20:28 PM"/>
        <s v="05:47:02 PM"/>
        <s v="08:51:53 AM"/>
        <s v="07:00:22 PM"/>
        <s v="11:22:42 PM"/>
        <s v="03:13:05 AM"/>
        <s v="01:00:13 AM"/>
        <s v="08:44:55 PM"/>
        <s v="01:08:30 AM"/>
        <s v="09:47:21 PM"/>
        <s v="05:33:57 PM"/>
        <s v="04:59:17 AM"/>
        <s v="02:38:54 PM"/>
        <s v="01:09:50 AM"/>
        <s v="05:34:49 PM"/>
        <s v="02:28:49 AM"/>
        <s v="09:27:50 PM"/>
        <s v="12:14:21 PM"/>
        <s v="05:49:38 PM"/>
        <s v="07:35:28 PM"/>
        <s v="04:58:31 AM"/>
        <s v="06:13:39 PM"/>
        <s v="11:35:37 PM"/>
        <s v="09:21:55 AM"/>
        <s v="12:33:41 PM"/>
        <s v="09:02:58 PM"/>
        <s v="03:27:53 AM"/>
        <s v="05:54:01 AM"/>
        <s v="01:07:33 AM"/>
        <s v="10:42:30 AM"/>
        <s v="08:37:05 AM"/>
        <s v="02:05:36 AM"/>
        <s v="09:25:49 PM"/>
        <s v="07:08:04 PM"/>
        <s v="01:54:10 PM"/>
        <s v="08:56:26 AM"/>
        <s v="01:03:01 AM"/>
        <s v="02:50:50 PM"/>
        <s v="09:06:17 AM"/>
        <s v="08:24:05 PM"/>
        <s v="02:31:17 PM"/>
        <s v="05:53:02 AM"/>
        <s v="07:21:57 AM"/>
        <s v="01:29:37 PM"/>
        <s v="05:38:34 PM"/>
        <s v="11:02:22 AM"/>
        <s v="10:54:50 AM"/>
        <s v="04:27:07 PM"/>
        <s v="07:32:30 AM"/>
        <s v="11:52:20 PM"/>
        <s v="12:36:27 AM"/>
        <s v="01:14:53 PM"/>
        <s v="04:59:04 AM"/>
        <s v="01:24:43 AM"/>
        <s v="02:09:08 PM"/>
        <s v="06:06:06 AM"/>
        <s v="06:07:19 AM"/>
        <s v="06:59:50 PM"/>
        <s v="10:16:46 PM"/>
        <s v="06:46:24 PM"/>
        <s v="04:46:11 AM"/>
        <s v="12:46:49 PM"/>
        <s v="09:57:31 AM"/>
        <s v="03:36:48 AM"/>
        <s v="04:49:24 AM"/>
        <s v="01:42:51 PM"/>
        <s v="04:10:05 PM"/>
        <s v="03:59:06 AM"/>
        <s v="11:52:17 AM"/>
        <s v="03:04:32 PM"/>
        <s v="03:38:17 PM"/>
        <s v="02:05:56 AM"/>
        <s v="08:44:21 AM"/>
        <s v="08:44:11 AM"/>
        <s v="12:51:58 AM"/>
        <s v="11:51:08 AM"/>
        <s v="09:46:46 AM"/>
        <s v="11:04:54 AM"/>
        <s v="05:31:28 PM"/>
        <s v="08:11:27 PM"/>
        <s v="04:37:55 PM"/>
        <s v="02:50:03 AM"/>
        <s v="08:09:57 AM"/>
        <s v="11:19:39 PM"/>
        <s v="02:04:42 AM"/>
        <s v="01:25:03 PM"/>
        <s v="07:55:22 AM"/>
        <s v="09:27:17 AM"/>
        <s v="07:02:22 AM"/>
        <s v="03:29:41 AM"/>
        <s v="12:07:57 AM"/>
        <s v="10:29:10 AM"/>
        <s v="10:55:18 PM"/>
        <s v="08:47:41 PM"/>
        <s v="03:46:19 PM"/>
        <s v="03:01:12 PM"/>
        <s v="01:22:23 AM"/>
        <s v="02:00:47 AM"/>
        <s v="08:44:24 PM"/>
        <s v="02:45:35 AM"/>
        <s v="02:55:47 PM"/>
        <s v="06:46:37 PM"/>
        <s v="10:31:21 PM"/>
        <s v="11:00:56 AM"/>
        <s v="04:22:40 AM"/>
        <s v="01:32:59 AM"/>
        <s v="03:30:04 AM"/>
        <s v="01:10:53 PM"/>
        <s v="06:05:05 AM"/>
        <s v="07:55:29 AM"/>
        <s v="04:55:48 PM"/>
        <s v="03:39:28 PM"/>
        <s v="06:18:53 PM"/>
        <s v="07:34:50 AM"/>
        <s v="03:03:21 PM"/>
        <s v="06:12:44 PM"/>
        <s v="02:40:55 AM"/>
        <s v="07:07:52 AM"/>
        <s v="09:18:38 AM"/>
        <s v="05:31:42 AM"/>
        <s v="04:13:41 PM"/>
        <s v="01:51:49 PM"/>
        <s v="09:30:55 AM"/>
        <s v="12:41:52 AM"/>
        <s v="02:22:38 AM"/>
        <s v="02:49:36 PM"/>
        <s v="05:24:35 AM"/>
        <s v="11:28:14 AM"/>
        <s v="10:44:37 PM"/>
        <s v="10:16:00 AM"/>
        <s v="03:17:57 AM"/>
        <s v="11:36:43 PM"/>
        <s v="08:41:41 AM"/>
        <s v="12:25:47 PM"/>
        <s v="07:34:28 PM"/>
        <s v="11:21:48 AM"/>
        <s v="08:19:47 AM"/>
        <s v="04:56:09 AM"/>
        <s v="09:44:57 AM"/>
        <s v="11:30:41 PM"/>
        <s v="06:42:09 PM"/>
        <s v="11:11:07 AM"/>
        <s v="11:36:24 PM"/>
        <s v="04:13:07 PM"/>
        <s v="03:45:16 AM"/>
        <s v="07:27:33 PM"/>
        <s v="10:19:08 AM"/>
        <s v="11:19:33 PM"/>
        <s v="03:13:35 AM"/>
        <s v="12:04:48 PM"/>
        <s v="06:27:08 PM"/>
        <s v="10:20:19 AM"/>
        <s v="04:37:45 AM"/>
        <s v="11:08:04 AM"/>
        <s v="06:11:28 PM"/>
        <s v="11:41:00 AM"/>
        <s v="12:48:16 PM"/>
        <s v="04:56:51 AM"/>
        <s v="09:32:47 AM"/>
        <s v="01:59:55 AM"/>
        <s v="01:07:41 PM"/>
        <s v="08:28:53 PM"/>
        <s v="06:18:14 PM"/>
        <s v="02:23:11 AM"/>
        <s v="06:14:59 PM"/>
        <s v="03:24:22 PM"/>
        <s v="01:44:16 PM"/>
        <s v="05:18:51 PM"/>
        <s v="10:13:10 AM"/>
        <s v="03:54:55 PM"/>
        <s v="08:05:00 PM"/>
        <s v="08:21:20 PM"/>
        <s v="03:00:19 AM"/>
        <s v="08:42:11 PM"/>
        <s v="08:20:34 AM"/>
        <s v="07:09:50 PM"/>
        <s v="02:54:03 PM"/>
        <s v="01:37:24 AM"/>
        <s v="04:43:52 AM"/>
        <s v="11:11:10 AM"/>
        <s v="03:52:28 PM"/>
        <s v="11:43:16 PM"/>
        <s v="07:17:48 PM"/>
        <s v="05:14:01 AM"/>
        <s v="02:36:46 AM"/>
        <s v="09:07:45 AM"/>
        <s v="07:33:20 PM"/>
        <s v="11:35:23 AM"/>
        <s v="04:27:20 PM"/>
        <s v="01:42:01 AM"/>
        <s v="07:04:04 PM"/>
        <s v="12:03:03 AM"/>
        <s v="02:03:01 AM"/>
        <s v="11:13:42 AM"/>
        <s v="10:25:51 AM"/>
        <s v="02:09:11 PM"/>
        <s v="12:30:34 PM"/>
        <s v="09:53:51 PM"/>
        <s v="12:14:57 AM"/>
        <s v="06:51:30 PM"/>
        <s v="03:25:38 PM"/>
        <s v="12:33:05 AM"/>
        <s v="02:03:30 AM"/>
        <s v="01:45:20 AM"/>
        <s v="04:31:25 PM"/>
        <s v="03:26:51 AM"/>
        <s v="08:56:53 PM"/>
        <s v="08:19:42 PM"/>
        <s v="07:38:59 AM"/>
        <s v="07:15:33 PM"/>
        <s v="02:15:55 AM"/>
        <s v="10:05:19 AM"/>
        <s v="08:33:04 PM"/>
        <s v="03:13:01 PM"/>
        <s v="01:49:28 AM"/>
        <s v="06:53:46 PM"/>
        <s v="08:21:08 AM"/>
        <s v="12:05:50 AM"/>
        <s v="08:34:13 PM"/>
        <s v="12:17:51 AM"/>
        <s v="03:10:36 AM"/>
        <s v="09:28:39 AM"/>
        <s v="08:20:21 PM"/>
        <s v="01:56:12 PM"/>
        <s v="08:51:35 AM"/>
        <s v="04:28:55 AM"/>
        <s v="10:40:17 PM"/>
        <s v="08:41:34 PM"/>
        <s v="01:10:42 AM"/>
        <s v="02:16:16 AM"/>
        <s v="05:38:12 PM"/>
        <s v="02:52:52 PM"/>
        <s v="10:29:45 AM"/>
        <s v="08:58:19 AM"/>
        <s v="01:57:51 PM"/>
        <s v="08:24:13 PM"/>
        <s v="06:41:57 PM"/>
        <s v="06:00:53 AM"/>
        <s v="07:14:16 AM"/>
        <s v="05:45:07 PM"/>
        <s v="12:45:14 AM"/>
        <s v="08:38:45 AM"/>
        <s v="10:13:34 AM"/>
        <s v="04:27:24 PM"/>
        <s v="08:12:40 PM"/>
        <s v="02:18:29 AM"/>
        <s v="11:50:10 PM"/>
        <s v="03:15:15 AM"/>
        <s v="06:01:33 AM"/>
        <s v="05:11:54 PM"/>
        <s v="03:29:55 AM"/>
        <s v="10:07:07 AM"/>
        <s v="02:59:53 PM"/>
        <s v="01:29:21 AM"/>
        <s v="10:27:16 AM"/>
        <s v="05:51:53 PM"/>
        <s v="02:35:09 AM"/>
        <s v="03:03:57 AM"/>
        <s v="12:10:41 PM"/>
        <s v="09:15:01 AM"/>
        <s v="09:31:17 PM"/>
        <s v="04:33:42 AM"/>
        <s v="04:02:29 AM"/>
        <s v="07:38:39 AM"/>
        <s v="04:18:32 PM"/>
        <s v="03:15:07 PM"/>
        <s v="09:21:40 PM"/>
        <s v="10:38:38 AM"/>
        <s v="08:52:56 PM"/>
        <s v="04:23:38 AM"/>
        <s v="02:11:34 PM"/>
        <s v="08:31:40 PM"/>
        <s v="05:21:12 AM"/>
        <s v="03:54:42 PM"/>
        <s v="03:16:28 AM"/>
        <s v="01:39:15 AM"/>
        <s v="12:24:31 PM"/>
        <s v="08:58:06 AM"/>
        <s v="02:49:39 PM"/>
        <s v="01:55:34 AM"/>
        <s v="10:26:16 PM"/>
        <s v="04:34:24 AM"/>
        <s v="10:03:12 PM"/>
        <s v="09:11:49 PM"/>
        <s v="01:41:37 PM"/>
        <s v="06:24:26 AM"/>
        <s v="10:48:48 PM"/>
        <s v="03:26:30 AM"/>
        <s v="02:27:31 AM"/>
        <s v="01:27:49 PM"/>
        <s v="04:04:05 PM"/>
        <s v="07:33:57 AM"/>
        <s v="02:51:44 PM"/>
        <s v="10:10:04 PM"/>
        <s v="07:19:09 AM"/>
        <s v="07:35:49 PM"/>
        <s v="12:47:57 PM"/>
        <s v="11:14:07 PM"/>
        <s v="09:19:06 AM"/>
        <s v="08:51:21 PM"/>
        <s v="11:07:30 PM"/>
        <s v="12:45:46 PM"/>
        <s v="05:14:25 AM"/>
        <s v="03:32:37 AM"/>
        <s v="05:12:48 PM"/>
        <s v="06:59:11 PM"/>
        <s v="09:49:07 AM"/>
        <s v="09:51:01 PM"/>
        <s v="07:48:24 PM"/>
        <s v="10:28:18 PM"/>
        <s v="10:34:18 AM"/>
        <s v="08:22:02 AM"/>
        <s v="01:56:36 AM"/>
        <s v="05:46:06 PM"/>
        <s v="04:05:07 AM"/>
        <s v="11:23:56 AM"/>
        <s v="04:28:08 PM"/>
        <s v="07:47:55 AM"/>
        <s v="01:18:48 PM"/>
        <s v="11:46:38 AM"/>
        <s v="01:02:13 PM"/>
        <s v="10:26:47 PM"/>
        <s v="07:23:56 PM"/>
        <s v="09:01:36 PM"/>
        <s v="10:11:13 PM"/>
        <s v="05:37:09 AM"/>
        <s v="01:40:42 AM"/>
        <s v="04:49:18 AM"/>
        <s v="09:13:23 PM"/>
        <s v="08:09:31 AM"/>
        <s v="06:26:23 PM"/>
        <s v="09:39:13 AM"/>
        <s v="03:56:11 AM"/>
        <s v="11:18:25 PM"/>
        <s v="01:40:49 PM"/>
        <s v="07:55:21 AM"/>
        <s v="09:12:23 AM"/>
        <s v="10:25:08 AM"/>
        <s v="06:52:06 PM"/>
        <s v="07:49:23 PM"/>
        <s v="12:15:21 AM"/>
        <s v="04:36:26 PM"/>
        <s v="01:38:26 PM"/>
        <s v="06:27:46 AM"/>
        <s v="09:43:05 PM"/>
        <s v="04:56:41 AM"/>
        <s v="12:28:08 AM"/>
        <s v="05:32:37 AM"/>
        <s v="08:13:34 PM"/>
        <s v="03:52:31 PM"/>
        <s v="03:10:40 PM"/>
        <s v="04:34:29 AM"/>
        <s v="02:18:21 PM"/>
        <s v="12:45:34 AM"/>
        <s v="09:42:50 AM"/>
        <s v="12:31:37 PM"/>
        <s v="04:33:31 AM"/>
        <s v="09:30:31 PM"/>
        <s v="02:52:43 AM"/>
        <s v="12:30:45 AM"/>
        <s v="08:14:48 AM"/>
        <s v="10:13:03 AM"/>
        <s v="12:31:04 PM"/>
        <s v="04:34:17 PM"/>
        <s v="10:23:44 PM"/>
        <s v="09:09:56 AM"/>
        <s v="04:13:51 PM"/>
        <s v="02:21:19 PM"/>
        <s v="04:55:14 AM"/>
        <s v="11:35:57 PM"/>
        <s v="02:52:46 PM"/>
        <s v="02:31:47 PM"/>
        <s v="11:59:43 AM"/>
        <s v="06:43:08 PM"/>
        <s v="03:32:00 AM"/>
        <s v="10:40:10 PM"/>
        <s v="07:30:27 AM"/>
        <s v="11:30:31 AM"/>
        <s v="08:45:51 AM"/>
        <s v="10:45:26 AM"/>
        <s v="05:02:59 AM"/>
        <s v="04:39:57 PM"/>
        <s v="05:18:29 PM"/>
        <s v="11:09:58 PM"/>
        <s v="01:16:22 PM"/>
        <s v="09:31:48 PM"/>
        <s v="11:49:26 PM"/>
        <s v="05:48:28 PM"/>
        <s v="07:15:21 PM"/>
        <s v="01:37:11 AM"/>
        <s v="02:41:51 AM"/>
        <s v="05:16:34 PM"/>
        <s v="06:00:48 PM"/>
        <s v="12:40:47 PM"/>
        <s v="01:04:42 AM"/>
        <s v="05:30:14 PM"/>
        <s v="09:21:46 PM"/>
        <s v="06:52:28 PM"/>
        <s v="06:42:53 AM"/>
        <s v="10:54:20 AM"/>
        <s v="06:14:14 AM"/>
        <s v="10:48:37 PM"/>
        <s v="10:58:38 AM"/>
        <s v="11:31:43 PM"/>
        <s v="05:49:49 AM"/>
        <s v="07:35:12 AM"/>
        <s v="05:55:28 AM"/>
        <s v="03:37:15 PM"/>
        <s v="01:01:58 PM"/>
        <s v="02:47:16 AM"/>
        <s v="05:17:41 AM"/>
        <s v="05:59:57 PM"/>
        <s v="01:52:08 PM"/>
        <s v="11:44:03 PM"/>
        <s v="08:30:46 AM"/>
        <s v="09:12:23 PM"/>
        <s v="07:38:33 AM"/>
        <s v="02:24:03 PM"/>
        <s v="01:43:04 AM"/>
        <s v="06:18:18 PM"/>
        <s v="05:26:16 AM"/>
        <s v="12:26:26 PM"/>
        <s v="12:25:57 AM"/>
        <s v="08:22:50 PM"/>
        <s v="07:06:49 PM"/>
        <s v="07:56:17 AM"/>
        <s v="12:25:44 PM"/>
        <s v="01:03:25 AM"/>
        <s v="12:49:33 AM"/>
        <s v="12:24:25 PM"/>
        <s v="01:00:54 PM"/>
        <s v="11:50:42 AM"/>
        <s v="11:06:02 PM"/>
        <s v="04:25:50 PM"/>
        <s v="06:07:08 PM"/>
        <s v="10:08:20 AM"/>
        <s v="03:24:02 AM"/>
        <s v="06:01:43 PM"/>
        <s v="08:23:15 PM"/>
        <s v="12:44:04 PM"/>
        <s v="08:41:09 PM"/>
        <s v="09:53:46 AM"/>
        <s v="07:03:57 AM"/>
        <s v="04:32:24 PM"/>
        <s v="04:30:43 AM"/>
        <s v="06:41:53 PM"/>
        <s v="06:38:03 PM"/>
        <s v="02:15:00 PM"/>
        <s v="01:50:37 AM"/>
        <s v="05:43:10 PM"/>
        <s v="01:19:09 PM"/>
        <s v="06:38:22 PM"/>
        <s v="01:05:39 AM"/>
        <s v="06:44:20 PM"/>
        <s v="09:28:45 PM"/>
        <s v="04:07:46 PM"/>
        <s v="05:46:09 AM"/>
        <s v="10:18:34 AM"/>
        <s v="08:10:19 PM"/>
        <s v="10:35:29 AM"/>
        <s v="09:31:58 AM"/>
        <s v="10:33:33 PM"/>
        <s v="10:28:14 PM"/>
        <s v="07:42:02 PM"/>
        <s v="06:07:02 PM"/>
        <s v="03:25:01 AM"/>
        <s v="07:55:34 AM"/>
        <s v="12:29:55 PM"/>
        <s v="08:50:11 PM"/>
        <s v="02:37:03 AM"/>
        <s v="02:54:19 PM"/>
        <s v="01:39:31 AM"/>
        <s v="12:20:16 PM"/>
        <s v="05:20:23 AM"/>
        <s v="04:49:34 PM"/>
        <s v="04:04:52 AM"/>
        <s v="07:34:55 AM"/>
        <s v="02:07:42 PM"/>
        <s v="03:24:57 PM"/>
        <s v="12:44:01 AM"/>
        <s v="09:18:48 AM"/>
        <s v="04:04:13 AM"/>
        <s v="06:23:56 PM"/>
        <s v="01:16:23 AM"/>
        <s v="10:02:18 AM"/>
        <s v="04:31:18 PM"/>
        <s v="11:06:38 AM"/>
        <s v="04:06:35 PM"/>
        <s v="05:28:47 AM"/>
        <s v="05:08:06 AM"/>
        <s v="07:30:21 PM"/>
        <s v="08:22:36 AM"/>
        <s v="09:53:01 AM"/>
        <s v="05:50:03 AM"/>
        <s v="03:57:02 AM"/>
        <s v="06:45:26 PM"/>
        <s v="04:04:39 AM"/>
        <s v="02:34:49 AM"/>
        <s v="06:33:40 PM"/>
        <s v="10:54:01 PM"/>
        <s v="08:24:41 PM"/>
        <s v="02:43:47 AM"/>
        <s v="08:29:14 PM"/>
        <s v="11:15:57 PM"/>
        <s v="05:42:09 AM"/>
        <s v="01:23:15 AM"/>
        <s v="12:26:12 AM"/>
        <s v="09:24:31 AM"/>
        <s v="06:10:31 PM"/>
        <s v="11:29:58 AM"/>
        <s v="11:25:28 PM"/>
        <s v="03:20:17 PM"/>
        <s v="11:26:35 AM"/>
        <s v="08:28:39 AM"/>
        <s v="09:50:19 AM"/>
        <s v="09:21:16 PM"/>
        <s v="10:35:19 AM"/>
        <s v="08:28:09 PM"/>
        <s v="07:36:39 PM"/>
        <s v="01:09:03 PM"/>
        <s v="07:25:32 AM"/>
        <s v="05:17:36 PM"/>
        <s v="07:49:08 PM"/>
        <s v="10:59:47 PM"/>
        <s v="05:45:39 PM"/>
        <s v="10:05:43 AM"/>
        <s v="06:36:46 AM"/>
        <s v="08:37:47 AM"/>
        <s v="11:30:20 AM"/>
        <s v="10:10:25 AM"/>
        <s v="10:40:42 PM"/>
        <s v="01:22:47 PM"/>
        <s v="10:47:37 PM"/>
        <s v="01:37:33 PM"/>
        <s v="02:27:06 AM"/>
        <s v="11:03:23 AM"/>
        <s v="09:24:53 AM"/>
        <s v="09:45:01 AM"/>
        <s v="04:46:03 PM"/>
        <s v="12:42:21 AM"/>
        <s v="11:30:53 PM"/>
        <s v="09:33:23 AM"/>
        <s v="11:08:57 AM"/>
        <s v="05:17:00 AM"/>
        <s v="04:04:22 AM"/>
        <s v="04:29:40 PM"/>
        <s v="08:48:14 AM"/>
        <s v="01:01:46 PM"/>
        <s v="10:26:05 PM"/>
        <s v="03:00:59 PM"/>
        <s v="07:12:20 AM"/>
        <s v="09:22:46 PM"/>
        <s v="03:54:14 PM"/>
        <s v="08:49:16 PM"/>
        <s v="03:56:21 AM"/>
        <s v="02:43:52 AM"/>
        <s v="09:26:28 AM"/>
        <s v="11:43:58 AM"/>
        <s v="11:00:34 PM"/>
        <s v="06:43:51 AM"/>
        <s v="08:08:27 PM"/>
        <s v="05:36:45 PM"/>
        <s v="01:44:20 PM"/>
        <s v="08:16:44 PM"/>
        <s v="01:13:19 PM"/>
        <s v="04:00:11 AM"/>
        <s v="06:03:07 PM"/>
        <s v="07:36:19 PM"/>
        <s v="09:04:35 AM"/>
        <s v="07:28:50 AM"/>
        <s v="04:07:38 AM"/>
        <s v="05:23:36 PM"/>
        <s v="07:49:43 AM"/>
        <s v="06:45:34 AM"/>
        <s v="05:18:53 PM"/>
        <s v="06:56:31 PM"/>
        <s v="01:59:07 PM"/>
        <s v="01:11:37 AM"/>
        <s v="09:07:24 AM"/>
        <s v="08:42:06 AM"/>
        <s v="09:07:18 PM"/>
        <s v="11:40:39 AM"/>
        <s v="11:14:51 AM"/>
        <s v="09:05:32 PM"/>
        <s v="05:27:53 AM"/>
        <s v="12:06:49 AM"/>
        <s v="09:56:53 AM"/>
        <s v="06:08:19 AM"/>
        <s v="10:10:46 PM"/>
        <s v="06:04:51 AM"/>
        <s v="01:47:10 AM"/>
        <s v="02:07:28 PM"/>
        <s v="05:54:57 AM"/>
        <s v="04:58:59 AM"/>
        <s v="09:40:57 PM"/>
        <s v="03:28:18 AM"/>
        <s v="08:56:45 PM"/>
        <s v="01:51:39 PM"/>
        <s v="03:37:43 AM"/>
        <s v="04:33:22 AM"/>
        <s v="12:36:39 PM"/>
        <s v="03:56:54 PM"/>
        <s v="09:59:28 PM"/>
        <s v="06:14:25 AM"/>
        <s v="07:51:50 AM"/>
        <s v="05:19:57 AM"/>
        <s v="06:23:44 PM"/>
        <s v="12:42:18 AM"/>
        <s v="04:00:22 AM"/>
        <s v="05:15:09 PM"/>
        <s v="07:29:02 AM"/>
        <s v="10:09:24 AM"/>
        <s v="07:52:27 PM"/>
        <s v="08:44:34 PM"/>
        <s v="09:30:30 PM"/>
        <s v="12:52:30 AM"/>
        <s v="12:16:02 AM"/>
        <s v="03:29:25 PM"/>
        <s v="01:28:25 PM"/>
        <s v="09:53:06 AM"/>
        <s v="07:10:00 PM"/>
        <s v="01:32:45 PM"/>
        <s v="03:41:51 AM"/>
        <s v="03:11:37 AM"/>
        <s v="01:44:19 PM"/>
        <s v="11:46:05 AM"/>
        <s v="06:36:21 AM"/>
        <s v="12:36:04 PM"/>
        <s v="12:21:51 AM"/>
        <s v="01:21:36 PM"/>
        <s v="01:47:38 AM"/>
        <s v="10:01:53 PM"/>
        <s v="03:29:11 PM"/>
        <s v="01:20:38 AM"/>
        <s v="12:34:12 PM"/>
        <s v="06:56:41 PM"/>
        <s v="05:09:11 PM"/>
        <s v="02:33:38 AM"/>
        <s v="06:47:51 PM"/>
        <s v="03:13:47 AM"/>
        <s v="01:37:46 AM"/>
        <s v="03:27:31 AM"/>
        <s v="10:51:05 AM"/>
        <s v="12:09:21 PM"/>
        <s v="09:38:30 PM"/>
        <s v="07:40:56 PM"/>
        <s v="06:56:32 AM"/>
        <s v="01:28:03 AM"/>
        <s v="11:10:57 PM"/>
        <s v="03:52:55 PM"/>
        <s v="07:35:30 PM"/>
        <s v="06:05:15 AM"/>
        <s v="03:54:59 AM"/>
        <s v="09:56:16 AM"/>
        <s v="08:12:59 PM"/>
        <s v="02:20:52 PM"/>
        <s v="12:55:03 AM"/>
        <s v="01:35:45 AM"/>
        <s v="06:50:14 PM"/>
        <s v="05:54:13 PM"/>
        <s v="11:53:07 PM"/>
        <s v="10:52:36 PM"/>
        <s v="10:22:04 PM"/>
        <s v="05:31:10 PM"/>
        <s v="09:02:02 PM"/>
        <s v="10:50:48 AM"/>
        <s v="08:07:48 AM"/>
        <s v="07:10:00 AM"/>
        <s v="10:44:01 AM"/>
        <s v="04:22:57 PM"/>
        <s v="05:47:15 PM"/>
        <s v="01:47:54 AM"/>
        <s v="07:32:55 AM"/>
        <s v="06:49:54 PM"/>
        <s v="07:12:42 PM"/>
        <s v="12:17:46 PM"/>
        <s v="03:25:05 AM"/>
        <s v="07:50:30 PM"/>
        <s v="10:46:19 AM"/>
        <s v="05:17:54 AM"/>
        <s v="09:54:43 PM"/>
        <s v="02:58:45 PM"/>
        <s v="03:03:34 PM"/>
        <s v="06:52:18 PM"/>
        <s v="01:24:55 AM"/>
        <s v="03:25:42 PM"/>
        <s v="12:08:38 AM"/>
        <s v="08:09:37 AM"/>
        <s v="11:17:13 PM"/>
        <s v="11:25:07 PM"/>
        <s v="11:27:51 PM"/>
        <s v="04:55:54 PM"/>
        <s v="03:17:47 AM"/>
        <s v="06:11:53 AM"/>
        <s v="03:56:36 PM"/>
        <s v="09:47:36 PM"/>
        <s v="10:22:43 AM"/>
        <s v="05:51:02 PM"/>
        <s v="12:41:49 AM"/>
        <s v="04:26:47 PM"/>
        <s v="04:18:35 AM"/>
        <s v="08:18:49 PM"/>
        <s v="12:28:24 AM"/>
        <s v="11:08:53 AM"/>
        <s v="04:47:47 PM"/>
        <s v="01:53:26 AM"/>
        <s v="02:46:51 PM"/>
        <s v="08:00:12 PM"/>
        <s v="12:20:21 PM"/>
        <s v="10:12:46 PM"/>
        <s v="02:36:48 PM"/>
        <s v="06:46:45 PM"/>
        <s v="11:26:10 AM"/>
        <s v="03:26:21 PM"/>
        <s v="05:13:33 PM"/>
        <s v="02:54:42 AM"/>
        <s v="01:48:57 AM"/>
        <s v="03:37:20 AM"/>
        <s v="08:36:07 PM"/>
        <s v="03:27:24 PM"/>
        <s v="08:06:41 AM"/>
        <s v="01:08:31 AM"/>
        <s v="12:46:12 AM"/>
        <s v="05:27:48 AM"/>
        <s v="02:26:58 PM"/>
        <s v="07:02:40 PM"/>
        <s v="06:59:06 PM"/>
        <s v="09:06:18 AM"/>
        <s v="04:07:44 PM"/>
        <s v="10:02:24 AM"/>
        <s v="12:32:11 AM"/>
        <s v="10:29:15 PM"/>
        <s v="09:21:49 PM"/>
        <s v="12:16:56 AM"/>
        <s v="02:21:52 AM"/>
        <s v="07:18:24 AM"/>
        <s v="11:21:13 PM"/>
        <s v="09:37:53 AM"/>
        <s v="04:36:19 AM"/>
        <s v="12:31:19 PM"/>
        <s v="06:59:39 PM"/>
        <s v="05:16:19 PM"/>
        <s v="01:05:27 AM"/>
        <s v="12:23:44 PM"/>
        <s v="07:20:40 PM"/>
        <s v="10:42:33 PM"/>
        <s v="08:38:27 PM"/>
        <s v="05:19:24 PM"/>
        <s v="09:09:08 AM"/>
        <s v="11:22:14 PM"/>
        <s v="10:29:05 A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90.362793402775" createdVersion="8" refreshedVersion="8" minRefreshableVersion="3" recordCount="1980" xr:uid="{24B2F129-394E-41A9-A871-313B310829FC}">
  <cacheSource type="worksheet">
    <worksheetSource name="gcd"/>
  </cacheSource>
  <cacheFields count="23">
    <cacheField name="Customer_id" numFmtId="0">
      <sharedItems containsSemiMixedTypes="0" containsString="0" containsNumber="1" containsInteger="1" minValue="1006" maxValue="9998"/>
    </cacheField>
    <cacheField name="Store_name" numFmtId="0">
      <sharedItems count="9">
        <s v="GreenGrocer Plaza"/>
        <s v="ValuePlus Market"/>
        <s v="SuperSave Central"/>
        <s v="Corner Grocery"/>
        <s v="City Fresh Store"/>
        <s v="QuickStop Market"/>
        <s v="FreshMart Downtown"/>
        <s v="MegaMart Westside"/>
        <s v="FamilyFood Express"/>
      </sharedItems>
    </cacheField>
    <cacheField name="_date" numFmtId="164">
      <sharedItems containsSemiMixedTypes="0" containsNonDate="0" containsDate="1" containsString="0" minDate="2023-08-07T00:00:00" maxDate="2025-08-06T00:00:00"/>
    </cacheField>
    <cacheField name="Product_category" numFmtId="0">
      <sharedItems count="11">
        <s v="Produce"/>
        <s v="Dairy"/>
        <s v="Bakery"/>
        <s v="Snacks &amp; Candy"/>
        <s v="Canned Goods"/>
        <s v="Health &amp; Wellness"/>
        <s v="Household Items"/>
        <s v="Meat &amp; Seafood"/>
        <s v="Frozen Foods"/>
        <s v="Personal Care"/>
        <s v="Beverages"/>
      </sharedItems>
    </cacheField>
    <cacheField name="Product_name" numFmtId="0">
      <sharedItems count="18">
        <s v="Pasta"/>
        <s v="Cheese"/>
        <s v="Onions"/>
        <s v="Cereal"/>
        <s v="Orange Juice"/>
        <s v="Ground Beef"/>
        <s v="Apples"/>
        <s v="Tomatoes"/>
        <s v="Salmon"/>
        <s v="Rice"/>
        <s v="Bananas"/>
        <s v="Milk"/>
        <s v="Eggs"/>
        <s v="Bread"/>
        <s v="Yogurt"/>
        <s v="Carrots"/>
        <s v="Potatoes"/>
        <s v="Chicken Breas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82.17" maxValue="2488.34"/>
    </cacheField>
    <cacheField name="Total_amount" numFmtId="0">
      <sharedItems containsSemiMixedTypes="0" containsString="0" containsNumber="1" minValue="83.83" maxValue="12441.7"/>
    </cacheField>
    <cacheField name="Discount_amount" numFmtId="0">
      <sharedItems containsSemiMixedTypes="0" containsString="0" containsNumber="1" minValue="0" maxValue="2485.02"/>
    </cacheField>
    <cacheField name="Final_amount" numFmtId="0">
      <sharedItems containsSemiMixedTypes="0" containsString="0" containsNumber="1" minValue="-284.69" maxValue="12276.53"/>
    </cacheField>
    <cacheField name="Loyalty_points" numFmtId="0">
      <sharedItems containsSemiMixedTypes="0" containsString="0" containsNumber="1" containsInteger="1" minValue="0" maxValue="500"/>
    </cacheField>
    <cacheField name="time" numFmtId="165">
      <sharedItems containsDate="1" containsMixedTypes="1" minDate="1899-12-30T00:03:03" maxDate="1899-12-30T23:53:07"/>
    </cacheField>
    <cacheField name="day" numFmtId="0">
      <sharedItems containsSemiMixedTypes="0" containsString="0" containsNumber="1" containsInteger="1" minValue="1" maxValue="31"/>
    </cacheField>
    <cacheField name="month 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5"/>
    </cacheField>
    <cacheField name="Transaction_date" numFmtId="14">
      <sharedItems containsSemiMixedTypes="0" containsNonDate="0" containsDate="1" containsString="0" minDate="2023-08-07T00:00:00" maxDate="2025-08-06T00:00:00" count="689">
        <d v="2023-08-26T00:00:00"/>
        <d v="2024-02-13T00:00:00"/>
        <d v="2023-11-23T00:00:00"/>
        <d v="2025-01-13T00:00:00"/>
        <d v="2023-10-13T00:00:00"/>
        <d v="2023-08-31T00:00:00"/>
        <d v="2023-10-18T00:00:00"/>
        <d v="2024-02-03T00:00:00"/>
        <d v="2024-11-16T00:00:00"/>
        <d v="2024-10-15T00:00:00"/>
        <d v="2025-02-13T00:00:00"/>
        <d v="2024-06-27T00:00:00"/>
        <d v="2024-07-20T00:00:00"/>
        <d v="2025-04-26T00:00:00"/>
        <d v="2025-03-18T00:00:00"/>
        <d v="2025-01-30T00:00:00"/>
        <d v="2024-04-27T00:00:00"/>
        <d v="2023-12-05T00:00:00"/>
        <d v="2025-03-22T00:00:00"/>
        <d v="2023-10-25T00:00:00"/>
        <d v="2024-05-28T00:00:00"/>
        <d v="2024-05-11T00:00:00"/>
        <d v="2024-11-17T00:00:00"/>
        <d v="2025-04-24T00:00:00"/>
        <d v="2025-02-23T00:00:00"/>
        <d v="2024-09-26T00:00:00"/>
        <d v="2025-07-23T00:00:00"/>
        <d v="2023-10-07T00:00:00"/>
        <d v="2025-05-12T00:00:00"/>
        <d v="2024-10-28T00:00:00"/>
        <d v="2025-02-04T00:00:00"/>
        <d v="2023-09-11T00:00:00"/>
        <d v="2025-03-29T00:00:00"/>
        <d v="2025-06-10T00:00:00"/>
        <d v="2024-07-24T00:00:00"/>
        <d v="2023-12-11T00:00:00"/>
        <d v="2024-05-08T00:00:00"/>
        <d v="2025-01-08T00:00:00"/>
        <d v="2025-02-02T00:00:00"/>
        <d v="2024-11-22T00:00:00"/>
        <d v="2024-09-24T00:00:00"/>
        <d v="2024-05-27T00:00:00"/>
        <d v="2025-07-25T00:00:00"/>
        <d v="2025-01-19T00:00:00"/>
        <d v="2025-05-22T00:00:00"/>
        <d v="2024-01-31T00:00:00"/>
        <d v="2025-04-23T00:00:00"/>
        <d v="2024-06-13T00:00:00"/>
        <d v="2023-09-27T00:00:00"/>
        <d v="2025-07-16T00:00:00"/>
        <d v="2024-01-19T00:00:00"/>
        <d v="2024-06-09T00:00:00"/>
        <d v="2023-11-25T00:00:00"/>
        <d v="2025-03-07T00:00:00"/>
        <d v="2024-02-27T00:00:00"/>
        <d v="2025-07-04T00:00:00"/>
        <d v="2024-05-14T00:00:00"/>
        <d v="2023-11-22T00:00:00"/>
        <d v="2024-08-24T00:00:00"/>
        <d v="2025-03-16T00:00:00"/>
        <d v="2025-06-05T00:00:00"/>
        <d v="2023-12-03T00:00:00"/>
        <d v="2025-04-13T00:00:00"/>
        <d v="2024-11-12T00:00:00"/>
        <d v="2024-05-31T00:00:00"/>
        <d v="2024-11-11T00:00:00"/>
        <d v="2024-09-20T00:00:00"/>
        <d v="2024-10-09T00:00:00"/>
        <d v="2025-01-16T00:00:00"/>
        <d v="2025-01-17T00:00:00"/>
        <d v="2025-03-12T00:00:00"/>
        <d v="2025-03-25T00:00:00"/>
        <d v="2023-11-01T00:00:00"/>
        <d v="2024-07-09T00:00:00"/>
        <d v="2025-02-17T00:00:00"/>
        <d v="2024-08-29T00:00:00"/>
        <d v="2024-09-04T00:00:00"/>
        <d v="2025-06-13T00:00:00"/>
        <d v="2025-05-21T00:00:00"/>
        <d v="2025-03-21T00:00:00"/>
        <d v="2024-09-28T00:00:00"/>
        <d v="2025-07-20T00:00:00"/>
        <d v="2024-11-14T00:00:00"/>
        <d v="2024-08-20T00:00:00"/>
        <d v="2025-06-19T00:00:00"/>
        <d v="2024-02-08T00:00:00"/>
        <d v="2024-02-10T00:00:00"/>
        <d v="2023-10-12T00:00:00"/>
        <d v="2025-05-01T00:00:00"/>
        <d v="2025-03-19T00:00:00"/>
        <d v="2025-03-23T00:00:00"/>
        <d v="2023-11-14T00:00:00"/>
        <d v="2024-10-07T00:00:00"/>
        <d v="2024-02-28T00:00:00"/>
        <d v="2025-06-14T00:00:00"/>
        <d v="2024-01-18T00:00:00"/>
        <d v="2025-03-15T00:00:00"/>
        <d v="2025-02-10T00:00:00"/>
        <d v="2024-06-11T00:00:00"/>
        <d v="2024-07-12T00:00:00"/>
        <d v="2024-07-22T00:00:00"/>
        <d v="2024-02-15T00:00:00"/>
        <d v="2023-09-25T00:00:00"/>
        <d v="2023-08-23T00:00:00"/>
        <d v="2024-11-06T00:00:00"/>
        <d v="2023-08-12T00:00:00"/>
        <d v="2025-02-06T00:00:00"/>
        <d v="2025-07-10T00:00:00"/>
        <d v="2025-06-04T00:00:00"/>
        <d v="2023-10-01T00:00:00"/>
        <d v="2024-02-07T00:00:00"/>
        <d v="2025-01-07T00:00:00"/>
        <d v="2024-01-20T00:00:00"/>
        <d v="2023-11-17T00:00:00"/>
        <d v="2024-02-11T00:00:00"/>
        <d v="2025-04-25T00:00:00"/>
        <d v="2024-01-01T00:00:00"/>
        <d v="2023-10-21T00:00:00"/>
        <d v="2024-06-21T00:00:00"/>
        <d v="2025-06-07T00:00:00"/>
        <d v="2025-01-11T00:00:00"/>
        <d v="2023-09-23T00:00:00"/>
        <d v="2025-02-22T00:00:00"/>
        <d v="2025-04-19T00:00:00"/>
        <d v="2024-02-16T00:00:00"/>
        <d v="2024-06-29T00:00:00"/>
        <d v="2024-03-10T00:00:00"/>
        <d v="2024-02-17T00:00:00"/>
        <d v="2024-07-16T00:00:00"/>
        <d v="2023-09-15T00:00:00"/>
        <d v="2025-05-17T00:00:00"/>
        <d v="2023-12-14T00:00:00"/>
        <d v="2024-08-18T00:00:00"/>
        <d v="2025-07-07T00:00:00"/>
        <d v="2023-12-12T00:00:00"/>
        <d v="2023-08-08T00:00:00"/>
        <d v="2024-03-15T00:00:00"/>
        <d v="2025-01-29T00:00:00"/>
        <d v="2024-03-24T00:00:00"/>
        <d v="2023-09-21T00:00:00"/>
        <d v="2023-09-20T00:00:00"/>
        <d v="2024-11-02T00:00:00"/>
        <d v="2024-08-31T00:00:00"/>
        <d v="2023-12-07T00:00:00"/>
        <d v="2025-05-29T00:00:00"/>
        <d v="2023-09-29T00:00:00"/>
        <d v="2025-01-12T00:00:00"/>
        <d v="2024-06-15T00:00:00"/>
        <d v="2025-06-28T00:00:00"/>
        <d v="2024-10-29T00:00:00"/>
        <d v="2024-11-30T00:00:00"/>
        <d v="2024-04-08T00:00:00"/>
        <d v="2024-01-12T00:00:00"/>
        <d v="2025-01-09T00:00:00"/>
        <d v="2024-07-27T00:00:00"/>
        <d v="2025-07-28T00:00:00"/>
        <d v="2023-08-14T00:00:00"/>
        <d v="2024-12-01T00:00:00"/>
        <d v="2023-10-02T00:00:00"/>
        <d v="2025-07-31T00:00:00"/>
        <d v="2025-06-21T00:00:00"/>
        <d v="2024-05-20T00:00:00"/>
        <d v="2025-05-15T00:00:00"/>
        <d v="2025-02-03T00:00:00"/>
        <d v="2024-11-24T00:00:00"/>
        <d v="2023-08-13T00:00:00"/>
        <d v="2025-07-30T00:00:00"/>
        <d v="2025-08-05T00:00:00"/>
        <d v="2025-03-05T00:00:00"/>
        <d v="2024-03-05T00:00:00"/>
        <d v="2024-11-18T00:00:00"/>
        <d v="2025-02-14T00:00:00"/>
        <d v="2024-09-02T00:00:00"/>
        <d v="2024-02-18T00:00:00"/>
        <d v="2023-10-17T00:00:00"/>
        <d v="2023-09-10T00:00:00"/>
        <d v="2024-04-22T00:00:00"/>
        <d v="2024-12-13T00:00:00"/>
        <d v="2023-12-10T00:00:00"/>
        <d v="2024-10-08T00:00:00"/>
        <d v="2025-06-22T00:00:00"/>
        <d v="2024-10-03T00:00:00"/>
        <d v="2025-05-16T00:00:00"/>
        <d v="2024-11-01T00:00:00"/>
        <d v="2024-07-05T00:00:00"/>
        <d v="2023-09-08T00:00:00"/>
        <d v="2024-05-16T00:00:00"/>
        <d v="2025-07-05T00:00:00"/>
        <d v="2024-01-17T00:00:00"/>
        <d v="2025-01-06T00:00:00"/>
        <d v="2024-05-07T00:00:00"/>
        <d v="2025-07-26T00:00:00"/>
        <d v="2025-06-08T00:00:00"/>
        <d v="2025-03-01T00:00:00"/>
        <d v="2025-04-05T00:00:00"/>
        <d v="2025-04-21T00:00:00"/>
        <d v="2024-03-01T00:00:00"/>
        <d v="2025-04-09T00:00:00"/>
        <d v="2024-05-30T00:00:00"/>
        <d v="2025-06-03T00:00:00"/>
        <d v="2024-01-26T00:00:00"/>
        <d v="2025-05-02T00:00:00"/>
        <d v="2024-05-04T00:00:00"/>
        <d v="2025-05-05T00:00:00"/>
        <d v="2024-01-27T00:00:00"/>
        <d v="2024-12-31T00:00:00"/>
        <d v="2024-05-05T00:00:00"/>
        <d v="2024-06-12T00:00:00"/>
        <d v="2024-04-20T00:00:00"/>
        <d v="2023-11-04T00:00:00"/>
        <d v="2023-12-23T00:00:00"/>
        <d v="2023-09-05T00:00:00"/>
        <d v="2024-05-01T00:00:00"/>
        <d v="2024-07-10T00:00:00"/>
        <d v="2024-02-20T00:00:00"/>
        <d v="2025-02-07T00:00:00"/>
        <d v="2025-01-21T00:00:00"/>
        <d v="2024-05-15T00:00:00"/>
        <d v="2023-09-30T00:00:00"/>
        <d v="2024-12-03T00:00:00"/>
        <d v="2025-01-03T00:00:00"/>
        <d v="2025-02-16T00:00:00"/>
        <d v="2024-09-03T00:00:00"/>
        <d v="2025-01-05T00:00:00"/>
        <d v="2024-04-16T00:00:00"/>
        <d v="2024-10-10T00:00:00"/>
        <d v="2024-01-03T00:00:00"/>
        <d v="2025-01-04T00:00:00"/>
        <d v="2025-01-14T00:00:00"/>
        <d v="2024-11-27T00:00:00"/>
        <d v="2024-06-17T00:00:00"/>
        <d v="2024-03-30T00:00:00"/>
        <d v="2025-04-08T00:00:00"/>
        <d v="2024-08-02T00:00:00"/>
        <d v="2024-07-15T00:00:00"/>
        <d v="2024-09-07T00:00:00"/>
        <d v="2025-04-14T00:00:00"/>
        <d v="2024-12-30T00:00:00"/>
        <d v="2024-03-14T00:00:00"/>
        <d v="2025-01-10T00:00:00"/>
        <d v="2024-01-28T00:00:00"/>
        <d v="2023-11-29T00:00:00"/>
        <d v="2024-08-10T00:00:00"/>
        <d v="2024-07-25T00:00:00"/>
        <d v="2025-06-25T00:00:00"/>
        <d v="2024-02-12T00:00:00"/>
        <d v="2024-12-28T00:00:00"/>
        <d v="2025-06-30T00:00:00"/>
        <d v="2025-04-02T00:00:00"/>
        <d v="2024-01-23T00:00:00"/>
        <d v="2025-04-22T00:00:00"/>
        <d v="2024-08-01T00:00:00"/>
        <d v="2024-10-12T00:00:00"/>
        <d v="2025-07-19T00:00:00"/>
        <d v="2024-07-26T00:00:00"/>
        <d v="2025-04-20T00:00:00"/>
        <d v="2024-10-14T00:00:00"/>
        <d v="2024-07-03T00:00:00"/>
        <d v="2024-07-18T00:00:00"/>
        <d v="2025-03-06T00:00:00"/>
        <d v="2024-07-21T00:00:00"/>
        <d v="2025-05-20T00:00:00"/>
        <d v="2024-08-17T00:00:00"/>
        <d v="2024-03-07T00:00:00"/>
        <d v="2023-10-06T00:00:00"/>
        <d v="2024-02-05T00:00:00"/>
        <d v="2024-04-23T00:00:00"/>
        <d v="2023-10-08T00:00:00"/>
        <d v="2023-12-02T00:00:00"/>
        <d v="2025-02-05T00:00:00"/>
        <d v="2024-06-18T00:00:00"/>
        <d v="2024-10-01T00:00:00"/>
        <d v="2024-06-24T00:00:00"/>
        <d v="2024-01-14T00:00:00"/>
        <d v="2024-06-04T00:00:00"/>
        <d v="2025-06-02T00:00:00"/>
        <d v="2024-08-11T00:00:00"/>
        <d v="2024-05-06T00:00:00"/>
        <d v="2025-03-14T00:00:00"/>
        <d v="2025-05-30T00:00:00"/>
        <d v="2025-02-19T00:00:00"/>
        <d v="2025-07-21T00:00:00"/>
        <d v="2024-12-02T00:00:00"/>
        <d v="2023-08-27T00:00:00"/>
        <d v="2024-11-08T00:00:00"/>
        <d v="2023-10-11T00:00:00"/>
        <d v="2023-11-20T00:00:00"/>
        <d v="2023-12-26T00:00:00"/>
        <d v="2024-02-25T00:00:00"/>
        <d v="2024-04-17T00:00:00"/>
        <d v="2024-04-25T00:00:00"/>
        <d v="2024-08-06T00:00:00"/>
        <d v="2025-03-10T00:00:00"/>
        <d v="2023-09-16T00:00:00"/>
        <d v="2025-04-04T00:00:00"/>
        <d v="2025-05-19T00:00:00"/>
        <d v="2024-08-08T00:00:00"/>
        <d v="2024-10-18T00:00:00"/>
        <d v="2025-03-24T00:00:00"/>
        <d v="2023-12-15T00:00:00"/>
        <d v="2024-04-04T00:00:00"/>
        <d v="2024-10-27T00:00:00"/>
        <d v="2024-06-10T00:00:00"/>
        <d v="2023-10-05T00:00:00"/>
        <d v="2025-05-28T00:00:00"/>
        <d v="2025-04-16T00:00:00"/>
        <d v="2024-05-02T00:00:00"/>
        <d v="2024-07-04T00:00:00"/>
        <d v="2024-12-21T00:00:00"/>
        <d v="2023-08-16T00:00:00"/>
        <d v="2025-05-06T00:00:00"/>
        <d v="2023-10-27T00:00:00"/>
        <d v="2025-02-26T00:00:00"/>
        <d v="2024-12-24T00:00:00"/>
        <d v="2025-03-30T00:00:00"/>
        <d v="2025-05-09T00:00:00"/>
        <d v="2024-04-13T00:00:00"/>
        <d v="2025-05-13T00:00:00"/>
        <d v="2024-10-22T00:00:00"/>
        <d v="2024-04-24T00:00:00"/>
        <d v="2025-04-17T00:00:00"/>
        <d v="2025-06-20T00:00:00"/>
        <d v="2024-10-11T00:00:00"/>
        <d v="2024-09-11T00:00:00"/>
        <d v="2025-01-24T00:00:00"/>
        <d v="2024-12-20T00:00:00"/>
        <d v="2025-01-25T00:00:00"/>
        <d v="2024-03-31T00:00:00"/>
        <d v="2024-04-30T00:00:00"/>
        <d v="2025-03-08T00:00:00"/>
        <d v="2024-03-04T00:00:00"/>
        <d v="2023-11-08T00:00:00"/>
        <d v="2024-01-02T00:00:00"/>
        <d v="2025-03-02T00:00:00"/>
        <d v="2024-03-08T00:00:00"/>
        <d v="2023-10-24T00:00:00"/>
        <d v="2024-05-13T00:00:00"/>
        <d v="2024-03-28T00:00:00"/>
        <d v="2023-11-13T00:00:00"/>
        <d v="2024-12-14T00:00:00"/>
        <d v="2024-10-25T00:00:00"/>
        <d v="2024-08-05T00:00:00"/>
        <d v="2024-07-14T00:00:00"/>
        <d v="2023-12-28T00:00:00"/>
        <d v="2024-02-19T00:00:00"/>
        <d v="2023-11-03T00:00:00"/>
        <d v="2023-10-03T00:00:00"/>
        <d v="2025-04-28T00:00:00"/>
        <d v="2023-11-07T00:00:00"/>
        <d v="2024-11-19T00:00:00"/>
        <d v="2025-03-31T00:00:00"/>
        <d v="2025-07-12T00:00:00"/>
        <d v="2024-12-04T00:00:00"/>
        <d v="2023-12-06T00:00:00"/>
        <d v="2023-12-20T00:00:00"/>
        <d v="2024-06-19T00:00:00"/>
        <d v="2025-01-23T00:00:00"/>
        <d v="2024-03-20T00:00:00"/>
        <d v="2024-02-02T00:00:00"/>
        <d v="2025-07-24T00:00:00"/>
        <d v="2024-07-02T00:00:00"/>
        <d v="2024-10-02T00:00:00"/>
        <d v="2024-12-22T00:00:00"/>
        <d v="2025-05-10T00:00:00"/>
        <d v="2023-12-13T00:00:00"/>
        <d v="2024-07-13T00:00:00"/>
        <d v="2025-01-31T00:00:00"/>
        <d v="2024-09-29T00:00:00"/>
        <d v="2024-11-13T00:00:00"/>
        <d v="2025-06-27T00:00:00"/>
        <d v="2025-02-27T00:00:00"/>
        <d v="2024-12-25T00:00:00"/>
        <d v="2025-07-18T00:00:00"/>
        <d v="2023-12-25T00:00:00"/>
        <d v="2024-12-12T00:00:00"/>
        <d v="2023-10-16T00:00:00"/>
        <d v="2024-05-03T00:00:00"/>
        <d v="2024-04-21T00:00:00"/>
        <d v="2024-04-19T00:00:00"/>
        <d v="2025-01-26T00:00:00"/>
        <d v="2024-03-17T00:00:00"/>
        <d v="2025-04-29T00:00:00"/>
        <d v="2024-04-07T00:00:00"/>
        <d v="2024-04-14T00:00:00"/>
        <d v="2025-05-08T00:00:00"/>
        <d v="2024-12-29T00:00:00"/>
        <d v="2024-07-30T00:00:00"/>
        <d v="2023-09-18T00:00:00"/>
        <d v="2024-09-12T00:00:00"/>
        <d v="2024-10-06T00:00:00"/>
        <d v="2025-07-27T00:00:00"/>
        <d v="2023-11-09T00:00:00"/>
        <d v="2024-12-08T00:00:00"/>
        <d v="2025-02-08T00:00:00"/>
        <d v="2024-08-28T00:00:00"/>
        <d v="2024-09-05T00:00:00"/>
        <d v="2024-08-07T00:00:00"/>
        <d v="2024-04-26T00:00:00"/>
        <d v="2024-03-13T00:00:00"/>
        <d v="2025-05-18T00:00:00"/>
        <d v="2025-06-09T00:00:00"/>
        <d v="2024-05-25T00:00:00"/>
        <d v="2025-06-12T00:00:00"/>
        <d v="2024-10-24T00:00:00"/>
        <d v="2024-02-04T00:00:00"/>
        <d v="2023-09-09T00:00:00"/>
        <d v="2024-06-01T00:00:00"/>
        <d v="2024-08-25T00:00:00"/>
        <d v="2024-11-07T00:00:00"/>
        <d v="2025-06-16T00:00:00"/>
        <d v="2023-10-23T00:00:00"/>
        <d v="2025-07-14T00:00:00"/>
        <d v="2023-08-18T00:00:00"/>
        <d v="2024-06-20T00:00:00"/>
        <d v="2023-10-04T00:00:00"/>
        <d v="2024-12-23T00:00:00"/>
        <d v="2024-12-05T00:00:00"/>
        <d v="2023-09-03T00:00:00"/>
        <d v="2024-01-30T00:00:00"/>
        <d v="2025-01-27T00:00:00"/>
        <d v="2025-07-08T00:00:00"/>
        <d v="2024-03-21T00:00:00"/>
        <d v="2024-05-24T00:00:00"/>
        <d v="2023-11-28T00:00:00"/>
        <d v="2024-09-22T00:00:00"/>
        <d v="2024-10-19T00:00:00"/>
        <d v="2023-12-17T00:00:00"/>
        <d v="2024-08-27T00:00:00"/>
        <d v="2024-07-28T00:00:00"/>
        <d v="2025-07-06T00:00:00"/>
        <d v="2024-11-05T00:00:00"/>
        <d v="2024-12-15T00:00:00"/>
        <d v="2024-01-08T00:00:00"/>
        <d v="2023-10-28T00:00:00"/>
        <d v="2024-05-29T00:00:00"/>
        <d v="2024-10-26T00:00:00"/>
        <d v="2023-08-24T00:00:00"/>
        <d v="2025-05-14T00:00:00"/>
        <d v="2024-11-20T00:00:00"/>
        <d v="2024-01-24T00:00:00"/>
        <d v="2024-12-06T00:00:00"/>
        <d v="2024-04-02T00:00:00"/>
        <d v="2023-09-01T00:00:00"/>
        <d v="2025-02-25T00:00:00"/>
        <d v="2023-12-21T00:00:00"/>
        <d v="2025-06-17T00:00:00"/>
        <d v="2024-02-22T00:00:00"/>
        <d v="2024-08-04T00:00:00"/>
        <d v="2023-11-24T00:00:00"/>
        <d v="2025-05-24T00:00:00"/>
        <d v="2023-08-17T00:00:00"/>
        <d v="2024-11-03T00:00:00"/>
        <d v="2023-10-30T00:00:00"/>
        <d v="2025-07-17T00:00:00"/>
        <d v="2025-07-13T00:00:00"/>
        <d v="2023-11-05T00:00:00"/>
        <d v="2025-06-24T00:00:00"/>
        <d v="2024-12-27T00:00:00"/>
        <d v="2024-01-22T00:00:00"/>
        <d v="2024-07-17T00:00:00"/>
        <d v="2025-06-01T00:00:00"/>
        <d v="2024-12-17T00:00:00"/>
        <d v="2024-11-04T00:00:00"/>
        <d v="2024-04-18T00:00:00"/>
        <d v="2025-04-10T00:00:00"/>
        <d v="2024-03-09T00:00:00"/>
        <d v="2023-11-15T00:00:00"/>
        <d v="2023-10-31T00:00:00"/>
        <d v="2023-08-19T00:00:00"/>
        <d v="2024-02-29T00:00:00"/>
        <d v="2024-09-18T00:00:00"/>
        <d v="2024-09-08T00:00:00"/>
        <d v="2024-07-23T00:00:00"/>
        <d v="2025-02-21T00:00:00"/>
        <d v="2024-12-18T00:00:00"/>
        <d v="2025-05-26T00:00:00"/>
        <d v="2024-08-21T00:00:00"/>
        <d v="2024-03-23T00:00:00"/>
        <d v="2024-07-06T00:00:00"/>
        <d v="2025-06-26T00:00:00"/>
        <d v="2024-06-23T00:00:00"/>
        <d v="2024-04-05T00:00:00"/>
        <d v="2024-05-23T00:00:00"/>
        <d v="2023-09-28T00:00:00"/>
        <d v="2025-06-15T00:00:00"/>
        <d v="2025-06-11T00:00:00"/>
        <d v="2023-08-29T00:00:00"/>
        <d v="2024-03-06T00:00:00"/>
        <d v="2025-07-22T00:00:00"/>
        <d v="2025-03-04T00:00:00"/>
        <d v="2024-01-21T00:00:00"/>
        <d v="2024-06-28T00:00:00"/>
        <d v="2025-04-01T00:00:00"/>
        <d v="2025-06-23T00:00:00"/>
        <d v="2025-01-02T00:00:00"/>
        <d v="2024-09-19T00:00:00"/>
        <d v="2024-03-18T00:00:00"/>
        <d v="2025-06-06T00:00:00"/>
        <d v="2024-07-29T00:00:00"/>
        <d v="2024-06-16T00:00:00"/>
        <d v="2024-04-15T00:00:00"/>
        <d v="2023-10-14T00:00:00"/>
        <d v="2025-05-23T00:00:00"/>
        <d v="2024-09-16T00:00:00"/>
        <d v="2025-04-03T00:00:00"/>
        <d v="2024-12-10T00:00:00"/>
        <d v="2024-01-04T00:00:00"/>
        <d v="2024-02-06T00:00:00"/>
        <d v="2024-01-07T00:00:00"/>
        <d v="2023-12-22T00:00:00"/>
        <d v="2024-05-19T00:00:00"/>
        <d v="2024-11-26T00:00:00"/>
        <d v="2024-10-30T00:00:00"/>
        <d v="2024-04-12T00:00:00"/>
        <d v="2024-08-30T00:00:00"/>
        <d v="2023-09-24T00:00:00"/>
        <d v="2023-10-26T00:00:00"/>
        <d v="2025-02-11T00:00:00"/>
        <d v="2024-09-01T00:00:00"/>
        <d v="2023-09-06T00:00:00"/>
        <d v="2024-06-02T00:00:00"/>
        <d v="2025-01-15T00:00:00"/>
        <d v="2025-04-11T00:00:00"/>
        <d v="2023-10-19T00:00:00"/>
        <d v="2024-04-03T00:00:00"/>
        <d v="2023-08-21T00:00:00"/>
        <d v="2023-11-21T00:00:00"/>
        <d v="2023-12-04T00:00:00"/>
        <d v="2025-03-13T00:00:00"/>
        <d v="2025-07-09T00:00:00"/>
        <d v="2024-05-18T00:00:00"/>
        <d v="2025-02-09T00:00:00"/>
        <d v="2025-07-29T00:00:00"/>
        <d v="2023-08-28T00:00:00"/>
        <d v="2025-04-12T00:00:00"/>
        <d v="2024-03-16T00:00:00"/>
        <d v="2025-01-28T00:00:00"/>
        <d v="2024-06-30T00:00:00"/>
        <d v="2025-02-15T00:00:00"/>
        <d v="2024-02-09T00:00:00"/>
        <d v="2023-12-30T00:00:00"/>
        <d v="2024-06-05T00:00:00"/>
        <d v="2024-05-22T00:00:00"/>
        <d v="2025-03-09T00:00:00"/>
        <d v="2024-05-10T00:00:00"/>
        <d v="2025-03-28T00:00:00"/>
        <d v="2023-11-18T00:00:00"/>
        <d v="2024-12-09T00:00:00"/>
        <d v="2023-09-04T00:00:00"/>
        <d v="2024-01-10T00:00:00"/>
        <d v="2024-09-10T00:00:00"/>
        <d v="2025-04-18T00:00:00"/>
        <d v="2024-07-11T00:00:00"/>
        <d v="2025-07-01T00:00:00"/>
        <d v="2024-08-26T00:00:00"/>
        <d v="2025-01-01T00:00:00"/>
        <d v="2024-04-01T00:00:00"/>
        <d v="2025-05-27T00:00:00"/>
        <d v="2024-10-20T00:00:00"/>
        <d v="2024-05-21T00:00:00"/>
        <d v="2024-09-21T00:00:00"/>
        <d v="2024-02-26T00:00:00"/>
        <d v="2024-01-09T00:00:00"/>
        <d v="2024-03-19T00:00:00"/>
        <d v="2025-03-26T00:00:00"/>
        <d v="2025-05-07T00:00:00"/>
        <d v="2023-11-12T00:00:00"/>
        <d v="2025-06-18T00:00:00"/>
        <d v="2024-07-08T00:00:00"/>
        <d v="2025-08-02T00:00:00"/>
        <d v="2025-07-02T00:00:00"/>
        <d v="2025-05-25T00:00:00"/>
        <d v="2024-12-16T00:00:00"/>
        <d v="2023-10-09T00:00:00"/>
        <d v="2024-11-29T00:00:00"/>
        <d v="2024-08-16T00:00:00"/>
        <d v="2024-03-25T00:00:00"/>
        <d v="2024-09-09T00:00:00"/>
        <d v="2024-04-10T00:00:00"/>
        <d v="2024-08-03T00:00:00"/>
        <d v="2025-08-01T00:00:00"/>
        <d v="2023-10-15T00:00:00"/>
        <d v="2023-09-13T00:00:00"/>
        <d v="2024-03-12T00:00:00"/>
        <d v="2024-05-17T00:00:00"/>
        <d v="2024-06-07T00:00:00"/>
        <d v="2025-04-15T00:00:00"/>
        <d v="2024-10-13T00:00:00"/>
        <d v="2023-09-07T00:00:00"/>
        <d v="2024-09-13T00:00:00"/>
        <d v="2023-11-30T00:00:00"/>
        <d v="2024-11-10T00:00:00"/>
        <d v="2024-09-23T00:00:00"/>
        <d v="2024-08-09T00:00:00"/>
        <d v="2024-06-25T00:00:00"/>
        <d v="2024-12-07T00:00:00"/>
        <d v="2024-06-22T00:00:00"/>
        <d v="2024-04-06T00:00:00"/>
        <d v="2024-04-28T00:00:00"/>
        <d v="2025-03-27T00:00:00"/>
        <d v="2024-04-09T00:00:00"/>
        <d v="2025-05-03T00:00:00"/>
        <d v="2025-05-11T00:00:00"/>
        <d v="2024-01-29T00:00:00"/>
        <d v="2023-08-11T00:00:00"/>
        <d v="2024-09-25T00:00:00"/>
        <d v="2024-06-26T00:00:00"/>
        <d v="2023-12-29T00:00:00"/>
        <d v="2024-10-21T00:00:00"/>
        <d v="2024-09-17T00:00:00"/>
        <d v="2025-02-24T00:00:00"/>
        <d v="2023-12-09T00:00:00"/>
        <d v="2025-01-20T00:00:00"/>
        <d v="2024-08-12T00:00:00"/>
        <d v="2025-07-15T00:00:00"/>
        <d v="2025-03-17T00:00:00"/>
        <d v="2025-03-20T00:00:00"/>
        <d v="2024-01-11T00:00:00"/>
        <d v="2023-12-01T00:00:00"/>
        <d v="2025-02-18T00:00:00"/>
        <d v="2024-09-30T00:00:00"/>
        <d v="2025-01-18T00:00:00"/>
        <d v="2024-09-27T00:00:00"/>
        <d v="2024-07-01T00:00:00"/>
        <d v="2025-08-04T00:00:00"/>
        <d v="2024-06-14T00:00:00"/>
        <d v="2024-01-25T00:00:00"/>
        <d v="2024-03-27T00:00:00"/>
        <d v="2023-09-12T00:00:00"/>
        <d v="2024-03-26T00:00:00"/>
        <d v="2023-12-27T00:00:00"/>
        <d v="2024-10-16T00:00:00"/>
        <d v="2023-11-19T00:00:00"/>
        <d v="2023-12-31T00:00:00"/>
        <d v="2024-08-13T00:00:00"/>
        <d v="2024-03-29T00:00:00"/>
        <d v="2024-05-12T00:00:00"/>
        <d v="2024-01-06T00:00:00"/>
        <d v="2024-02-01T00:00:00"/>
        <d v="2023-12-16T00:00:00"/>
        <d v="2024-11-28T00:00:00"/>
        <d v="2023-08-20T00:00:00"/>
        <d v="2023-10-29T00:00:00"/>
        <d v="2024-12-26T00:00:00"/>
        <d v="2023-09-19T00:00:00"/>
        <d v="2023-10-10T00:00:00"/>
        <d v="2024-12-19T00:00:00"/>
        <d v="2024-10-17T00:00:00"/>
        <d v="2023-12-24T00:00:00"/>
        <d v="2023-09-17T00:00:00"/>
        <d v="2023-08-30T00:00:00"/>
        <d v="2025-04-06T00:00:00"/>
        <d v="2024-08-22T00:00:00"/>
        <d v="2024-05-09T00:00:00"/>
        <d v="2024-07-07T00:00:00"/>
        <d v="2025-03-03T00:00:00"/>
        <d v="2025-02-20T00:00:00"/>
        <d v="2024-03-02T00:00:00"/>
        <d v="2024-02-14T00:00:00"/>
        <d v="2024-03-11T00:00:00"/>
        <d v="2025-05-04T00:00:00"/>
        <d v="2025-02-12T00:00:00"/>
        <d v="2025-02-01T00:00:00"/>
        <d v="2023-10-22T00:00:00"/>
        <d v="2024-04-29T00:00:00"/>
        <d v="2025-04-07T00:00:00"/>
        <d v="2024-09-14T00:00:00"/>
        <d v="2025-04-27T00:00:00"/>
        <d v="2024-01-13T00:00:00"/>
        <d v="2024-11-23T00:00:00"/>
        <d v="2025-04-30T00:00:00"/>
        <d v="2024-09-06T00:00:00"/>
        <d v="2024-08-19T00:00:00"/>
        <d v="2023-11-02T00:00:00"/>
        <d v="2024-10-04T00:00:00"/>
        <d v="2025-02-28T00:00:00"/>
        <d v="2025-03-11T00:00:00"/>
        <d v="2023-08-07T00:00:00"/>
        <d v="2023-12-08T00:00:00"/>
        <d v="2024-02-21T00:00:00"/>
        <d v="2024-10-23T00:00:00"/>
        <d v="2023-08-25T00:00:00"/>
        <d v="2023-09-22T00:00:00"/>
        <d v="2025-07-03T00:00:00"/>
        <d v="2024-10-31T00:00:00"/>
        <d v="2024-07-31T00:00:00"/>
        <d v="2025-05-31T00:00:00"/>
        <d v="2023-11-16T00:00:00"/>
        <d v="2023-11-10T00:00:00"/>
      </sharedItems>
      <fieldGroup par="22"/>
    </cacheField>
    <cacheField name="PaymentMode" numFmtId="0">
      <sharedItems count="4">
        <s v="Debit Card"/>
        <s v="UPI"/>
        <s v="Cash"/>
        <s v="Credit Card"/>
      </sharedItems>
    </cacheField>
    <cacheField name="Gender" numFmtId="0">
      <sharedItems count="2">
        <s v="M"/>
        <s v="F"/>
      </sharedItems>
    </cacheField>
    <cacheField name="Rating" numFmtId="0">
      <sharedItems containsSemiMixedTypes="0" containsString="0" containsNumber="1" containsInteger="1" minValue="1" maxValue="5"/>
    </cacheField>
    <cacheField name="StoreCity" numFmtId="0">
      <sharedItems count="10">
        <s v="Delhi"/>
        <s v="Mumbai"/>
        <s v="Ahmedabad"/>
        <s v="Hyderabad"/>
        <s v="Bangalore"/>
        <s v="Jaipur"/>
        <s v="Lucknow"/>
        <s v="Kolkata"/>
        <s v="Pune"/>
        <s v="Chennai"/>
      </sharedItems>
    </cacheField>
    <cacheField name="Months (Transaction_date)" numFmtId="0" databaseField="0">
      <fieldGroup base="15">
        <rangePr groupBy="months" startDate="2023-08-07T00:00:00" endDate="2025-08-06T00:00:00"/>
        <groupItems count="14">
          <s v="&lt;8/7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6/2025"/>
        </groupItems>
      </fieldGroup>
    </cacheField>
    <cacheField name="Quarters (Transaction_date)" numFmtId="0" databaseField="0">
      <fieldGroup base="15">
        <rangePr groupBy="quarters" startDate="2023-08-07T00:00:00" endDate="2025-08-06T00:00:00"/>
        <groupItems count="6">
          <s v="&lt;8/7/2023"/>
          <s v="Qtr1"/>
          <s v="Qtr2"/>
          <s v="Qtr3"/>
          <s v="Qtr4"/>
          <s v="&gt;8/6/2025"/>
        </groupItems>
      </fieldGroup>
    </cacheField>
    <cacheField name="Years (Transaction_date)" numFmtId="0" databaseField="0">
      <fieldGroup base="15">
        <rangePr groupBy="years" startDate="2023-08-07T00:00:00" endDate="2025-08-06T00:00:00"/>
        <groupItems count="5">
          <s v="&lt;8/7/2023"/>
          <s v="2023"/>
          <s v="2024"/>
          <s v="2025"/>
          <s v="&gt;8/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0">
  <r>
    <n v="2824"/>
    <s v="GreenGrocer Plaza"/>
    <d v="2023-08-26T00:00:00"/>
    <s v="Produce"/>
    <s v="Pasta"/>
    <n v="2"/>
    <n v="619.17999999999995"/>
    <n v="1238.3599999999999"/>
    <n v="0"/>
    <n v="1238.3599999999999"/>
    <n v="377"/>
    <d v="1899-12-30T04:32:54"/>
    <n v="26"/>
    <n v="8"/>
    <n v="2023"/>
    <d v="2023-08-26T00:00:00"/>
    <s v="Debit Card"/>
    <s v="M"/>
    <n v="5"/>
    <s v="Delhi"/>
    <x v="0"/>
  </r>
  <r>
    <n v="5506"/>
    <s v="ValuePlus Market"/>
    <d v="2024-02-13T00:00:00"/>
    <s v="Dairy"/>
    <s v="Cheese"/>
    <n v="1"/>
    <n v="153.55000000000001"/>
    <n v="153.55000000000001"/>
    <n v="283.02999999999997"/>
    <n v="-129.47999999999999"/>
    <n v="111"/>
    <d v="1899-12-30T12:53:51"/>
    <n v="13"/>
    <n v="2"/>
    <n v="2024"/>
    <d v="2024-02-13T00:00:00"/>
    <s v="UPI"/>
    <s v="F"/>
    <n v="4"/>
    <s v="Mumbai"/>
    <x v="1"/>
  </r>
  <r>
    <n v="4657"/>
    <s v="ValuePlus Market"/>
    <d v="2023-11-23T00:00:00"/>
    <s v="Bakery"/>
    <s v="Onions"/>
    <n v="4"/>
    <n v="612.54"/>
    <n v="2450.16"/>
    <n v="335.32"/>
    <n v="2114.84"/>
    <n v="301"/>
    <d v="1899-12-30T19:52:22"/>
    <n v="23"/>
    <n v="11"/>
    <n v="2023"/>
    <d v="2023-11-23T00:00:00"/>
    <s v="Cash"/>
    <s v="F"/>
    <n v="1"/>
    <s v="Ahmedabad"/>
    <x v="2"/>
  </r>
  <r>
    <n v="2679"/>
    <s v="SuperSave Central"/>
    <d v="2025-01-13T00:00:00"/>
    <s v="Snacks &amp; Candy"/>
    <s v="Cereal"/>
    <n v="3"/>
    <n v="456.5"/>
    <n v="1369.5"/>
    <n v="113.71"/>
    <n v="1255.79"/>
    <n v="490"/>
    <d v="1899-12-30T11:39:40"/>
    <n v="13"/>
    <n v="1"/>
    <n v="2025"/>
    <d v="2025-01-13T00:00:00"/>
    <s v="Debit Card"/>
    <s v="M"/>
    <n v="5"/>
    <s v="Hyderabad"/>
    <x v="3"/>
  </r>
  <r>
    <n v="9935"/>
    <s v="GreenGrocer Plaza"/>
    <d v="2023-10-13T00:00:00"/>
    <s v="Canned Goods"/>
    <s v="Orange Juice"/>
    <n v="5"/>
    <n v="718.78"/>
    <n v="3593.9"/>
    <n v="124.5"/>
    <n v="3469.4"/>
    <n v="22"/>
    <d v="1899-12-30T00:09:12"/>
    <n v="13"/>
    <n v="10"/>
    <n v="2023"/>
    <d v="2023-10-13T00:00:00"/>
    <s v="Debit Card"/>
    <s v="F"/>
    <n v="2"/>
    <s v="Hyderabad"/>
    <x v="4"/>
  </r>
  <r>
    <n v="7912"/>
    <s v="Corner Grocery"/>
    <d v="2023-08-31T00:00:00"/>
    <s v="Dairy"/>
    <s v="Onions"/>
    <n v="3"/>
    <n v="2078.3200000000002"/>
    <n v="6234.96"/>
    <n v="146.91"/>
    <n v="6088.05"/>
    <n v="316"/>
    <d v="1899-12-30T09:37:50"/>
    <n v="31"/>
    <n v="8"/>
    <n v="2023"/>
    <d v="2023-08-31T00:00:00"/>
    <s v="UPI"/>
    <s v="F"/>
    <n v="5"/>
    <s v="Bangalore"/>
    <x v="5"/>
  </r>
  <r>
    <n v="1488"/>
    <s v="GreenGrocer Plaza"/>
    <d v="2023-10-18T00:00:00"/>
    <s v="Produce"/>
    <s v="Ground Beef"/>
    <n v="3"/>
    <n v="2453.48"/>
    <n v="7360.44"/>
    <n v="209.16"/>
    <n v="7151.28"/>
    <n v="437"/>
    <d v="1899-12-30T22:27:02"/>
    <n v="18"/>
    <n v="10"/>
    <n v="2023"/>
    <d v="2023-10-18T00:00:00"/>
    <s v="Cash"/>
    <s v="F"/>
    <n v="4"/>
    <s v="Delhi"/>
    <x v="6"/>
  </r>
  <r>
    <n v="4582"/>
    <s v="City Fresh Store"/>
    <d v="2024-02-03T00:00:00"/>
    <s v="Health &amp; Wellness"/>
    <s v="Orange Juice"/>
    <n v="2"/>
    <n v="973.59"/>
    <n v="1947.18"/>
    <n v="0"/>
    <n v="1947.18"/>
    <n v="107"/>
    <d v="1899-12-30T09:53:43"/>
    <n v="3"/>
    <n v="2"/>
    <n v="2024"/>
    <d v="2024-02-03T00:00:00"/>
    <s v="Cash"/>
    <s v="F"/>
    <n v="2"/>
    <s v="Jaipur"/>
    <x v="7"/>
  </r>
  <r>
    <n v="9279"/>
    <s v="GreenGrocer Plaza"/>
    <d v="2024-11-16T00:00:00"/>
    <s v="Household Items"/>
    <s v="Apples"/>
    <n v="5"/>
    <n v="1836.79"/>
    <n v="9183.9500000000007"/>
    <n v="918.81"/>
    <n v="8265.14"/>
    <n v="83"/>
    <d v="1899-12-30T01:13:06"/>
    <n v="16"/>
    <n v="11"/>
    <n v="2024"/>
    <d v="2024-11-16T00:00:00"/>
    <s v="Debit Card"/>
    <s v="M"/>
    <n v="4"/>
    <s v="Delhi"/>
    <x v="8"/>
  </r>
  <r>
    <n v="1434"/>
    <s v="QuickStop Market"/>
    <d v="2024-10-15T00:00:00"/>
    <s v="Health &amp; Wellness"/>
    <s v="Onions"/>
    <n v="2"/>
    <n v="1729.72"/>
    <n v="3459.44"/>
    <n v="692.22"/>
    <n v="2767.22"/>
    <n v="431"/>
    <d v="1899-12-30T14:53:19"/>
    <n v="15"/>
    <n v="10"/>
    <n v="2024"/>
    <d v="2024-10-15T00:00:00"/>
    <s v="Credit Card"/>
    <s v="M"/>
    <n v="2"/>
    <s v="Lucknow"/>
    <x v="9"/>
  </r>
  <r>
    <n v="4257"/>
    <s v="FreshMart Downtown"/>
    <d v="2025-02-13T00:00:00"/>
    <s v="Canned Goods"/>
    <s v="Tomatoes"/>
    <n v="3"/>
    <n v="241.53"/>
    <n v="724.59"/>
    <n v="145.25"/>
    <n v="579.34"/>
    <n v="467"/>
    <d v="1899-12-30T05:10:03"/>
    <n v="13"/>
    <n v="2"/>
    <n v="2025"/>
    <d v="2025-02-13T00:00:00"/>
    <s v="Debit Card"/>
    <s v="F"/>
    <n v="3"/>
    <s v="Kolkata"/>
    <x v="10"/>
  </r>
  <r>
    <n v="9928"/>
    <s v="City Fresh Store"/>
    <d v="2024-06-27T00:00:00"/>
    <s v="Snacks &amp; Candy"/>
    <s v="Salmon"/>
    <n v="2"/>
    <n v="719.61"/>
    <n v="1439.22"/>
    <n v="0"/>
    <n v="1439.22"/>
    <n v="126"/>
    <d v="1899-12-30T01:49:27"/>
    <n v="27"/>
    <n v="6"/>
    <n v="2024"/>
    <d v="2024-06-27T00:00:00"/>
    <s v="Debit Card"/>
    <s v="M"/>
    <n v="1"/>
    <s v="Mumbai"/>
    <x v="11"/>
  </r>
  <r>
    <n v="4611"/>
    <s v="Corner Grocery"/>
    <d v="2024-07-20T00:00:00"/>
    <s v="Household Items"/>
    <s v="Tomatoes"/>
    <n v="3"/>
    <n v="610.04999999999995"/>
    <n v="1830.15"/>
    <n v="333.66"/>
    <n v="1496.49"/>
    <n v="70"/>
    <d v="1899-12-30T21:51:09"/>
    <n v="20"/>
    <n v="7"/>
    <n v="2024"/>
    <d v="2024-07-20T00:00:00"/>
    <s v="Debit Card"/>
    <s v="M"/>
    <n v="1"/>
    <s v="Mumbai"/>
    <x v="12"/>
  </r>
  <r>
    <n v="5557"/>
    <s v="GreenGrocer Plaza"/>
    <d v="2025-04-26T00:00:00"/>
    <s v="Meat &amp; Seafood"/>
    <s v="Apples"/>
    <n v="4"/>
    <n v="1518.07"/>
    <n v="6072.28"/>
    <n v="413.34"/>
    <n v="5658.94"/>
    <n v="197"/>
    <d v="1899-12-30T13:43:15"/>
    <n v="26"/>
    <n v="4"/>
    <n v="2025"/>
    <d v="2025-04-26T00:00:00"/>
    <s v="Debit Card"/>
    <s v="M"/>
    <n v="4"/>
    <s v="Delhi"/>
    <x v="13"/>
  </r>
  <r>
    <n v="1106"/>
    <s v="ValuePlus Market"/>
    <d v="2025-03-18T00:00:00"/>
    <s v="Frozen Foods"/>
    <s v="Onions"/>
    <n v="1"/>
    <n v="1719.76"/>
    <n v="1719.76"/>
    <n v="0"/>
    <n v="1719.76"/>
    <n v="58"/>
    <d v="1899-12-30T22:24:39"/>
    <n v="18"/>
    <n v="3"/>
    <n v="2025"/>
    <d v="2025-03-18T00:00:00"/>
    <s v="UPI"/>
    <s v="M"/>
    <n v="1"/>
    <s v="Hyderabad"/>
    <x v="14"/>
  </r>
  <r>
    <n v="3615"/>
    <s v="MegaMart Westside"/>
    <d v="2025-01-30T00:00:00"/>
    <s v="Dairy"/>
    <s v="Rice"/>
    <n v="4"/>
    <n v="463.14"/>
    <n v="1852.56"/>
    <n v="336.15"/>
    <n v="1516.41"/>
    <n v="1"/>
    <d v="1899-12-30T01:24:13"/>
    <n v="30"/>
    <n v="1"/>
    <n v="2025"/>
    <d v="2025-01-30T00:00:00"/>
    <s v="Cash"/>
    <s v="M"/>
    <n v="4"/>
    <s v="Hyderabad"/>
    <x v="15"/>
  </r>
  <r>
    <n v="7924"/>
    <s v="ValuePlus Market"/>
    <d v="2024-04-27T00:00:00"/>
    <s v="Dairy"/>
    <s v="Rice"/>
    <n v="5"/>
    <n v="1547.95"/>
    <n v="7739.75"/>
    <n v="1547.95"/>
    <n v="6191.8"/>
    <n v="78"/>
    <d v="1899-12-30T17:37:24"/>
    <n v="27"/>
    <n v="4"/>
    <n v="2024"/>
    <d v="2024-04-27T00:00:00"/>
    <s v="UPI"/>
    <s v="F"/>
    <n v="4"/>
    <s v="Jaipur"/>
    <x v="16"/>
  </r>
  <r>
    <n v="5552"/>
    <s v="ValuePlus Market"/>
    <d v="2023-12-05T00:00:00"/>
    <s v="Personal Care"/>
    <s v="Bananas"/>
    <n v="5"/>
    <n v="862.37"/>
    <n v="4311.8500000000004"/>
    <n v="646.57000000000005"/>
    <n v="3665.28"/>
    <n v="9"/>
    <d v="1899-12-30T18:47:45"/>
    <n v="5"/>
    <n v="12"/>
    <n v="2023"/>
    <d v="2023-12-05T00:00:00"/>
    <s v="UPI"/>
    <s v="M"/>
    <n v="4"/>
    <s v="Lucknow"/>
    <x v="17"/>
  </r>
  <r>
    <n v="4527"/>
    <s v="QuickStop Market"/>
    <d v="2025-03-22T00:00:00"/>
    <s v="Bakery"/>
    <s v="Milk"/>
    <n v="2"/>
    <n v="2195.35"/>
    <n v="4390.7"/>
    <n v="326.19"/>
    <n v="4064.51"/>
    <n v="484"/>
    <d v="1899-12-30T14:18:23"/>
    <n v="22"/>
    <n v="3"/>
    <n v="2025"/>
    <d v="2025-03-22T00:00:00"/>
    <s v="UPI"/>
    <s v="M"/>
    <n v="1"/>
    <s v="Mumbai"/>
    <x v="18"/>
  </r>
  <r>
    <n v="6514"/>
    <s v="GreenGrocer Plaza"/>
    <d v="2023-10-25T00:00:00"/>
    <s v="Personal Care"/>
    <s v="Eggs"/>
    <n v="2"/>
    <n v="1669.96"/>
    <n v="3339.92"/>
    <n v="501.32"/>
    <n v="2838.6"/>
    <n v="484"/>
    <d v="1899-12-30T00:27:02"/>
    <n v="25"/>
    <n v="10"/>
    <n v="2023"/>
    <d v="2023-10-25T00:00:00"/>
    <s v="Debit Card"/>
    <s v="M"/>
    <n v="4"/>
    <s v="Jaipur"/>
    <x v="19"/>
  </r>
  <r>
    <n v="2519"/>
    <s v="ValuePlus Market"/>
    <d v="2024-05-28T00:00:00"/>
    <s v="Household Items"/>
    <s v="Cheese"/>
    <n v="2"/>
    <n v="2318.19"/>
    <n v="4636.38"/>
    <n v="0"/>
    <n v="4636.38"/>
    <n v="386"/>
    <d v="1899-12-30T19:56:03"/>
    <n v="28"/>
    <n v="5"/>
    <n v="2024"/>
    <d v="2024-05-28T00:00:00"/>
    <s v="Credit Card"/>
    <s v="M"/>
    <n v="1"/>
    <s v="Hyderabad"/>
    <x v="20"/>
  </r>
  <r>
    <n v="2584"/>
    <s v="QuickStop Market"/>
    <d v="2024-05-11T00:00:00"/>
    <s v="Snacks &amp; Candy"/>
    <s v="Orange Juice"/>
    <n v="4"/>
    <n v="2247.64"/>
    <n v="8990.56"/>
    <n v="1797.78"/>
    <n v="7192.78"/>
    <n v="231"/>
    <d v="1899-12-30T22:16:26"/>
    <n v="11"/>
    <n v="5"/>
    <n v="2024"/>
    <d v="2024-05-11T00:00:00"/>
    <s v="Cash"/>
    <s v="F"/>
    <n v="4"/>
    <s v="Jaipur"/>
    <x v="21"/>
  </r>
  <r>
    <n v="6635"/>
    <s v="FamilyFood Express"/>
    <d v="2024-11-17T00:00:00"/>
    <s v="Dairy"/>
    <s v="Cereal"/>
    <n v="1"/>
    <n v="1498.15"/>
    <n v="1498.15"/>
    <n v="106.24"/>
    <n v="1391.91"/>
    <n v="117"/>
    <d v="1899-12-30T23:08:25"/>
    <n v="17"/>
    <n v="11"/>
    <n v="2024"/>
    <d v="2024-11-17T00:00:00"/>
    <s v="Credit Card"/>
    <s v="F"/>
    <n v="5"/>
    <s v="Kolkata"/>
    <x v="22"/>
  </r>
  <r>
    <n v="5333"/>
    <s v="FreshMart Downtown"/>
    <d v="2025-04-24T00:00:00"/>
    <s v="Bakery"/>
    <s v="Bread"/>
    <n v="1"/>
    <n v="2151.36"/>
    <n v="2151.36"/>
    <n v="322.87"/>
    <n v="1828.49"/>
    <n v="36"/>
    <d v="1899-12-30T04:16:08"/>
    <n v="24"/>
    <n v="4"/>
    <n v="2025"/>
    <d v="2025-04-24T00:00:00"/>
    <s v="UPI"/>
    <s v="F"/>
    <n v="4"/>
    <s v="Hyderabad"/>
    <x v="23"/>
  </r>
  <r>
    <n v="1711"/>
    <s v="City Fresh Store"/>
    <d v="2025-02-23T00:00:00"/>
    <s v="Bakery"/>
    <s v="Onions"/>
    <n v="2"/>
    <n v="1823.51"/>
    <n v="3647.02"/>
    <n v="729.57"/>
    <n v="2917.45"/>
    <n v="451"/>
    <d v="1899-12-30T08:38:11"/>
    <n v="23"/>
    <n v="2"/>
    <n v="2025"/>
    <d v="2025-02-23T00:00:00"/>
    <s v="UPI"/>
    <s v="F"/>
    <n v="2"/>
    <s v="Pune"/>
    <x v="24"/>
  </r>
  <r>
    <n v="8527"/>
    <s v="City Fresh Store"/>
    <d v="2024-09-26T00:00:00"/>
    <s v="Snacks &amp; Candy"/>
    <s v="Yogurt"/>
    <n v="1"/>
    <n v="315.39999999999998"/>
    <n v="315.39999999999998"/>
    <n v="31.54"/>
    <n v="283.86"/>
    <n v="220"/>
    <d v="1899-12-30T15:21:36"/>
    <n v="26"/>
    <n v="9"/>
    <n v="2024"/>
    <d v="2024-09-26T00:00:00"/>
    <s v="Credit Card"/>
    <s v="M"/>
    <n v="4"/>
    <s v="Lucknow"/>
    <x v="25"/>
  </r>
  <r>
    <n v="3045"/>
    <s v="Corner Grocery"/>
    <d v="2025-07-23T00:00:00"/>
    <s v="Beverages"/>
    <s v="Milk"/>
    <n v="1"/>
    <n v="228.25"/>
    <n v="228.25"/>
    <n v="165.17"/>
    <n v="63.08"/>
    <n v="372"/>
    <d v="1899-12-30T22:21:44"/>
    <n v="23"/>
    <n v="7"/>
    <n v="2025"/>
    <d v="2025-07-23T00:00:00"/>
    <s v="Credit Card"/>
    <s v="F"/>
    <n v="3"/>
    <s v="Ahmedabad"/>
    <x v="26"/>
  </r>
  <r>
    <n v="7201"/>
    <s v="FamilyFood Express"/>
    <d v="2023-10-07T00:00:00"/>
    <s v="Personal Care"/>
    <s v="Salmon"/>
    <n v="2"/>
    <n v="1097.26"/>
    <n v="2194.52"/>
    <n v="439.07"/>
    <n v="1755.45"/>
    <n v="142"/>
    <d v="1899-12-30T19:18:50"/>
    <n v="7"/>
    <n v="10"/>
    <n v="2023"/>
    <d v="2023-10-07T00:00:00"/>
    <s v="Credit Card"/>
    <s v="M"/>
    <n v="4"/>
    <s v="Mumbai"/>
    <x v="27"/>
  </r>
  <r>
    <n v="5803"/>
    <s v="GreenGrocer Plaza"/>
    <d v="2025-05-12T00:00:00"/>
    <s v="Beverages"/>
    <s v="Onions"/>
    <n v="1"/>
    <n v="204.18"/>
    <n v="204.18"/>
    <n v="390.93"/>
    <n v="-186.75"/>
    <n v="276"/>
    <d v="1899-12-30T03:26:57"/>
    <n v="12"/>
    <n v="5"/>
    <n v="2025"/>
    <d v="2025-05-12T00:00:00"/>
    <s v="UPI"/>
    <s v="M"/>
    <n v="2"/>
    <s v="Bangalore"/>
    <x v="28"/>
  </r>
  <r>
    <n v="6925"/>
    <s v="FamilyFood Express"/>
    <d v="2024-10-28T00:00:00"/>
    <s v="Meat &amp; Seafood"/>
    <s v="Cheese"/>
    <n v="4"/>
    <n v="1240.8499999999999"/>
    <n v="4963.3999999999996"/>
    <n v="137.78"/>
    <n v="4825.62"/>
    <n v="442"/>
    <d v="1899-12-30T12:43:10"/>
    <n v="28"/>
    <n v="10"/>
    <n v="2024"/>
    <d v="2024-10-28T00:00:00"/>
    <s v="UPI"/>
    <s v="M"/>
    <n v="2"/>
    <s v="Kolkata"/>
    <x v="29"/>
  </r>
  <r>
    <n v="4150"/>
    <s v="FreshMart Downtown"/>
    <d v="2025-02-04T00:00:00"/>
    <s v="Snacks &amp; Candy"/>
    <s v="Pasta"/>
    <n v="4"/>
    <n v="768.58"/>
    <n v="3074.32"/>
    <n v="615.03"/>
    <n v="2459.29"/>
    <n v="356"/>
    <d v="1899-12-30T03:16:38"/>
    <n v="4"/>
    <n v="2"/>
    <n v="2025"/>
    <d v="2025-02-04T00:00:00"/>
    <s v="Cash"/>
    <s v="M"/>
    <n v="1"/>
    <s v="Chennai"/>
    <x v="30"/>
  </r>
  <r>
    <n v="2139"/>
    <s v="FamilyFood Express"/>
    <d v="2023-09-11T00:00:00"/>
    <s v="Frozen Foods"/>
    <s v="Yogurt"/>
    <n v="1"/>
    <n v="1476.57"/>
    <n v="1476.57"/>
    <n v="0"/>
    <n v="1476.57"/>
    <n v="277"/>
    <d v="1899-12-30T06:47:56"/>
    <n v="11"/>
    <n v="9"/>
    <n v="2023"/>
    <d v="2023-09-11T00:00:00"/>
    <s v="Cash"/>
    <s v="M"/>
    <n v="5"/>
    <s v="Ahmedabad"/>
    <x v="31"/>
  </r>
  <r>
    <n v="4733"/>
    <s v="MegaMart Westside"/>
    <d v="2025-03-29T00:00:00"/>
    <s v="Produce"/>
    <s v="Milk"/>
    <n v="5"/>
    <n v="1230.06"/>
    <n v="6150.3"/>
    <n v="401.72"/>
    <n v="5748.58"/>
    <n v="470"/>
    <d v="1899-12-30T08:22:57"/>
    <n v="29"/>
    <n v="3"/>
    <n v="2025"/>
    <d v="2025-03-29T00:00:00"/>
    <s v="UPI"/>
    <s v="F"/>
    <n v="4"/>
    <s v="Bangalore"/>
    <x v="32"/>
  </r>
  <r>
    <n v="5741"/>
    <s v="GreenGrocer Plaza"/>
    <d v="2023-10-07T00:00:00"/>
    <s v="Meat &amp; Seafood"/>
    <s v="Bread"/>
    <n v="5"/>
    <n v="245.68"/>
    <n v="1228.4000000000001"/>
    <n v="122.84"/>
    <n v="1105.56"/>
    <n v="441"/>
    <d v="1899-12-30T00:53:30"/>
    <n v="7"/>
    <n v="10"/>
    <n v="2023"/>
    <d v="2023-10-07T00:00:00"/>
    <s v="Credit Card"/>
    <s v="F"/>
    <n v="1"/>
    <s v="Hyderabad"/>
    <x v="33"/>
  </r>
  <r>
    <n v="4814"/>
    <s v="GreenGrocer Plaza"/>
    <d v="2025-06-10T00:00:00"/>
    <s v="Household Items"/>
    <s v="Ground Beef"/>
    <n v="5"/>
    <n v="1513.09"/>
    <n v="7565.45"/>
    <n v="756.96"/>
    <n v="6808.49"/>
    <n v="317"/>
    <d v="1899-12-30T12:27:46"/>
    <n v="10"/>
    <n v="6"/>
    <n v="2025"/>
    <d v="2025-06-10T00:00:00"/>
    <s v="Credit Card"/>
    <s v="F"/>
    <n v="5"/>
    <s v="Chennai"/>
    <x v="34"/>
  </r>
  <r>
    <n v="2654"/>
    <s v="ValuePlus Market"/>
    <d v="2024-05-28T00:00:00"/>
    <s v="Canned Goods"/>
    <s v="Pasta"/>
    <n v="2"/>
    <n v="1694.03"/>
    <n v="3388.06"/>
    <n v="507.96"/>
    <n v="2880.1"/>
    <n v="160"/>
    <d v="1899-12-30T16:34:19"/>
    <n v="28"/>
    <n v="5"/>
    <n v="2024"/>
    <d v="2024-05-28T00:00:00"/>
    <s v="Cash"/>
    <s v="F"/>
    <n v="4"/>
    <s v="Delhi"/>
    <x v="35"/>
  </r>
  <r>
    <n v="5554"/>
    <s v="Corner Grocery"/>
    <d v="2024-07-24T00:00:00"/>
    <s v="Meat &amp; Seafood"/>
    <s v="Rice"/>
    <n v="4"/>
    <n v="843.28"/>
    <n v="3373.12"/>
    <n v="234.89"/>
    <n v="3138.23"/>
    <n v="384"/>
    <d v="1899-12-30T12:57:29"/>
    <n v="24"/>
    <n v="7"/>
    <n v="2024"/>
    <d v="2024-07-24T00:00:00"/>
    <s v="UPI"/>
    <s v="M"/>
    <n v="3"/>
    <s v="Delhi"/>
    <x v="36"/>
  </r>
  <r>
    <n v="6977"/>
    <s v="GreenGrocer Plaza"/>
    <d v="2023-12-11T00:00:00"/>
    <s v="Dairy"/>
    <s v="Onions"/>
    <n v="2"/>
    <n v="1299.78"/>
    <n v="2599.56"/>
    <n v="375.16"/>
    <n v="2224.4"/>
    <n v="67"/>
    <d v="1899-12-30T13:00:08"/>
    <n v="11"/>
    <n v="12"/>
    <n v="2023"/>
    <d v="2023-12-11T00:00:00"/>
    <s v="Cash"/>
    <s v="F"/>
    <n v="4"/>
    <s v="Kolkata"/>
    <x v="37"/>
  </r>
  <r>
    <n v="7065"/>
    <s v="MegaMart Westside"/>
    <d v="2024-05-08T00:00:00"/>
    <s v="Frozen Foods"/>
    <s v="Apples"/>
    <n v="4"/>
    <n v="2089.11"/>
    <n v="8356.44"/>
    <n v="410.02"/>
    <n v="7946.42"/>
    <n v="360"/>
    <d v="1899-12-30T01:23:46"/>
    <n v="8"/>
    <n v="5"/>
    <n v="2024"/>
    <d v="2024-05-08T00:00:00"/>
    <s v="Cash"/>
    <s v="M"/>
    <n v="2"/>
    <s v="Delhi"/>
    <x v="38"/>
  </r>
  <r>
    <n v="4432"/>
    <s v="ValuePlus Market"/>
    <d v="2025-01-08T00:00:00"/>
    <s v="Produce"/>
    <s v="Onions"/>
    <n v="3"/>
    <n v="2324.83"/>
    <n v="6974.49"/>
    <n v="1045.8"/>
    <n v="5928.69"/>
    <n v="53"/>
    <d v="1899-12-30T14:56:42"/>
    <n v="8"/>
    <n v="1"/>
    <n v="2025"/>
    <d v="2025-01-08T00:00:00"/>
    <s v="Debit Card"/>
    <s v="F"/>
    <n v="2"/>
    <s v="Chennai"/>
    <x v="39"/>
  </r>
  <r>
    <n v="5374"/>
    <s v="GreenGrocer Plaza"/>
    <d v="2025-02-02T00:00:00"/>
    <s v="Dairy"/>
    <s v="Onions"/>
    <n v="2"/>
    <n v="737.87"/>
    <n v="1475.74"/>
    <n v="0"/>
    <n v="1475.74"/>
    <n v="309"/>
    <d v="1899-12-30T12:13:30"/>
    <n v="2"/>
    <n v="2"/>
    <n v="2025"/>
    <d v="2025-02-02T00:00:00"/>
    <s v="Debit Card"/>
    <s v="M"/>
    <n v="3"/>
    <s v="Chennai"/>
    <x v="40"/>
  </r>
  <r>
    <n v="2169"/>
    <s v="MegaMart Westside"/>
    <d v="2024-11-22T00:00:00"/>
    <s v="Bakery"/>
    <s v="Pasta"/>
    <n v="5"/>
    <n v="1258.28"/>
    <n v="6291.4"/>
    <n v="293.82"/>
    <n v="5997.58"/>
    <n v="463"/>
    <d v="1899-12-30T11:12:33"/>
    <n v="22"/>
    <n v="11"/>
    <n v="2024"/>
    <d v="2024-11-22T00:00:00"/>
    <s v="Debit Card"/>
    <s v="M"/>
    <n v="1"/>
    <s v="Lucknow"/>
    <x v="41"/>
  </r>
  <r>
    <n v="3803"/>
    <s v="QuickStop Market"/>
    <d v="2024-09-24T00:00:00"/>
    <s v="Produce"/>
    <s v="Bananas"/>
    <n v="3"/>
    <n v="1938.05"/>
    <n v="5814.15"/>
    <n v="1162.83"/>
    <n v="4651.32"/>
    <n v="326"/>
    <d v="1899-12-30T04:41:14"/>
    <n v="24"/>
    <n v="9"/>
    <n v="2024"/>
    <d v="2024-09-24T00:00:00"/>
    <s v="Credit Card"/>
    <s v="F"/>
    <n v="5"/>
    <s v="Ahmedabad"/>
    <x v="42"/>
  </r>
  <r>
    <n v="5010"/>
    <s v="City Fresh Store"/>
    <d v="2023-12-11T00:00:00"/>
    <s v="Personal Care"/>
    <s v="Cheese"/>
    <n v="5"/>
    <n v="105.41"/>
    <n v="527.04999999999995"/>
    <n v="94.62"/>
    <n v="432.43"/>
    <n v="38"/>
    <d v="1899-12-30T20:26:23"/>
    <n v="11"/>
    <n v="12"/>
    <n v="2023"/>
    <d v="2023-12-11T00:00:00"/>
    <s v="UPI"/>
    <s v="M"/>
    <n v="4"/>
    <s v="Mumbai"/>
    <x v="43"/>
  </r>
  <r>
    <n v="8573"/>
    <s v="MegaMart Westside"/>
    <d v="2024-05-27T00:00:00"/>
    <s v="Household Items"/>
    <s v="Onions"/>
    <n v="2"/>
    <n v="1116.3499999999999"/>
    <n v="2232.6999999999998"/>
    <n v="334.49"/>
    <n v="1898.21"/>
    <n v="21"/>
    <d v="1899-12-30T04:30:56"/>
    <n v="27"/>
    <n v="5"/>
    <n v="2024"/>
    <d v="2024-05-27T00:00:00"/>
    <s v="UPI"/>
    <s v="M"/>
    <n v="2"/>
    <s v="Pune"/>
    <x v="44"/>
  </r>
  <r>
    <n v="5422"/>
    <s v="FreshMart Downtown"/>
    <d v="2025-07-25T00:00:00"/>
    <s v="Canned Goods"/>
    <s v="Yogurt"/>
    <n v="2"/>
    <n v="1687.39"/>
    <n v="3374.78"/>
    <n v="332"/>
    <n v="3042.78"/>
    <n v="181"/>
    <d v="1899-12-30T02:43:44"/>
    <n v="25"/>
    <n v="7"/>
    <n v="2025"/>
    <d v="2025-07-25T00:00:00"/>
    <s v="UPI"/>
    <s v="F"/>
    <n v="1"/>
    <s v="Jaipur"/>
    <x v="45"/>
  </r>
  <r>
    <n v="4598"/>
    <s v="FamilyFood Express"/>
    <d v="2025-01-19T00:00:00"/>
    <s v="Meat &amp; Seafood"/>
    <s v="Apples"/>
    <n v="4"/>
    <n v="141.93"/>
    <n v="567.72"/>
    <n v="56.44"/>
    <n v="511.28"/>
    <n v="377"/>
    <d v="1899-12-30T07:39:29"/>
    <n v="19"/>
    <n v="1"/>
    <n v="2025"/>
    <d v="2025-01-19T00:00:00"/>
    <s v="UPI"/>
    <s v="M"/>
    <n v="3"/>
    <s v="Delhi"/>
    <x v="46"/>
  </r>
  <r>
    <n v="6313"/>
    <s v="FamilyFood Express"/>
    <d v="2025-05-22T00:00:00"/>
    <s v="Frozen Foods"/>
    <s v="Apples"/>
    <n v="1"/>
    <n v="1002.64"/>
    <n v="1002.64"/>
    <n v="200.86"/>
    <n v="801.78"/>
    <n v="19"/>
    <d v="1899-12-30T09:33:55"/>
    <n v="22"/>
    <n v="5"/>
    <n v="2025"/>
    <d v="2025-05-22T00:00:00"/>
    <s v="Debit Card"/>
    <s v="F"/>
    <n v="2"/>
    <s v="Kolkata"/>
    <x v="47"/>
  </r>
  <r>
    <n v="1916"/>
    <s v="FamilyFood Express"/>
    <d v="2024-01-31T00:00:00"/>
    <s v="Beverages"/>
    <s v="Orange Juice"/>
    <n v="3"/>
    <n v="2057.5700000000002"/>
    <n v="6172.71"/>
    <n v="1234.21"/>
    <n v="4938.5"/>
    <n v="446"/>
    <d v="1899-12-30T12:57:03"/>
    <n v="31"/>
    <n v="1"/>
    <n v="2024"/>
    <d v="2024-01-31T00:00:00"/>
    <s v="Credit Card"/>
    <s v="F"/>
    <n v="3"/>
    <s v="Delhi"/>
    <x v="48"/>
  </r>
  <r>
    <n v="1525"/>
    <s v="FreshMart Downtown"/>
    <d v="2025-04-23T00:00:00"/>
    <s v="Health &amp; Wellness"/>
    <s v="Yogurt"/>
    <n v="4"/>
    <n v="872.33"/>
    <n v="3489.32"/>
    <n v="523.73"/>
    <n v="2965.59"/>
    <n v="442"/>
    <d v="1899-12-30T01:03:37"/>
    <n v="23"/>
    <n v="4"/>
    <n v="2025"/>
    <d v="2025-04-23T00:00:00"/>
    <s v="Credit Card"/>
    <s v="F"/>
    <n v="4"/>
    <s v="Jaipur"/>
    <x v="49"/>
  </r>
  <r>
    <n v="6168"/>
    <s v="MegaMart Westside"/>
    <d v="2024-06-13T00:00:00"/>
    <s v="Health &amp; Wellness"/>
    <s v="Carrots"/>
    <n v="4"/>
    <n v="1718.1"/>
    <n v="6872.4"/>
    <n v="121.18"/>
    <n v="6751.22"/>
    <n v="431"/>
    <d v="1899-12-30T21:15:41"/>
    <n v="13"/>
    <n v="6"/>
    <n v="2024"/>
    <d v="2024-06-13T00:00:00"/>
    <s v="Debit Card"/>
    <s v="M"/>
    <n v="5"/>
    <s v="Ahmedabad"/>
    <x v="50"/>
  </r>
  <r>
    <n v="5386"/>
    <s v="QuickStop Market"/>
    <d v="2023-09-27T00:00:00"/>
    <s v="Meat &amp; Seafood"/>
    <s v="Pasta"/>
    <n v="1"/>
    <n v="342.79"/>
    <n v="342.79"/>
    <n v="0"/>
    <n v="342.79"/>
    <n v="222"/>
    <d v="1899-12-30T10:32:41"/>
    <n v="27"/>
    <n v="9"/>
    <n v="2023"/>
    <d v="2023-09-27T00:00:00"/>
    <s v="Credit Card"/>
    <s v="M"/>
    <n v="2"/>
    <s v="Lucknow"/>
    <x v="51"/>
  </r>
  <r>
    <n v="4456"/>
    <s v="MegaMart Westside"/>
    <d v="2025-07-16T00:00:00"/>
    <s v="Snacks &amp; Candy"/>
    <s v="Carrots"/>
    <n v="1"/>
    <n v="1009.28"/>
    <n v="1009.28"/>
    <n v="151.06"/>
    <n v="858.22"/>
    <n v="295"/>
    <d v="1899-12-30T10:19:55"/>
    <n v="16"/>
    <n v="7"/>
    <n v="2025"/>
    <d v="2025-07-16T00:00:00"/>
    <s v="Debit Card"/>
    <s v="M"/>
    <n v="2"/>
    <s v="Chennai"/>
    <x v="52"/>
  </r>
  <r>
    <n v="6155"/>
    <s v="FreshMart Downtown"/>
    <d v="2024-01-19T00:00:00"/>
    <s v="Snacks &amp; Candy"/>
    <s v="Bananas"/>
    <n v="5"/>
    <n v="2309.89"/>
    <n v="11549.45"/>
    <n v="1732.21"/>
    <n v="9817.24"/>
    <n v="275"/>
    <d v="1899-12-30T12:27:10"/>
    <n v="19"/>
    <n v="1"/>
    <n v="2024"/>
    <d v="2024-01-19T00:00:00"/>
    <s v="UPI"/>
    <s v="F"/>
    <n v="4"/>
    <s v="Lucknow"/>
    <x v="53"/>
  </r>
  <r>
    <n v="9179"/>
    <s v="Corner Grocery"/>
    <d v="2024-06-09T00:00:00"/>
    <s v="Dairy"/>
    <s v="Cereal"/>
    <n v="5"/>
    <n v="837.47"/>
    <n v="4187.3500000000004"/>
    <n v="0"/>
    <n v="4187.3500000000004"/>
    <n v="434"/>
    <d v="1899-12-30T21:45:36"/>
    <n v="9"/>
    <n v="6"/>
    <n v="2024"/>
    <d v="2024-06-09T00:00:00"/>
    <s v="Debit Card"/>
    <s v="M"/>
    <n v="1"/>
    <s v="Hyderabad"/>
    <x v="54"/>
  </r>
  <r>
    <n v="8517"/>
    <s v="QuickStop Market"/>
    <d v="2023-11-25T00:00:00"/>
    <s v="Personal Care"/>
    <s v="Rice"/>
    <n v="4"/>
    <n v="867.35"/>
    <n v="3469.4"/>
    <n v="125.33"/>
    <n v="3344.07"/>
    <n v="356"/>
    <d v="1899-12-30T20:37:32"/>
    <n v="25"/>
    <n v="11"/>
    <n v="2023"/>
    <d v="2023-11-25T00:00:00"/>
    <s v="UPI"/>
    <s v="F"/>
    <n v="5"/>
    <s v="Delhi"/>
    <x v="55"/>
  </r>
  <r>
    <n v="5339"/>
    <s v="Corner Grocery"/>
    <d v="2023-11-23T00:00:00"/>
    <s v="Health &amp; Wellness"/>
    <s v="Tomatoes"/>
    <n v="2"/>
    <n v="1563.72"/>
    <n v="3127.44"/>
    <n v="359.39"/>
    <n v="2768.05"/>
    <n v="154"/>
    <d v="1899-12-30T07:45:12"/>
    <n v="23"/>
    <n v="11"/>
    <n v="2023"/>
    <d v="2023-11-23T00:00:00"/>
    <s v="UPI"/>
    <s v="F"/>
    <n v="2"/>
    <s v="Mumbai"/>
    <x v="56"/>
  </r>
  <r>
    <n v="5040"/>
    <s v="QuickStop Market"/>
    <d v="2025-03-07T00:00:00"/>
    <s v="Frozen Foods"/>
    <s v="Yogurt"/>
    <n v="4"/>
    <n v="1973.74"/>
    <n v="7894.96"/>
    <n v="789.33"/>
    <n v="7105.63"/>
    <n v="310"/>
    <d v="1899-12-30T17:29:20"/>
    <n v="7"/>
    <n v="3"/>
    <n v="2025"/>
    <d v="2025-03-07T00:00:00"/>
    <s v="Cash"/>
    <s v="M"/>
    <n v="5"/>
    <s v="Hyderabad"/>
    <x v="57"/>
  </r>
  <r>
    <n v="9830"/>
    <s v="City Fresh Store"/>
    <d v="2024-02-27T00:00:00"/>
    <s v="Beverages"/>
    <s v="Yogurt"/>
    <n v="5"/>
    <n v="1220.93"/>
    <n v="6104.65"/>
    <n v="0"/>
    <n v="6104.65"/>
    <n v="461"/>
    <d v="1899-12-30T23:23:04"/>
    <n v="27"/>
    <n v="2"/>
    <n v="2024"/>
    <d v="2024-02-27T00:00:00"/>
    <s v="Debit Card"/>
    <s v="F"/>
    <n v="2"/>
    <s v="Ahmedabad"/>
    <x v="58"/>
  </r>
  <r>
    <n v="8019"/>
    <s v="GreenGrocer Plaza"/>
    <d v="2025-07-04T00:00:00"/>
    <s v="Frozen Foods"/>
    <s v="Carrots"/>
    <n v="5"/>
    <n v="888.93"/>
    <n v="4444.6499999999996"/>
    <n v="0"/>
    <n v="4444.6499999999996"/>
    <n v="419"/>
    <d v="1899-12-30T08:46:31"/>
    <n v="4"/>
    <n v="7"/>
    <n v="2025"/>
    <d v="2025-07-04T00:00:00"/>
    <s v="Cash"/>
    <s v="M"/>
    <n v="5"/>
    <s v="Delhi"/>
    <x v="59"/>
  </r>
  <r>
    <n v="7543"/>
    <s v="QuickStop Market"/>
    <d v="2024-05-14T00:00:00"/>
    <s v="Bakery"/>
    <s v="Yogurt"/>
    <n v="2"/>
    <n v="141.1"/>
    <n v="282.2"/>
    <n v="365.2"/>
    <n v="-83"/>
    <n v="125"/>
    <d v="1899-12-30T12:55:56"/>
    <n v="14"/>
    <n v="5"/>
    <n v="2024"/>
    <d v="2024-05-14T00:00:00"/>
    <s v="Debit Card"/>
    <s v="M"/>
    <n v="3"/>
    <s v="Hyderabad"/>
    <x v="60"/>
  </r>
  <r>
    <n v="4593"/>
    <s v="GreenGrocer Plaza"/>
    <d v="2023-11-22T00:00:00"/>
    <s v="Beverages"/>
    <s v="Cheese"/>
    <n v="5"/>
    <n v="550.29"/>
    <n v="2751.45"/>
    <n v="274.73"/>
    <n v="2476.7199999999998"/>
    <n v="356"/>
    <d v="1899-12-30T08:50:09"/>
    <n v="22"/>
    <n v="11"/>
    <n v="2023"/>
    <d v="2023-11-22T00:00:00"/>
    <s v="Debit Card"/>
    <s v="M"/>
    <n v="2"/>
    <s v="Delhi"/>
    <x v="61"/>
  </r>
  <r>
    <n v="9348"/>
    <s v="Corner Grocery"/>
    <d v="2024-08-24T00:00:00"/>
    <s v="Bakery"/>
    <s v="Eggs"/>
    <n v="1"/>
    <n v="2231.04"/>
    <n v="2231.04"/>
    <n v="223.27"/>
    <n v="2007.77"/>
    <n v="440"/>
    <d v="1899-12-30T12:26:44"/>
    <n v="24"/>
    <n v="8"/>
    <n v="2024"/>
    <d v="2024-08-24T00:00:00"/>
    <s v="Cash"/>
    <s v="M"/>
    <n v="5"/>
    <s v="Kolkata"/>
    <x v="62"/>
  </r>
  <r>
    <n v="2489"/>
    <s v="FamilyFood Express"/>
    <d v="2025-03-16T00:00:00"/>
    <s v="Meat &amp; Seafood"/>
    <s v="Carrots"/>
    <n v="4"/>
    <n v="203.35"/>
    <n v="813.4"/>
    <n v="81.34"/>
    <n v="732.06"/>
    <n v="127"/>
    <d v="1899-12-30T21:40:59"/>
    <n v="16"/>
    <n v="3"/>
    <n v="2025"/>
    <d v="2025-03-16T00:00:00"/>
    <s v="Cash"/>
    <s v="M"/>
    <n v="1"/>
    <s v="Ahmedabad"/>
    <x v="63"/>
  </r>
  <r>
    <n v="1771"/>
    <s v="SuperSave Central"/>
    <d v="2025-06-05T00:00:00"/>
    <s v="Beverages"/>
    <s v="Carrots"/>
    <n v="5"/>
    <n v="1515.58"/>
    <n v="7577.9"/>
    <n v="353.58"/>
    <n v="7224.32"/>
    <n v="486"/>
    <d v="1899-12-30T15:27:07"/>
    <n v="5"/>
    <n v="6"/>
    <n v="2025"/>
    <d v="2025-06-05T00:00:00"/>
    <s v="Debit Card"/>
    <s v="F"/>
    <n v="3"/>
    <s v="Pune"/>
    <x v="64"/>
  </r>
  <r>
    <n v="2796"/>
    <s v="ValuePlus Market"/>
    <d v="2023-12-03T00:00:00"/>
    <s v="Snacks &amp; Candy"/>
    <s v="Onions"/>
    <n v="4"/>
    <n v="2241.83"/>
    <n v="8967.32"/>
    <n v="896.4"/>
    <n v="8070.92"/>
    <n v="380"/>
    <d v="1899-12-30T18:12:36"/>
    <n v="3"/>
    <n v="12"/>
    <n v="2023"/>
    <d v="2023-12-03T00:00:00"/>
    <s v="Credit Card"/>
    <s v="F"/>
    <n v="3"/>
    <s v="Chennai"/>
    <x v="65"/>
  </r>
  <r>
    <n v="3621"/>
    <s v="QuickStop Market"/>
    <d v="2025-04-13T00:00:00"/>
    <s v="Bakery"/>
    <s v="Pasta"/>
    <n v="5"/>
    <n v="1248.32"/>
    <n v="6241.6"/>
    <n v="624.16"/>
    <n v="5617.44"/>
    <n v="122"/>
    <d v="1899-12-30T03:19:57"/>
    <n v="13"/>
    <n v="4"/>
    <n v="2025"/>
    <d v="2025-04-13T00:00:00"/>
    <s v="UPI"/>
    <s v="F"/>
    <n v="1"/>
    <s v="Bangalore"/>
    <x v="66"/>
  </r>
  <r>
    <n v="7916"/>
    <s v="GreenGrocer Plaza"/>
    <d v="2024-11-12T00:00:00"/>
    <s v="Frozen Foods"/>
    <s v="Ground Beef"/>
    <n v="3"/>
    <n v="890.59"/>
    <n v="2671.77"/>
    <n v="534.52"/>
    <n v="2137.25"/>
    <n v="457"/>
    <d v="1899-12-30T19:26:53"/>
    <n v="12"/>
    <n v="11"/>
    <n v="2024"/>
    <d v="2024-11-12T00:00:00"/>
    <s v="Cash"/>
    <s v="M"/>
    <n v="5"/>
    <s v="Chennai"/>
    <x v="67"/>
  </r>
  <r>
    <n v="2040"/>
    <s v="SuperSave Central"/>
    <d v="2024-05-31T00:00:00"/>
    <s v="Bakery"/>
    <s v="Tomatoes"/>
    <n v="2"/>
    <n v="1782.84"/>
    <n v="3565.68"/>
    <n v="356.9"/>
    <n v="3208.78"/>
    <n v="32"/>
    <d v="1899-12-30T13:21:17"/>
    <n v="31"/>
    <n v="5"/>
    <n v="2024"/>
    <d v="2024-05-31T00:00:00"/>
    <s v="UPI"/>
    <s v="M"/>
    <n v="4"/>
    <s v="Chennai"/>
    <x v="68"/>
  </r>
  <r>
    <n v="7252"/>
    <s v="MegaMart Westside"/>
    <d v="2024-11-11T00:00:00"/>
    <s v="Personal Care"/>
    <s v="Salmon"/>
    <n v="4"/>
    <n v="232.4"/>
    <n v="929.6"/>
    <n v="92.96"/>
    <n v="836.64"/>
    <n v="426"/>
    <d v="1899-12-30T10:03:52"/>
    <n v="11"/>
    <n v="11"/>
    <n v="2024"/>
    <d v="2024-11-11T00:00:00"/>
    <s v="Credit Card"/>
    <s v="M"/>
    <n v="1"/>
    <s v="Hyderabad"/>
    <x v="69"/>
  </r>
  <r>
    <n v="8668"/>
    <s v="FreshMart Downtown"/>
    <d v="2024-09-20T00:00:00"/>
    <s v="Household Items"/>
    <s v="Tomatoes"/>
    <n v="4"/>
    <n v="96.28"/>
    <n v="385.12"/>
    <n v="38.18"/>
    <n v="346.94"/>
    <n v="180"/>
    <d v="1899-12-30T07:09:04"/>
    <n v="20"/>
    <n v="9"/>
    <n v="2024"/>
    <d v="2024-09-20T00:00:00"/>
    <s v="Credit Card"/>
    <s v="F"/>
    <n v="5"/>
    <s v="Ahmedabad"/>
    <x v="70"/>
  </r>
  <r>
    <n v="5119"/>
    <s v="Corner Grocery"/>
    <d v="2024-10-09T00:00:00"/>
    <s v="Personal Care"/>
    <s v="Onions"/>
    <n v="5"/>
    <n v="2243.4899999999998"/>
    <n v="11217.45"/>
    <n v="1682.41"/>
    <n v="9535.0400000000009"/>
    <n v="249"/>
    <d v="1899-12-30T00:07:25"/>
    <n v="9"/>
    <n v="10"/>
    <n v="2024"/>
    <d v="2024-10-09T00:00:00"/>
    <s v="Credit Card"/>
    <s v="M"/>
    <n v="1"/>
    <s v="Delhi"/>
    <x v="71"/>
  </r>
  <r>
    <n v="1188"/>
    <s v="Corner Grocery"/>
    <d v="2025-01-16T00:00:00"/>
    <s v="Beverages"/>
    <s v="Bananas"/>
    <n v="4"/>
    <n v="891.42"/>
    <n v="3565.68"/>
    <n v="0"/>
    <n v="3565.68"/>
    <n v="347"/>
    <d v="1899-12-30T04:44:27"/>
    <n v="16"/>
    <n v="1"/>
    <n v="2025"/>
    <d v="2025-01-16T00:00:00"/>
    <s v="Cash"/>
    <s v="F"/>
    <n v="1"/>
    <s v="Lucknow"/>
    <x v="72"/>
  </r>
  <r>
    <n v="2876"/>
    <s v="SuperSave Central"/>
    <d v="2025-01-17T00:00:00"/>
    <s v="Beverages"/>
    <s v="Eggs"/>
    <n v="5"/>
    <n v="1367.84"/>
    <n v="6839.2"/>
    <n v="270.58"/>
    <n v="6568.62"/>
    <n v="464"/>
    <d v="1899-12-30T16:17:05"/>
    <n v="17"/>
    <n v="1"/>
    <n v="2025"/>
    <d v="2025-01-17T00:00:00"/>
    <s v="Credit Card"/>
    <s v="F"/>
    <n v="2"/>
    <s v="Bangalore"/>
    <x v="73"/>
  </r>
  <r>
    <n v="9797"/>
    <s v="FreshMart Downtown"/>
    <d v="2025-03-12T00:00:00"/>
    <s v="Dairy"/>
    <s v="Cheese"/>
    <n v="2"/>
    <n v="2168.79"/>
    <n v="4337.58"/>
    <n v="650.72"/>
    <n v="3686.86"/>
    <n v="93"/>
    <d v="1899-12-30T18:13:24"/>
    <n v="12"/>
    <n v="3"/>
    <n v="2025"/>
    <d v="2025-03-12T00:00:00"/>
    <s v="Cash"/>
    <s v="M"/>
    <n v="5"/>
    <s v="Jaipur"/>
    <x v="74"/>
  </r>
  <r>
    <n v="5371"/>
    <s v="Corner Grocery"/>
    <d v="2025-03-25T00:00:00"/>
    <s v="Canned Goods"/>
    <s v="Yogurt"/>
    <n v="4"/>
    <n v="869.01"/>
    <n v="3476.04"/>
    <n v="521.24"/>
    <n v="2954.8"/>
    <n v="389"/>
    <d v="1899-12-30T21:22:27"/>
    <n v="25"/>
    <n v="3"/>
    <n v="2025"/>
    <d v="2025-03-25T00:00:00"/>
    <s v="Credit Card"/>
    <s v="M"/>
    <n v="4"/>
    <s v="Hyderabad"/>
    <x v="75"/>
  </r>
  <r>
    <n v="6573"/>
    <s v="Corner Grocery"/>
    <d v="2023-11-01T00:00:00"/>
    <s v="Frozen Foods"/>
    <s v="Bread"/>
    <n v="4"/>
    <n v="128.65"/>
    <n v="514.6"/>
    <n v="77.19"/>
    <n v="437.41"/>
    <n v="276"/>
    <d v="1899-12-30T02:55:04"/>
    <n v="1"/>
    <n v="11"/>
    <n v="2023"/>
    <d v="2023-11-01T00:00:00"/>
    <s v="UPI"/>
    <s v="F"/>
    <n v="2"/>
    <s v="Bangalore"/>
    <x v="76"/>
  </r>
  <r>
    <n v="5808"/>
    <s v="FamilyFood Express"/>
    <d v="2024-07-09T00:00:00"/>
    <s v="Health &amp; Wellness"/>
    <s v="Bread"/>
    <n v="1"/>
    <n v="1897.38"/>
    <n v="1897.38"/>
    <n v="379.31"/>
    <n v="1518.07"/>
    <n v="486"/>
    <d v="1899-12-30T22:11:34"/>
    <n v="9"/>
    <n v="7"/>
    <n v="2024"/>
    <d v="2024-07-09T00:00:00"/>
    <s v="UPI"/>
    <s v="M"/>
    <n v="1"/>
    <s v="Pune"/>
    <x v="77"/>
  </r>
  <r>
    <n v="3591"/>
    <s v="FreshMart Downtown"/>
    <d v="2024-07-24T00:00:00"/>
    <s v="Household Items"/>
    <s v="Eggs"/>
    <n v="2"/>
    <n v="385.95"/>
    <n v="771.9"/>
    <n v="397.57"/>
    <n v="374.33"/>
    <n v="342"/>
    <d v="1899-12-30T15:57:14"/>
    <n v="24"/>
    <n v="7"/>
    <n v="2024"/>
    <d v="2024-07-24T00:00:00"/>
    <s v="Debit Card"/>
    <s v="F"/>
    <n v="1"/>
    <s v="Kolkata"/>
    <x v="78"/>
  </r>
  <r>
    <n v="1053"/>
    <s v="City Fresh Store"/>
    <d v="2025-02-17T00:00:00"/>
    <s v="Frozen Foods"/>
    <s v="Orange Juice"/>
    <n v="2"/>
    <n v="1540.48"/>
    <n v="3080.96"/>
    <n v="615.86"/>
    <n v="2465.1"/>
    <n v="493"/>
    <d v="1899-12-30T18:29:13"/>
    <n v="17"/>
    <n v="2"/>
    <n v="2025"/>
    <d v="2025-02-17T00:00:00"/>
    <s v="UPI"/>
    <s v="M"/>
    <n v="1"/>
    <s v="Ahmedabad"/>
    <x v="79"/>
  </r>
  <r>
    <n v="5315"/>
    <s v="QuickStop Market"/>
    <d v="2024-08-29T00:00:00"/>
    <s v="Dairy"/>
    <s v="Bananas"/>
    <n v="3"/>
    <n v="1468.27"/>
    <n v="4404.8100000000004"/>
    <n v="440.73"/>
    <n v="3964.08"/>
    <n v="464"/>
    <d v="1899-12-30T20:56:56"/>
    <n v="29"/>
    <n v="8"/>
    <n v="2024"/>
    <d v="2024-08-29T00:00:00"/>
    <s v="Debit Card"/>
    <s v="M"/>
    <n v="5"/>
    <s v="Jaipur"/>
    <x v="80"/>
  </r>
  <r>
    <n v="3927"/>
    <s v="FamilyFood Express"/>
    <d v="2024-09-04T00:00:00"/>
    <s v="Dairy"/>
    <s v="Ground Beef"/>
    <n v="1"/>
    <n v="1760.43"/>
    <n v="1760.43"/>
    <n v="342.79"/>
    <n v="1417.64"/>
    <n v="154"/>
    <d v="1899-12-30T01:46:17"/>
    <n v="4"/>
    <n v="9"/>
    <n v="2024"/>
    <d v="2024-09-04T00:00:00"/>
    <s v="UPI"/>
    <s v="F"/>
    <n v="5"/>
    <s v="Hyderabad"/>
    <x v="81"/>
  </r>
  <r>
    <n v="2743"/>
    <s v="MegaMart Westside"/>
    <d v="2025-06-13T00:00:00"/>
    <s v="Personal Care"/>
    <s v="Cheese"/>
    <n v="3"/>
    <n v="248.17"/>
    <n v="744.51"/>
    <n v="365.2"/>
    <n v="379.31"/>
    <n v="331"/>
    <d v="1899-12-30T13:33:02"/>
    <n v="13"/>
    <n v="6"/>
    <n v="2025"/>
    <d v="2025-06-13T00:00:00"/>
    <s v="Cash"/>
    <s v="M"/>
    <n v="2"/>
    <s v="Chennai"/>
    <x v="82"/>
  </r>
  <r>
    <n v="5889"/>
    <s v="City Fresh Store"/>
    <d v="2025-05-21T00:00:00"/>
    <s v="Dairy"/>
    <s v="Cheese"/>
    <n v="3"/>
    <n v="1611.86"/>
    <n v="4835.58"/>
    <n v="0"/>
    <n v="4835.58"/>
    <n v="424"/>
    <d v="1899-12-30T07:42:45"/>
    <n v="21"/>
    <n v="5"/>
    <n v="2025"/>
    <d v="2025-05-21T00:00:00"/>
    <s v="UPI"/>
    <s v="F"/>
    <n v="4"/>
    <s v="Mumbai"/>
    <x v="83"/>
  </r>
  <r>
    <n v="9317"/>
    <s v="SuperSave Central"/>
    <d v="2024-11-22T00:00:00"/>
    <s v="Snacks &amp; Candy"/>
    <s v="Apples"/>
    <n v="5"/>
    <n v="2406.17"/>
    <n v="12030.85"/>
    <n v="1202.67"/>
    <n v="10828.18"/>
    <n v="138"/>
    <d v="1899-12-30T15:47:16"/>
    <n v="22"/>
    <n v="11"/>
    <n v="2024"/>
    <d v="2024-11-22T00:00:00"/>
    <s v="Debit Card"/>
    <s v="M"/>
    <n v="2"/>
    <s v="Hyderabad"/>
    <x v="84"/>
  </r>
  <r>
    <n v="4258"/>
    <s v="Corner Grocery"/>
    <d v="2023-12-03T00:00:00"/>
    <s v="Household Items"/>
    <s v="Pasta"/>
    <n v="3"/>
    <n v="2132.27"/>
    <n v="6396.81"/>
    <n v="959.48"/>
    <n v="5437.33"/>
    <n v="425"/>
    <d v="1899-12-30T18:10:07"/>
    <n v="3"/>
    <n v="12"/>
    <n v="2023"/>
    <d v="2023-12-03T00:00:00"/>
    <s v="Debit Card"/>
    <s v="F"/>
    <n v="3"/>
    <s v="Mumbai"/>
    <x v="85"/>
  </r>
  <r>
    <n v="7126"/>
    <s v="City Fresh Store"/>
    <d v="2025-03-21T00:00:00"/>
    <s v="Bakery"/>
    <s v="Salmon"/>
    <n v="5"/>
    <n v="1551.27"/>
    <n v="7756.35"/>
    <n v="247.34"/>
    <n v="7509.01"/>
    <n v="194"/>
    <d v="1899-12-30T19:50:24"/>
    <n v="21"/>
    <n v="3"/>
    <n v="2025"/>
    <d v="2025-03-21T00:00:00"/>
    <s v="Credit Card"/>
    <s v="F"/>
    <n v="1"/>
    <s v="Chennai"/>
    <x v="86"/>
  </r>
  <r>
    <n v="3646"/>
    <s v="MegaMart Westside"/>
    <d v="2024-09-28T00:00:00"/>
    <s v="Meat &amp; Seafood"/>
    <s v="Potatoes"/>
    <n v="2"/>
    <n v="936.24"/>
    <n v="1872.48"/>
    <n v="280.54000000000002"/>
    <n v="1591.94"/>
    <n v="132"/>
    <d v="1899-12-30T13:26:18"/>
    <n v="28"/>
    <n v="9"/>
    <n v="2024"/>
    <d v="2024-09-28T00:00:00"/>
    <s v="Cash"/>
    <s v="M"/>
    <n v="1"/>
    <s v="Kolkata"/>
    <x v="87"/>
  </r>
  <r>
    <n v="9689"/>
    <s v="QuickStop Market"/>
    <d v="2025-07-20T00:00:00"/>
    <s v="Personal Care"/>
    <s v="Bananas"/>
    <n v="5"/>
    <n v="2363.84"/>
    <n v="11819.2"/>
    <n v="0"/>
    <n v="11819.2"/>
    <n v="43"/>
    <d v="1899-12-30T16:05:57"/>
    <n v="20"/>
    <n v="7"/>
    <n v="2025"/>
    <d v="2025-07-20T00:00:00"/>
    <s v="UPI"/>
    <s v="F"/>
    <n v="1"/>
    <s v="Ahmedabad"/>
    <x v="88"/>
  </r>
  <r>
    <n v="1009"/>
    <s v="Corner Grocery"/>
    <d v="2024-11-14T00:00:00"/>
    <s v="Beverages"/>
    <s v="Onions"/>
    <n v="2"/>
    <n v="1744.66"/>
    <n v="3489.32"/>
    <n v="348.6"/>
    <n v="3140.72"/>
    <n v="330"/>
    <d v="1899-12-30T12:44:01"/>
    <n v="14"/>
    <n v="11"/>
    <n v="2024"/>
    <d v="2024-11-14T00:00:00"/>
    <s v="Credit Card"/>
    <s v="M"/>
    <n v="2"/>
    <s v="Delhi"/>
    <x v="89"/>
  </r>
  <r>
    <n v="6310"/>
    <s v="FreshMart Downtown"/>
    <d v="2024-08-20T00:00:00"/>
    <s v="Dairy"/>
    <s v="Rice"/>
    <n v="2"/>
    <n v="1055.76"/>
    <n v="2111.52"/>
    <n v="0"/>
    <n v="2111.52"/>
    <n v="124"/>
    <d v="1899-12-30T17:39:43"/>
    <n v="20"/>
    <n v="8"/>
    <n v="2024"/>
    <d v="2024-08-20T00:00:00"/>
    <s v="UPI"/>
    <s v="M"/>
    <n v="2"/>
    <s v="Hyderabad"/>
    <x v="90"/>
  </r>
  <r>
    <n v="1319"/>
    <s v="MegaMart Westside"/>
    <d v="2023-11-01T00:00:00"/>
    <s v="Beverages"/>
    <s v="Onions"/>
    <n v="5"/>
    <n v="909.68"/>
    <n v="4548.3999999999996"/>
    <n v="682.26"/>
    <n v="3866.14"/>
    <n v="381"/>
    <d v="1899-12-30T19:35:57"/>
    <n v="1"/>
    <n v="11"/>
    <n v="2023"/>
    <d v="2023-11-01T00:00:00"/>
    <s v="UPI"/>
    <s v="M"/>
    <n v="1"/>
    <s v="Lucknow"/>
    <x v="91"/>
  </r>
  <r>
    <n v="6947"/>
    <s v="City Fresh Store"/>
    <d v="2025-06-19T00:00:00"/>
    <s v="Frozen Foods"/>
    <s v="Rice"/>
    <n v="3"/>
    <n v="637.44000000000005"/>
    <n v="1912.32"/>
    <n v="287.18"/>
    <n v="1625.14"/>
    <n v="369"/>
    <d v="1899-12-30T20:34:20"/>
    <n v="19"/>
    <n v="6"/>
    <n v="2025"/>
    <d v="2025-06-19T00:00:00"/>
    <s v="Credit Card"/>
    <s v="F"/>
    <n v="2"/>
    <s v="Chennai"/>
    <x v="92"/>
  </r>
  <r>
    <n v="6038"/>
    <s v="GreenGrocer Plaza"/>
    <d v="2024-02-08T00:00:00"/>
    <s v="Personal Care"/>
    <s v="Apples"/>
    <n v="2"/>
    <n v="603.41"/>
    <n v="1206.82"/>
    <n v="0"/>
    <n v="1206.82"/>
    <n v="247"/>
    <d v="1899-12-30T20:23:51"/>
    <n v="8"/>
    <n v="2"/>
    <n v="2024"/>
    <d v="2024-02-08T00:00:00"/>
    <s v="Credit Card"/>
    <s v="F"/>
    <n v="5"/>
    <s v="Hyderabad"/>
    <x v="93"/>
  </r>
  <r>
    <n v="1949"/>
    <s v="ValuePlus Market"/>
    <d v="2024-02-10T00:00:00"/>
    <s v="Household Items"/>
    <s v="Rice"/>
    <n v="1"/>
    <n v="2086.62"/>
    <n v="2086.62"/>
    <n v="312.91000000000003"/>
    <n v="1773.71"/>
    <n v="151"/>
    <d v="1899-12-30T15:04:41"/>
    <n v="10"/>
    <n v="2"/>
    <n v="2024"/>
    <d v="2024-02-10T00:00:00"/>
    <s v="Credit Card"/>
    <s v="M"/>
    <n v="5"/>
    <s v="Pune"/>
    <x v="94"/>
  </r>
  <r>
    <n v="2290"/>
    <s v="SuperSave Central"/>
    <d v="2023-10-12T00:00:00"/>
    <s v="Frozen Foods"/>
    <s v="Bananas"/>
    <n v="5"/>
    <n v="386.78"/>
    <n v="1933.9"/>
    <n v="180.11"/>
    <n v="1753.79"/>
    <n v="23"/>
    <d v="1899-12-30T18:17:20"/>
    <n v="12"/>
    <n v="10"/>
    <n v="2023"/>
    <d v="2023-10-12T00:00:00"/>
    <s v="Credit Card"/>
    <s v="M"/>
    <n v="2"/>
    <s v="Kolkata"/>
    <x v="95"/>
  </r>
  <r>
    <n v="8962"/>
    <s v="SuperSave Central"/>
    <d v="2025-05-01T00:00:00"/>
    <s v="Health &amp; Wellness"/>
    <s v="Potatoes"/>
    <n v="1"/>
    <n v="2182.9"/>
    <n v="2182.9"/>
    <n v="218.29"/>
    <n v="1964.61"/>
    <n v="293"/>
    <d v="1899-12-30T02:41:54"/>
    <n v="1"/>
    <n v="5"/>
    <n v="2025"/>
    <d v="2025-05-01T00:00:00"/>
    <s v="Credit Card"/>
    <s v="F"/>
    <n v="1"/>
    <s v="Pune"/>
    <x v="96"/>
  </r>
  <r>
    <n v="2133"/>
    <s v="City Fresh Store"/>
    <d v="2025-03-19T00:00:00"/>
    <s v="Beverages"/>
    <s v="Cereal"/>
    <n v="2"/>
    <n v="2406.17"/>
    <n v="4812.34"/>
    <n v="356.07"/>
    <n v="4456.2700000000004"/>
    <n v="129"/>
    <d v="1899-12-30T10:18:12"/>
    <n v="19"/>
    <n v="3"/>
    <n v="2025"/>
    <d v="2025-03-19T00:00:00"/>
    <s v="UPI"/>
    <s v="M"/>
    <n v="2"/>
    <s v="Bangalore"/>
    <x v="97"/>
  </r>
  <r>
    <n v="9727"/>
    <s v="Corner Grocery"/>
    <d v="2025-03-23T00:00:00"/>
    <s v="Beverages"/>
    <s v="Bread"/>
    <n v="5"/>
    <n v="1596.92"/>
    <n v="7984.6"/>
    <n v="1596.92"/>
    <n v="6387.68"/>
    <n v="27"/>
    <d v="1899-12-30T17:41:57"/>
    <n v="23"/>
    <n v="3"/>
    <n v="2025"/>
    <d v="2025-03-23T00:00:00"/>
    <s v="Credit Card"/>
    <s v="M"/>
    <n v="2"/>
    <s v="Ahmedabad"/>
    <x v="98"/>
  </r>
  <r>
    <n v="3060"/>
    <s v="QuickStop Market"/>
    <d v="2023-11-14T00:00:00"/>
    <s v="Dairy"/>
    <s v="Ground Beef"/>
    <n v="1"/>
    <n v="1425.11"/>
    <n v="1425.11"/>
    <n v="209.16"/>
    <n v="1215.95"/>
    <n v="213"/>
    <d v="1899-12-30T00:09:50"/>
    <n v="14"/>
    <n v="11"/>
    <n v="2023"/>
    <d v="2023-11-14T00:00:00"/>
    <s v="Cash"/>
    <s v="F"/>
    <n v="2"/>
    <s v="Bangalore"/>
    <x v="99"/>
  </r>
  <r>
    <n v="8787"/>
    <s v="City Fresh Store"/>
    <d v="2024-10-07T00:00:00"/>
    <s v="Frozen Foods"/>
    <s v="Cheese"/>
    <n v="3"/>
    <n v="1450.84"/>
    <n v="4352.5200000000004"/>
    <n v="870.67"/>
    <n v="3481.85"/>
    <n v="30"/>
    <d v="1899-12-30T04:06:43"/>
    <n v="7"/>
    <n v="10"/>
    <n v="2024"/>
    <d v="2024-10-07T00:00:00"/>
    <s v="Debit Card"/>
    <s v="M"/>
    <n v="3"/>
    <s v="Hyderabad"/>
    <x v="100"/>
  </r>
  <r>
    <n v="3705"/>
    <s v="FamilyFood Express"/>
    <d v="2024-02-28T00:00:00"/>
    <s v="Frozen Foods"/>
    <s v="Bread"/>
    <n v="2"/>
    <n v="659.85"/>
    <n v="1319.7"/>
    <n v="263.94"/>
    <n v="1055.76"/>
    <n v="282"/>
    <d v="1899-12-30T08:58:35"/>
    <n v="28"/>
    <n v="2"/>
    <n v="2024"/>
    <d v="2024-02-28T00:00:00"/>
    <s v="Credit Card"/>
    <s v="F"/>
    <n v="5"/>
    <s v="Jaipur"/>
    <x v="101"/>
  </r>
  <r>
    <n v="9645"/>
    <s v="FreshMart Downtown"/>
    <d v="2025-06-14T00:00:00"/>
    <s v="Snacks &amp; Candy"/>
    <s v="Salmon"/>
    <n v="5"/>
    <n v="1213.46"/>
    <n v="6067.3"/>
    <n v="909.68"/>
    <n v="5157.62"/>
    <n v="16"/>
    <d v="1899-12-30T10:56:21"/>
    <n v="14"/>
    <n v="6"/>
    <n v="2025"/>
    <d v="2025-06-14T00:00:00"/>
    <s v="Credit Card"/>
    <s v="M"/>
    <n v="4"/>
    <s v="Jaipur"/>
    <x v="102"/>
  </r>
  <r>
    <n v="7932"/>
    <s v="QuickStop Market"/>
    <d v="2024-01-18T00:00:00"/>
    <s v="Beverages"/>
    <s v="Bread"/>
    <n v="2"/>
    <n v="2305.7399999999998"/>
    <n v="4611.4799999999996"/>
    <n v="461.48"/>
    <n v="4150"/>
    <n v="403"/>
    <d v="1899-12-30T13:11:46"/>
    <n v="18"/>
    <n v="1"/>
    <n v="2024"/>
    <d v="2024-01-18T00:00:00"/>
    <s v="UPI"/>
    <s v="F"/>
    <n v="4"/>
    <s v="Ahmedabad"/>
    <x v="103"/>
  </r>
  <r>
    <n v="9835"/>
    <s v="GreenGrocer Plaza"/>
    <d v="2025-03-15T00:00:00"/>
    <s v="Personal Care"/>
    <s v="Ground Beef"/>
    <n v="2"/>
    <n v="2268.39"/>
    <n v="4536.78"/>
    <n v="102.92"/>
    <n v="4433.8599999999997"/>
    <n v="423"/>
    <d v="1899-12-30T13:37:18"/>
    <n v="15"/>
    <n v="3"/>
    <n v="2025"/>
    <d v="2025-03-15T00:00:00"/>
    <s v="Credit Card"/>
    <s v="M"/>
    <n v="3"/>
    <s v="Lucknow"/>
    <x v="104"/>
  </r>
  <r>
    <n v="4295"/>
    <s v="QuickStop Market"/>
    <d v="2025-02-10T00:00:00"/>
    <s v="Household Items"/>
    <s v="Rice"/>
    <n v="4"/>
    <n v="381.8"/>
    <n v="1527.2"/>
    <n v="0"/>
    <n v="1527.2"/>
    <n v="352"/>
    <d v="1899-12-30T13:37:04"/>
    <n v="10"/>
    <n v="2"/>
    <n v="2025"/>
    <d v="2025-02-10T00:00:00"/>
    <s v="Credit Card"/>
    <s v="M"/>
    <n v="2"/>
    <s v="Kolkata"/>
    <x v="105"/>
  </r>
  <r>
    <n v="6107"/>
    <s v="Corner Grocery"/>
    <d v="2024-06-11T00:00:00"/>
    <s v="Frozen Foods"/>
    <s v="Carrots"/>
    <n v="5"/>
    <n v="1270.73"/>
    <n v="6353.65"/>
    <n v="635.78"/>
    <n v="5717.87"/>
    <n v="41"/>
    <d v="1899-12-30T09:29:14"/>
    <n v="11"/>
    <n v="6"/>
    <n v="2024"/>
    <d v="2024-06-11T00:00:00"/>
    <s v="Credit Card"/>
    <s v="F"/>
    <n v="3"/>
    <s v="Lucknow"/>
    <x v="106"/>
  </r>
  <r>
    <n v="7118"/>
    <s v="MegaMart Westside"/>
    <d v="2024-07-12T00:00:00"/>
    <s v="Household Items"/>
    <s v="Pasta"/>
    <n v="1"/>
    <n v="302.12"/>
    <n v="302.12"/>
    <n v="0"/>
    <n v="302.12"/>
    <n v="492"/>
    <d v="1899-12-30T12:01:37"/>
    <n v="12"/>
    <n v="7"/>
    <n v="2024"/>
    <d v="2024-07-12T00:00:00"/>
    <s v="UPI"/>
    <s v="M"/>
    <n v="3"/>
    <s v="Kolkata"/>
    <x v="107"/>
  </r>
  <r>
    <n v="9479"/>
    <s v="QuickStop Market"/>
    <d v="2024-07-22T00:00:00"/>
    <s v="Household Items"/>
    <s v="Milk"/>
    <n v="2"/>
    <n v="1214.29"/>
    <n v="2428.58"/>
    <n v="364.37"/>
    <n v="2064.21"/>
    <n v="333"/>
    <d v="1899-12-30T06:30:06"/>
    <n v="22"/>
    <n v="7"/>
    <n v="2024"/>
    <d v="2024-07-22T00:00:00"/>
    <s v="Credit Card"/>
    <s v="F"/>
    <n v="1"/>
    <s v="Chennai"/>
    <x v="108"/>
  </r>
  <r>
    <n v="2982"/>
    <s v="SuperSave Central"/>
    <d v="2024-02-15T00:00:00"/>
    <s v="Household Items"/>
    <s v="Cheese"/>
    <n v="4"/>
    <n v="2414.4699999999998"/>
    <n v="9657.8799999999992"/>
    <n v="966.12"/>
    <n v="8691.76"/>
    <n v="240"/>
    <d v="1899-12-30T06:57:33"/>
    <n v="15"/>
    <n v="2"/>
    <n v="2024"/>
    <d v="2024-02-15T00:00:00"/>
    <s v="Debit Card"/>
    <s v="M"/>
    <n v="5"/>
    <s v="Hyderabad"/>
    <x v="109"/>
  </r>
  <r>
    <n v="4681"/>
    <s v="MegaMart Westside"/>
    <d v="2023-09-25T00:00:00"/>
    <s v="Canned Goods"/>
    <s v="Chicken Breast"/>
    <n v="2"/>
    <n v="875.65"/>
    <n v="1751.3"/>
    <n v="263.11"/>
    <n v="1488.19"/>
    <n v="355"/>
    <d v="1899-12-30T10:59:59"/>
    <n v="25"/>
    <n v="9"/>
    <n v="2023"/>
    <d v="2023-09-25T00:00:00"/>
    <s v="UPI"/>
    <s v="F"/>
    <n v="4"/>
    <s v="Bangalore"/>
    <x v="110"/>
  </r>
  <r>
    <n v="6539"/>
    <s v="Corner Grocery"/>
    <d v="2023-08-23T00:00:00"/>
    <s v="Personal Care"/>
    <s v="Milk"/>
    <n v="4"/>
    <n v="293.82"/>
    <n v="1175.28"/>
    <n v="405.04"/>
    <n v="770.24"/>
    <n v="129"/>
    <d v="1899-12-30T11:31:30"/>
    <n v="23"/>
    <n v="8"/>
    <n v="2023"/>
    <d v="2023-08-23T00:00:00"/>
    <s v="Debit Card"/>
    <s v="F"/>
    <n v="2"/>
    <s v="Jaipur"/>
    <x v="111"/>
  </r>
  <r>
    <n v="4770"/>
    <s v="Corner Grocery"/>
    <d v="2024-11-06T00:00:00"/>
    <s v="Personal Care"/>
    <s v="Bananas"/>
    <n v="5"/>
    <n v="1194.3699999999999"/>
    <n v="5971.85"/>
    <n v="203.35"/>
    <n v="5768.5"/>
    <n v="27"/>
    <d v="1899-12-30T14:54:53"/>
    <n v="6"/>
    <n v="11"/>
    <n v="2024"/>
    <d v="2024-11-06T00:00:00"/>
    <s v="UPI"/>
    <s v="F"/>
    <n v="4"/>
    <s v="Pune"/>
    <x v="112"/>
  </r>
  <r>
    <n v="4608"/>
    <s v="City Fresh Store"/>
    <d v="2023-08-12T00:00:00"/>
    <s v="Health &amp; Wellness"/>
    <s v="Salmon"/>
    <n v="1"/>
    <n v="571.87"/>
    <n v="571.87"/>
    <n v="85.49"/>
    <n v="486.38"/>
    <n v="281"/>
    <d v="1899-12-30T08:30:11"/>
    <n v="12"/>
    <n v="8"/>
    <n v="2023"/>
    <d v="2023-08-12T00:00:00"/>
    <s v="Credit Card"/>
    <s v="F"/>
    <n v="4"/>
    <s v="Delhi"/>
    <x v="113"/>
  </r>
  <r>
    <n v="2163"/>
    <s v="City Fresh Store"/>
    <d v="2025-02-06T00:00:00"/>
    <s v="Beverages"/>
    <s v="Chicken Breast"/>
    <n v="1"/>
    <n v="2424.4299999999998"/>
    <n v="2424.4299999999998"/>
    <n v="0"/>
    <n v="2424.4299999999998"/>
    <n v="311"/>
    <d v="1899-12-30T05:33:52"/>
    <n v="6"/>
    <n v="2"/>
    <n v="2025"/>
    <d v="2025-02-06T00:00:00"/>
    <s v="Debit Card"/>
    <s v="M"/>
    <n v="5"/>
    <s v="Mumbai"/>
    <x v="114"/>
  </r>
  <r>
    <n v="1964"/>
    <s v="SuperSave Central"/>
    <d v="2024-01-31T00:00:00"/>
    <s v="Frozen Foods"/>
    <s v="Onions"/>
    <n v="1"/>
    <n v="1411.83"/>
    <n v="1411.83"/>
    <n v="236.55"/>
    <n v="1175.28"/>
    <n v="47"/>
    <d v="1899-12-30T16:20:20"/>
    <n v="31"/>
    <n v="1"/>
    <n v="2024"/>
    <d v="2024-01-31T00:00:00"/>
    <s v="UPI"/>
    <s v="M"/>
    <n v="4"/>
    <s v="Delhi"/>
    <x v="115"/>
  </r>
  <r>
    <n v="2104"/>
    <s v="GreenGrocer Plaza"/>
    <d v="2025-07-10T00:00:00"/>
    <s v="Health &amp; Wellness"/>
    <s v="Eggs"/>
    <n v="4"/>
    <n v="2327.3200000000002"/>
    <n v="9309.2800000000007"/>
    <n v="931.26"/>
    <n v="8378.02"/>
    <n v="149"/>
    <d v="1899-12-30T13:11:42"/>
    <n v="10"/>
    <n v="7"/>
    <n v="2025"/>
    <d v="2025-07-10T00:00:00"/>
    <s v="Cash"/>
    <s v="F"/>
    <n v="4"/>
    <s v="Bangalore"/>
    <x v="116"/>
  </r>
  <r>
    <n v="1514"/>
    <s v="City Fresh Store"/>
    <d v="2025-06-04T00:00:00"/>
    <s v="Beverages"/>
    <s v="Ground Beef"/>
    <n v="4"/>
    <n v="1409.34"/>
    <n v="5637.36"/>
    <n v="251.49"/>
    <n v="5385.87"/>
    <n v="196"/>
    <d v="1899-12-30T17:05:46"/>
    <n v="4"/>
    <n v="6"/>
    <n v="2025"/>
    <d v="2025-06-04T00:00:00"/>
    <s v="Credit Card"/>
    <s v="F"/>
    <n v="3"/>
    <s v="Bangalore"/>
    <x v="117"/>
  </r>
  <r>
    <n v="6413"/>
    <s v="SuperSave Central"/>
    <d v="2023-10-01T00:00:00"/>
    <s v="Dairy"/>
    <s v="Pasta"/>
    <n v="4"/>
    <n v="900.55"/>
    <n v="3602.2"/>
    <n v="176.79"/>
    <n v="3425.41"/>
    <n v="403"/>
    <d v="1899-12-30T21:39:03"/>
    <n v="1"/>
    <n v="10"/>
    <n v="2023"/>
    <d v="2023-10-01T00:00:00"/>
    <s v="UPI"/>
    <s v="F"/>
    <n v="5"/>
    <s v="Kolkata"/>
    <x v="118"/>
  </r>
  <r>
    <n v="9423"/>
    <s v="QuickStop Market"/>
    <d v="2024-02-07T00:00:00"/>
    <s v="Household Items"/>
    <s v="Potatoes"/>
    <n v="2"/>
    <n v="1157.02"/>
    <n v="2314.04"/>
    <n v="346.94"/>
    <n v="1967.1"/>
    <n v="247"/>
    <d v="1899-12-30T19:32:17"/>
    <n v="7"/>
    <n v="2"/>
    <n v="2024"/>
    <d v="2024-02-07T00:00:00"/>
    <s v="Cash"/>
    <s v="M"/>
    <n v="1"/>
    <s v="Lucknow"/>
    <x v="119"/>
  </r>
  <r>
    <n v="5562"/>
    <s v="ValuePlus Market"/>
    <d v="2025-01-07T00:00:00"/>
    <s v="Personal Care"/>
    <s v="Tomatoes"/>
    <n v="4"/>
    <n v="2327.3200000000002"/>
    <n v="9309.2800000000007"/>
    <n v="0"/>
    <n v="9309.2800000000007"/>
    <n v="445"/>
    <d v="1899-12-30T03:35:58"/>
    <n v="7"/>
    <n v="1"/>
    <n v="2025"/>
    <d v="2025-01-07T00:00:00"/>
    <s v="UPI"/>
    <s v="M"/>
    <n v="2"/>
    <s v="Delhi"/>
    <x v="120"/>
  </r>
  <r>
    <n v="8953"/>
    <s v="FamilyFood Express"/>
    <d v="2024-01-20T00:00:00"/>
    <s v="Household Items"/>
    <s v="Tomatoes"/>
    <n v="2"/>
    <n v="2142.23"/>
    <n v="4284.46"/>
    <n v="642.41999999999996"/>
    <n v="3642.04"/>
    <n v="210"/>
    <d v="1899-12-30T08:40:06"/>
    <n v="20"/>
    <n v="1"/>
    <n v="2024"/>
    <d v="2024-01-20T00:00:00"/>
    <s v="Cash"/>
    <s v="M"/>
    <n v="4"/>
    <s v="Kolkata"/>
    <x v="121"/>
  </r>
  <r>
    <n v="9834"/>
    <s v="City Fresh Store"/>
    <d v="2023-11-17T00:00:00"/>
    <s v="Snacks &amp; Candy"/>
    <s v="Tomatoes"/>
    <n v="2"/>
    <n v="1274.05"/>
    <n v="2548.1"/>
    <n v="403.38"/>
    <n v="2144.7199999999998"/>
    <n v="18"/>
    <d v="1899-12-30T22:54:16"/>
    <n v="17"/>
    <n v="11"/>
    <n v="2023"/>
    <d v="2023-11-17T00:00:00"/>
    <s v="Credit Card"/>
    <s v="M"/>
    <n v="2"/>
    <s v="Kolkata"/>
    <x v="122"/>
  </r>
  <r>
    <n v="8744"/>
    <s v="MegaMart Westside"/>
    <d v="2024-02-11T00:00:00"/>
    <s v="Dairy"/>
    <s v="Salmon"/>
    <n v="1"/>
    <n v="1347.92"/>
    <n v="1347.92"/>
    <n v="0"/>
    <n v="1347.92"/>
    <n v="233"/>
    <d v="1899-12-30T00:40:58"/>
    <n v="11"/>
    <n v="2"/>
    <n v="2024"/>
    <d v="2024-02-11T00:00:00"/>
    <s v="Debit Card"/>
    <s v="F"/>
    <n v="1"/>
    <s v="Lucknow"/>
    <x v="123"/>
  </r>
  <r>
    <n v="8749"/>
    <s v="SuperSave Central"/>
    <d v="2025-04-25T00:00:00"/>
    <s v="Snacks &amp; Candy"/>
    <s v="Eggs"/>
    <n v="1"/>
    <n v="1212.6300000000001"/>
    <n v="1212.6300000000001"/>
    <n v="181.77"/>
    <n v="1030.8599999999999"/>
    <n v="496"/>
    <d v="1899-12-30T12:20:58"/>
    <n v="25"/>
    <n v="4"/>
    <n v="2025"/>
    <d v="2025-04-25T00:00:00"/>
    <s v="Cash"/>
    <s v="F"/>
    <n v="2"/>
    <s v="Pune"/>
    <x v="124"/>
  </r>
  <r>
    <n v="7669"/>
    <s v="Corner Grocery"/>
    <d v="2024-01-01T00:00:00"/>
    <s v="Health &amp; Wellness"/>
    <s v="Bread"/>
    <n v="3"/>
    <n v="2133.9299999999998"/>
    <n v="6401.79"/>
    <n v="960.31"/>
    <n v="5441.48"/>
    <n v="439"/>
    <d v="1899-12-30T23:23:57"/>
    <n v="1"/>
    <n v="1"/>
    <n v="2024"/>
    <d v="2024-01-01T00:00:00"/>
    <s v="UPI"/>
    <s v="F"/>
    <n v="1"/>
    <s v="Jaipur"/>
    <x v="125"/>
  </r>
  <r>
    <n v="2545"/>
    <s v="City Fresh Store"/>
    <d v="2023-10-21T00:00:00"/>
    <s v="Personal Care"/>
    <s v="Milk"/>
    <n v="5"/>
    <n v="246.51"/>
    <n v="1232.55"/>
    <n v="246.51"/>
    <n v="986.04"/>
    <n v="323"/>
    <d v="1899-12-30T18:33:20"/>
    <n v="21"/>
    <n v="10"/>
    <n v="2023"/>
    <d v="2023-10-21T00:00:00"/>
    <s v="Credit Card"/>
    <s v="M"/>
    <n v="3"/>
    <s v="Ahmedabad"/>
    <x v="126"/>
  </r>
  <r>
    <n v="8062"/>
    <s v="GreenGrocer Plaza"/>
    <d v="2024-05-08T00:00:00"/>
    <s v="Snacks &amp; Candy"/>
    <s v="Chicken Breast"/>
    <n v="1"/>
    <n v="1150.3800000000001"/>
    <n v="1150.3800000000001"/>
    <n v="97.94"/>
    <n v="1052.44"/>
    <n v="355"/>
    <d v="1899-12-30T04:00:21"/>
    <n v="8"/>
    <n v="5"/>
    <n v="2024"/>
    <d v="2024-05-08T00:00:00"/>
    <s v="Cash"/>
    <s v="M"/>
    <n v="4"/>
    <s v="Jaipur"/>
    <x v="127"/>
  </r>
  <r>
    <n v="7939"/>
    <s v="FreshMart Downtown"/>
    <d v="2024-06-21T00:00:00"/>
    <s v="Frozen Foods"/>
    <s v="Orange Juice"/>
    <n v="3"/>
    <n v="1118.8399999999999"/>
    <n v="3356.52"/>
    <n v="309.58999999999997"/>
    <n v="3046.93"/>
    <n v="125"/>
    <d v="1899-12-30T13:11:49"/>
    <n v="21"/>
    <n v="6"/>
    <n v="2024"/>
    <d v="2024-06-21T00:00:00"/>
    <s v="UPI"/>
    <s v="M"/>
    <n v="1"/>
    <s v="Mumbai"/>
    <x v="128"/>
  </r>
  <r>
    <n v="8651"/>
    <s v="SuperSave Central"/>
    <d v="2025-06-07T00:00:00"/>
    <s v="Meat &amp; Seafood"/>
    <s v="Apples"/>
    <n v="1"/>
    <n v="1549.61"/>
    <n v="1549.61"/>
    <n v="155.21"/>
    <n v="1394.4"/>
    <n v="195"/>
    <d v="1899-12-30T11:00:14"/>
    <n v="7"/>
    <n v="6"/>
    <n v="2025"/>
    <d v="2025-06-07T00:00:00"/>
    <s v="UPI"/>
    <s v="F"/>
    <n v="2"/>
    <s v="Delhi"/>
    <x v="129"/>
  </r>
  <r>
    <n v="1887"/>
    <s v="SuperSave Central"/>
    <d v="2025-01-11T00:00:00"/>
    <s v="Bakery"/>
    <s v="Salmon"/>
    <n v="3"/>
    <n v="1188.56"/>
    <n v="3565.68"/>
    <n v="356.9"/>
    <n v="3208.78"/>
    <n v="341"/>
    <d v="1899-12-30T11:08:22"/>
    <n v="11"/>
    <n v="1"/>
    <n v="2025"/>
    <d v="2025-01-11T00:00:00"/>
    <s v="UPI"/>
    <s v="F"/>
    <n v="4"/>
    <s v="Jaipur"/>
    <x v="130"/>
  </r>
  <r>
    <n v="2612"/>
    <s v="QuickStop Market"/>
    <d v="2023-09-23T00:00:00"/>
    <s v="Health &amp; Wellness"/>
    <s v="Onions"/>
    <n v="2"/>
    <n v="259.79000000000002"/>
    <n v="519.58000000000004"/>
    <n v="182.6"/>
    <n v="336.98"/>
    <n v="483"/>
    <d v="1899-12-30T05:39:29"/>
    <n v="23"/>
    <n v="9"/>
    <n v="2023"/>
    <d v="2023-09-23T00:00:00"/>
    <s v="Cash"/>
    <s v="M"/>
    <n v="3"/>
    <s v="Ahmedabad"/>
    <x v="131"/>
  </r>
  <r>
    <n v="7596"/>
    <s v="Corner Grocery"/>
    <d v="2025-02-22T00:00:00"/>
    <s v="Frozen Foods"/>
    <s v="Salmon"/>
    <n v="3"/>
    <n v="561.91"/>
    <n v="1685.73"/>
    <n v="161.85"/>
    <n v="1523.88"/>
    <n v="196"/>
    <d v="1899-12-30T12:12:44"/>
    <n v="22"/>
    <n v="2"/>
    <n v="2025"/>
    <d v="2025-02-22T00:00:00"/>
    <s v="Cash"/>
    <s v="F"/>
    <n v="4"/>
    <s v="Chennai"/>
    <x v="132"/>
  </r>
  <r>
    <n v="6559"/>
    <s v="MegaMart Westside"/>
    <d v="2025-04-19T00:00:00"/>
    <s v="Household Items"/>
    <s v="Rice"/>
    <n v="3"/>
    <n v="135.29"/>
    <n v="405.87"/>
    <n v="60.59"/>
    <n v="345.28"/>
    <n v="424"/>
    <d v="1899-12-30T13:02:33"/>
    <n v="19"/>
    <n v="4"/>
    <n v="2025"/>
    <d v="2025-04-19T00:00:00"/>
    <s v="Cash"/>
    <s v="M"/>
    <n v="1"/>
    <s v="Delhi"/>
    <x v="133"/>
  </r>
  <r>
    <n v="2790"/>
    <s v="FreshMart Downtown"/>
    <d v="2024-02-16T00:00:00"/>
    <s v="Household Items"/>
    <s v="Milk"/>
    <n v="5"/>
    <n v="1875.8"/>
    <n v="9379"/>
    <n v="1875.8"/>
    <n v="7503.2"/>
    <n v="426"/>
    <d v="1899-12-30T15:07:04"/>
    <n v="16"/>
    <n v="2"/>
    <n v="2024"/>
    <d v="2024-02-16T00:00:00"/>
    <s v="Debit Card"/>
    <s v="M"/>
    <n v="3"/>
    <s v="Ahmedabad"/>
    <x v="134"/>
  </r>
  <r>
    <n v="4139"/>
    <s v="MegaMart Westside"/>
    <d v="2024-01-01T00:00:00"/>
    <s v="Bakery"/>
    <s v="Yogurt"/>
    <n v="5"/>
    <n v="685.58"/>
    <n v="3427.9"/>
    <n v="0"/>
    <n v="3427.9"/>
    <n v="386"/>
    <d v="1899-12-30T00:54:18"/>
    <n v="1"/>
    <n v="1"/>
    <n v="2024"/>
    <d v="2024-01-01T00:00:00"/>
    <s v="Cash"/>
    <s v="F"/>
    <n v="2"/>
    <s v="Kolkata"/>
    <x v="135"/>
  </r>
  <r>
    <n v="9786"/>
    <s v="GreenGrocer Plaza"/>
    <d v="2024-07-20T00:00:00"/>
    <s v="Health &amp; Wellness"/>
    <s v="Milk"/>
    <n v="3"/>
    <n v="1980.38"/>
    <n v="5941.14"/>
    <n v="0"/>
    <n v="5941.14"/>
    <n v="17"/>
    <d v="1899-12-30T04:14:13"/>
    <n v="20"/>
    <n v="7"/>
    <n v="2024"/>
    <d v="2024-07-20T00:00:00"/>
    <s v="Cash"/>
    <s v="M"/>
    <n v="3"/>
    <s v="Bangalore"/>
    <x v="136"/>
  </r>
  <r>
    <n v="3296"/>
    <s v="SuperSave Central"/>
    <d v="2024-06-29T00:00:00"/>
    <s v="Dairy"/>
    <s v="Rice"/>
    <n v="3"/>
    <n v="1881.61"/>
    <n v="5644.83"/>
    <n v="1128.8"/>
    <n v="4516.03"/>
    <n v="89"/>
    <d v="1899-12-30T00:43:36"/>
    <n v="29"/>
    <n v="6"/>
    <n v="2024"/>
    <d v="2024-06-29T00:00:00"/>
    <s v="Cash"/>
    <s v="F"/>
    <n v="3"/>
    <s v="Pune"/>
    <x v="137"/>
  </r>
  <r>
    <n v="4006"/>
    <s v="ValuePlus Market"/>
    <d v="2024-03-10T00:00:00"/>
    <s v="Canned Goods"/>
    <s v="Carrots"/>
    <n v="5"/>
    <n v="2280.84"/>
    <n v="11404.2"/>
    <n v="1710.63"/>
    <n v="9693.57"/>
    <n v="425"/>
    <d v="1899-12-30T09:42:19"/>
    <n v="10"/>
    <n v="3"/>
    <n v="2024"/>
    <d v="2024-03-10T00:00:00"/>
    <s v="Debit Card"/>
    <s v="M"/>
    <n v="5"/>
    <s v="Mumbai"/>
    <x v="138"/>
  </r>
  <r>
    <n v="8579"/>
    <s v="City Fresh Store"/>
    <d v="2024-02-17T00:00:00"/>
    <s v="Frozen Foods"/>
    <s v="Cereal"/>
    <n v="1"/>
    <n v="1209.31"/>
    <n v="1209.31"/>
    <n v="241.53"/>
    <n v="967.78"/>
    <n v="38"/>
    <d v="1899-12-30T14:07:18"/>
    <n v="17"/>
    <n v="2"/>
    <n v="2024"/>
    <d v="2024-02-17T00:00:00"/>
    <s v="Cash"/>
    <s v="F"/>
    <n v="3"/>
    <s v="Ahmedabad"/>
    <x v="139"/>
  </r>
  <r>
    <n v="2235"/>
    <s v="Corner Grocery"/>
    <d v="2024-07-16T00:00:00"/>
    <s v="Personal Care"/>
    <s v="Orange Juice"/>
    <n v="1"/>
    <n v="1985.36"/>
    <n v="1985.36"/>
    <n v="123.67"/>
    <n v="1861.69"/>
    <n v="7"/>
    <d v="1899-12-30T07:52:59"/>
    <n v="16"/>
    <n v="7"/>
    <n v="2024"/>
    <d v="2024-07-16T00:00:00"/>
    <s v="UPI"/>
    <s v="F"/>
    <n v="3"/>
    <s v="Jaipur"/>
    <x v="140"/>
  </r>
  <r>
    <n v="2604"/>
    <s v="MegaMart Westside"/>
    <d v="2023-09-15T00:00:00"/>
    <s v="Health &amp; Wellness"/>
    <s v="Pasta"/>
    <n v="5"/>
    <n v="999.32"/>
    <n v="4996.6000000000004"/>
    <n v="307.10000000000002"/>
    <n v="4689.5"/>
    <n v="326"/>
    <d v="1899-12-30T05:53:11"/>
    <n v="15"/>
    <n v="9"/>
    <n v="2023"/>
    <d v="2023-09-15T00:00:00"/>
    <s v="Cash"/>
    <s v="F"/>
    <n v="4"/>
    <s v="Bangalore"/>
    <x v="141"/>
  </r>
  <r>
    <n v="9856"/>
    <s v="City Fresh Store"/>
    <d v="2025-05-17T00:00:00"/>
    <s v="Produce"/>
    <s v="Onions"/>
    <n v="3"/>
    <n v="2284.9899999999998"/>
    <n v="6854.97"/>
    <n v="0"/>
    <n v="6854.97"/>
    <n v="113"/>
    <d v="1899-12-30T23:12:00"/>
    <n v="17"/>
    <n v="5"/>
    <n v="2025"/>
    <d v="2025-05-17T00:00:00"/>
    <s v="UPI"/>
    <s v="M"/>
    <n v="2"/>
    <s v="Jaipur"/>
    <x v="142"/>
  </r>
  <r>
    <n v="1241"/>
    <s v="City Fresh Store"/>
    <d v="2023-10-18T00:00:00"/>
    <s v="Frozen Foods"/>
    <s v="Cheese"/>
    <n v="1"/>
    <n v="418.32"/>
    <n v="418.32"/>
    <n v="63.08"/>
    <n v="355.24"/>
    <n v="484"/>
    <d v="1899-12-30T02:04:37"/>
    <n v="18"/>
    <n v="10"/>
    <n v="2023"/>
    <d v="2023-10-18T00:00:00"/>
    <s v="UPI"/>
    <s v="M"/>
    <n v="4"/>
    <s v="Delhi"/>
    <x v="143"/>
  </r>
  <r>
    <n v="4872"/>
    <s v="City Fresh Store"/>
    <d v="2023-12-14T00:00:00"/>
    <s v="Dairy"/>
    <s v="Chicken Breast"/>
    <n v="2"/>
    <n v="2217.7600000000002"/>
    <n v="4435.5200000000004"/>
    <n v="443.22"/>
    <n v="3992.3"/>
    <n v="69"/>
    <d v="1899-12-30T13:53:11"/>
    <n v="14"/>
    <n v="12"/>
    <n v="2023"/>
    <d v="2023-12-14T00:00:00"/>
    <s v="UPI"/>
    <s v="F"/>
    <n v="4"/>
    <s v="Ahmedabad"/>
    <x v="144"/>
  </r>
  <r>
    <n v="7658"/>
    <s v="MegaMart Westside"/>
    <d v="2024-08-18T00:00:00"/>
    <s v="Health &amp; Wellness"/>
    <s v="Onions"/>
    <n v="4"/>
    <n v="1495.66"/>
    <n v="5982.64"/>
    <n v="598.42999999999995"/>
    <n v="5384.21"/>
    <n v="372"/>
    <d v="1899-12-30T10:52:07"/>
    <n v="18"/>
    <n v="8"/>
    <n v="2024"/>
    <d v="2024-08-18T00:00:00"/>
    <s v="Debit Card"/>
    <s v="F"/>
    <n v="1"/>
    <s v="Jaipur"/>
    <x v="145"/>
  </r>
  <r>
    <n v="8886"/>
    <s v="GreenGrocer Plaza"/>
    <d v="2024-01-20T00:00:00"/>
    <s v="Beverages"/>
    <s v="Cheese"/>
    <n v="3"/>
    <n v="161.02000000000001"/>
    <n v="483.06"/>
    <n v="48.14"/>
    <n v="434.92"/>
    <n v="189"/>
    <d v="1899-12-30T10:41:26"/>
    <n v="20"/>
    <n v="1"/>
    <n v="2024"/>
    <d v="2024-01-20T00:00:00"/>
    <s v="Debit Card"/>
    <s v="M"/>
    <n v="4"/>
    <s v="Lucknow"/>
    <x v="146"/>
  </r>
  <r>
    <n v="7570"/>
    <s v="City Fresh Store"/>
    <d v="2025-07-07T00:00:00"/>
    <s v="Bakery"/>
    <s v="Orange Juice"/>
    <n v="1"/>
    <n v="2443.52"/>
    <n v="2443.52"/>
    <n v="214.97"/>
    <n v="2228.5500000000002"/>
    <n v="188"/>
    <d v="1899-12-30T03:15:50"/>
    <n v="7"/>
    <n v="7"/>
    <n v="2025"/>
    <d v="2025-07-07T00:00:00"/>
    <s v="Debit Card"/>
    <s v="M"/>
    <n v="5"/>
    <s v="Hyderabad"/>
    <x v="147"/>
  </r>
  <r>
    <n v="1960"/>
    <s v="FamilyFood Express"/>
    <d v="2023-12-12T00:00:00"/>
    <s v="Dairy"/>
    <s v="Salmon"/>
    <n v="1"/>
    <n v="1677.43"/>
    <n v="1677.43"/>
    <n v="344.45"/>
    <n v="1332.98"/>
    <n v="328"/>
    <d v="1899-12-30T23:42:48"/>
    <n v="12"/>
    <n v="12"/>
    <n v="2023"/>
    <d v="2023-12-12T00:00:00"/>
    <s v="Cash"/>
    <s v="M"/>
    <n v="5"/>
    <s v="Bangalore"/>
    <x v="148"/>
  </r>
  <r>
    <n v="7209"/>
    <s v="FamilyFood Express"/>
    <d v="2023-08-08T00:00:00"/>
    <s v="Meat &amp; Seafood"/>
    <s v="Yogurt"/>
    <n v="1"/>
    <n v="2079.15"/>
    <n v="2079.15"/>
    <n v="154.38"/>
    <n v="1924.77"/>
    <n v="283"/>
    <d v="1899-12-30T00:30:41"/>
    <n v="8"/>
    <n v="8"/>
    <n v="2023"/>
    <d v="2023-08-08T00:00:00"/>
    <s v="UPI"/>
    <s v="F"/>
    <n v="1"/>
    <s v="Chennai"/>
    <x v="149"/>
  </r>
  <r>
    <n v="7396"/>
    <s v="FamilyFood Express"/>
    <d v="2024-02-28T00:00:00"/>
    <s v="Canned Goods"/>
    <s v="Eggs"/>
    <n v="5"/>
    <n v="88.81"/>
    <n v="444.05"/>
    <n v="88.81"/>
    <n v="355.24"/>
    <n v="439"/>
    <d v="1899-12-30T08:16:28"/>
    <n v="28"/>
    <n v="2"/>
    <n v="2024"/>
    <d v="2024-02-28T00:00:00"/>
    <s v="Debit Card"/>
    <s v="M"/>
    <n v="2"/>
    <s v="Bangalore"/>
    <x v="150"/>
  </r>
  <r>
    <n v="8454"/>
    <s v="ValuePlus Market"/>
    <d v="2024-03-15T00:00:00"/>
    <s v="Frozen Foods"/>
    <s v="Apples"/>
    <n v="1"/>
    <n v="1673.28"/>
    <n v="1673.28"/>
    <n v="201.69"/>
    <n v="1471.59"/>
    <n v="13"/>
    <d v="1899-12-30T05:40:59"/>
    <n v="15"/>
    <n v="3"/>
    <n v="2024"/>
    <d v="2024-03-15T00:00:00"/>
    <s v="Debit Card"/>
    <s v="M"/>
    <n v="2"/>
    <s v="Jaipur"/>
    <x v="151"/>
  </r>
  <r>
    <n v="7930"/>
    <s v="FamilyFood Express"/>
    <d v="2025-01-29T00:00:00"/>
    <s v="Household Items"/>
    <s v="Cereal"/>
    <n v="1"/>
    <n v="501.32"/>
    <n v="501.32"/>
    <n v="0"/>
    <n v="501.32"/>
    <n v="26"/>
    <d v="1899-12-30T14:25:58"/>
    <n v="29"/>
    <n v="1"/>
    <n v="2025"/>
    <d v="2025-01-29T00:00:00"/>
    <s v="Cash"/>
    <s v="F"/>
    <n v="4"/>
    <s v="Jaipur"/>
    <x v="152"/>
  </r>
  <r>
    <n v="8973"/>
    <s v="Corner Grocery"/>
    <d v="2023-12-05T00:00:00"/>
    <s v="Personal Care"/>
    <s v="Chicken Breast"/>
    <n v="1"/>
    <n v="1228.4000000000001"/>
    <n v="1228.4000000000001"/>
    <n v="279.70999999999998"/>
    <n v="948.69"/>
    <n v="398"/>
    <d v="1899-12-30T18:49:32"/>
    <n v="5"/>
    <n v="12"/>
    <n v="2023"/>
    <d v="2023-12-05T00:00:00"/>
    <s v="Debit Card"/>
    <s v="M"/>
    <n v="4"/>
    <s v="Mumbai"/>
    <x v="153"/>
  </r>
  <r>
    <n v="4111"/>
    <s v="City Fresh Store"/>
    <d v="2024-03-24T00:00:00"/>
    <s v="Personal Care"/>
    <s v="Ground Beef"/>
    <n v="5"/>
    <n v="186.75"/>
    <n v="933.75"/>
    <n v="92.96"/>
    <n v="840.79"/>
    <n v="401"/>
    <d v="1899-12-30T01:24:39"/>
    <n v="24"/>
    <n v="3"/>
    <n v="2024"/>
    <d v="2024-03-24T00:00:00"/>
    <s v="Cash"/>
    <s v="M"/>
    <n v="4"/>
    <s v="Lucknow"/>
    <x v="154"/>
  </r>
  <r>
    <n v="4566"/>
    <s v="FreshMart Downtown"/>
    <d v="2023-09-21T00:00:00"/>
    <s v="Produce"/>
    <s v="Potatoes"/>
    <n v="4"/>
    <n v="1108.05"/>
    <n v="4432.2"/>
    <n v="0"/>
    <n v="4432.2"/>
    <n v="55"/>
    <d v="1899-12-30T11:09:06"/>
    <n v="21"/>
    <n v="9"/>
    <n v="2023"/>
    <d v="2023-09-21T00:00:00"/>
    <s v="Credit Card"/>
    <s v="M"/>
    <n v="2"/>
    <s v="Chennai"/>
    <x v="155"/>
  </r>
  <r>
    <n v="9883"/>
    <s v="City Fresh Store"/>
    <d v="2023-09-23T00:00:00"/>
    <s v="Dairy"/>
    <s v="Bread"/>
    <n v="3"/>
    <n v="1546.29"/>
    <n v="4638.87"/>
    <n v="695.54"/>
    <n v="3943.33"/>
    <n v="33"/>
    <d v="1899-12-30T16:36:57"/>
    <n v="23"/>
    <n v="9"/>
    <n v="2023"/>
    <d v="2023-09-23T00:00:00"/>
    <s v="Debit Card"/>
    <s v="F"/>
    <n v="3"/>
    <s v="Pune"/>
    <x v="156"/>
  </r>
  <r>
    <n v="6138"/>
    <s v="ValuePlus Market"/>
    <d v="2023-09-20T00:00:00"/>
    <s v="Canned Goods"/>
    <s v="Tomatoes"/>
    <n v="5"/>
    <n v="1359.54"/>
    <n v="6797.7"/>
    <n v="346.11"/>
    <n v="6451.59"/>
    <n v="232"/>
    <d v="1899-12-30T03:15:30"/>
    <n v="20"/>
    <n v="9"/>
    <n v="2023"/>
    <d v="2023-09-20T00:00:00"/>
    <s v="Credit Card"/>
    <s v="F"/>
    <n v="5"/>
    <s v="Mumbai"/>
    <x v="157"/>
  </r>
  <r>
    <n v="1821"/>
    <s v="GreenGrocer Plaza"/>
    <d v="2024-11-02T00:00:00"/>
    <s v="Health &amp; Wellness"/>
    <s v="Onions"/>
    <n v="2"/>
    <n v="1117.18"/>
    <n v="2234.36"/>
    <n v="223.27"/>
    <n v="2011.09"/>
    <n v="454"/>
    <d v="1899-12-30T19:23:27"/>
    <n v="2"/>
    <n v="11"/>
    <n v="2024"/>
    <d v="2024-11-02T00:00:00"/>
    <s v="Cash"/>
    <s v="F"/>
    <n v="3"/>
    <s v="Delhi"/>
    <x v="158"/>
  </r>
  <r>
    <n v="8811"/>
    <s v="MegaMart Westside"/>
    <d v="2024-08-31T00:00:00"/>
    <s v="Beverages"/>
    <s v="Tomatoes"/>
    <n v="4"/>
    <n v="1838.45"/>
    <n v="7353.8"/>
    <n v="1103.07"/>
    <n v="6250.73"/>
    <n v="160"/>
    <d v="1899-12-30T01:33:49"/>
    <n v="31"/>
    <n v="8"/>
    <n v="2024"/>
    <d v="2024-08-31T00:00:00"/>
    <s v="UPI"/>
    <s v="F"/>
    <n v="3"/>
    <s v="Chennai"/>
    <x v="159"/>
  </r>
  <r>
    <n v="9701"/>
    <s v="QuickStop Market"/>
    <d v="2023-12-07T00:00:00"/>
    <s v="Canned Goods"/>
    <s v="Eggs"/>
    <n v="4"/>
    <n v="244.02"/>
    <n v="976.08"/>
    <n v="226.59"/>
    <n v="749.49"/>
    <n v="425"/>
    <d v="1899-12-30T19:29:27"/>
    <n v="7"/>
    <n v="12"/>
    <n v="2023"/>
    <d v="2023-12-07T00:00:00"/>
    <s v="Debit Card"/>
    <s v="F"/>
    <n v="2"/>
    <s v="Ahmedabad"/>
    <x v="160"/>
  </r>
  <r>
    <n v="1931"/>
    <s v="MegaMart Westside"/>
    <d v="2024-09-04T00:00:00"/>
    <s v="Meat &amp; Seafood"/>
    <s v="Onions"/>
    <n v="1"/>
    <n v="1494"/>
    <n v="1494"/>
    <n v="0"/>
    <n v="1494"/>
    <n v="287"/>
    <d v="1899-12-30T05:45:23"/>
    <n v="4"/>
    <n v="9"/>
    <n v="2024"/>
    <d v="2024-09-04T00:00:00"/>
    <s v="Cash"/>
    <s v="F"/>
    <n v="3"/>
    <s v="Hyderabad"/>
    <x v="161"/>
  </r>
  <r>
    <n v="2312"/>
    <s v="GreenGrocer Plaza"/>
    <d v="2025-05-29T00:00:00"/>
    <s v="Snacks &amp; Candy"/>
    <s v="Orange Juice"/>
    <n v="4"/>
    <n v="2171.2800000000002"/>
    <n v="8685.1200000000008"/>
    <n v="1303.0999999999999"/>
    <n v="7382.02"/>
    <n v="369"/>
    <d v="1899-12-30T02:33:09"/>
    <n v="29"/>
    <n v="5"/>
    <n v="2025"/>
    <d v="2025-05-29T00:00:00"/>
    <s v="UPI"/>
    <s v="F"/>
    <n v="1"/>
    <s v="Mumbai"/>
    <x v="162"/>
  </r>
  <r>
    <n v="4044"/>
    <s v="QuickStop Market"/>
    <d v="2023-09-29T00:00:00"/>
    <s v="Canned Goods"/>
    <s v="Chicken Breast"/>
    <n v="5"/>
    <n v="1303.0999999999999"/>
    <n v="6515.5"/>
    <n v="1303.0999999999999"/>
    <n v="5212.3999999999996"/>
    <n v="79"/>
    <d v="1899-12-30T17:25:48"/>
    <n v="29"/>
    <n v="9"/>
    <n v="2023"/>
    <d v="2023-09-29T00:00:00"/>
    <s v="UPI"/>
    <s v="M"/>
    <n v="4"/>
    <s v="Hyderabad"/>
    <x v="163"/>
  </r>
  <r>
    <n v="2113"/>
    <s v="GreenGrocer Plaza"/>
    <d v="2025-01-12T00:00:00"/>
    <s v="Canned Goods"/>
    <s v="Onions"/>
    <n v="3"/>
    <n v="358.56"/>
    <n v="1075.68"/>
    <n v="107.9"/>
    <n v="967.78"/>
    <n v="142"/>
    <d v="1899-12-30T11:35:29"/>
    <n v="12"/>
    <n v="1"/>
    <n v="2025"/>
    <d v="2025-01-12T00:00:00"/>
    <s v="Credit Card"/>
    <s v="M"/>
    <n v="1"/>
    <s v="Lucknow"/>
    <x v="164"/>
  </r>
  <r>
    <n v="4853"/>
    <s v="ValuePlus Market"/>
    <d v="2024-06-15T00:00:00"/>
    <s v="Household Items"/>
    <s v="Onions"/>
    <n v="1"/>
    <n v="1547.95"/>
    <n v="1547.95"/>
    <n v="142.76"/>
    <n v="1405.19"/>
    <n v="336"/>
    <d v="1899-12-30T20:58:35"/>
    <n v="15"/>
    <n v="6"/>
    <n v="2024"/>
    <d v="2024-06-15T00:00:00"/>
    <s v="Cash"/>
    <s v="F"/>
    <n v="5"/>
    <s v="Delhi"/>
    <x v="165"/>
  </r>
  <r>
    <n v="2964"/>
    <s v="QuickStop Market"/>
    <d v="2025-06-28T00:00:00"/>
    <s v="Canned Goods"/>
    <s v="Orange Juice"/>
    <n v="1"/>
    <n v="518.75"/>
    <n v="518.75"/>
    <n v="130.31"/>
    <n v="388.44"/>
    <n v="73"/>
    <d v="1899-12-30T09:59:38"/>
    <n v="28"/>
    <n v="6"/>
    <n v="2025"/>
    <d v="2025-06-28T00:00:00"/>
    <s v="UPI"/>
    <s v="M"/>
    <n v="4"/>
    <s v="Delhi"/>
    <x v="166"/>
  </r>
  <r>
    <n v="5033"/>
    <s v="FreshMart Downtown"/>
    <d v="2024-10-29T00:00:00"/>
    <s v="Dairy"/>
    <s v="Carrots"/>
    <n v="2"/>
    <n v="987.7"/>
    <n v="1975.4"/>
    <n v="395.08"/>
    <n v="1580.32"/>
    <n v="232"/>
    <d v="1899-12-30T01:52:03"/>
    <n v="29"/>
    <n v="10"/>
    <n v="2024"/>
    <d v="2024-10-29T00:00:00"/>
    <s v="Debit Card"/>
    <s v="M"/>
    <n v="3"/>
    <s v="Pune"/>
    <x v="167"/>
  </r>
  <r>
    <n v="1651"/>
    <s v="MegaMart Westside"/>
    <d v="2024-11-30T00:00:00"/>
    <s v="Frozen Foods"/>
    <s v="Cereal"/>
    <n v="5"/>
    <n v="1517.24"/>
    <n v="7586.2"/>
    <n v="1517.24"/>
    <n v="6068.96"/>
    <n v="452"/>
    <s v="10:21:57"/>
    <n v="30"/>
    <n v="11"/>
    <n v="2024"/>
    <d v="2024-11-30T00:00:00"/>
    <s v="Debit Card"/>
    <s v="F"/>
    <n v="5"/>
    <s v="Delhi"/>
    <x v="168"/>
  </r>
  <r>
    <n v="2343"/>
    <s v="SuperSave Central"/>
    <d v="2024-06-27T00:00:00"/>
    <s v="Household Items"/>
    <s v="Milk"/>
    <n v="1"/>
    <n v="737.04"/>
    <n v="737.04"/>
    <n v="73.87"/>
    <n v="663.17"/>
    <n v="338"/>
    <s v="07:27:43"/>
    <n v="27"/>
    <n v="6"/>
    <n v="2024"/>
    <d v="2024-06-27T00:00:00"/>
    <s v="Credit Card"/>
    <s v="M"/>
    <n v="4"/>
    <s v="Jaipur"/>
    <x v="169"/>
  </r>
  <r>
    <n v="9565"/>
    <s v="City Fresh Store"/>
    <d v="2024-04-08T00:00:00"/>
    <s v="Snacks &amp; Candy"/>
    <s v="Pasta"/>
    <n v="2"/>
    <n v="1899.04"/>
    <n v="3798.08"/>
    <n v="380.14"/>
    <n v="3417.94"/>
    <n v="58"/>
    <s v="07:31:59"/>
    <n v="8"/>
    <n v="4"/>
    <n v="2024"/>
    <d v="2024-04-08T00:00:00"/>
    <s v="UPI"/>
    <s v="M"/>
    <n v="3"/>
    <s v="Bangalore"/>
    <x v="170"/>
  </r>
  <r>
    <n v="5272"/>
    <s v="GreenGrocer Plaza"/>
    <d v="2024-01-12T00:00:00"/>
    <s v="Frozen Foods"/>
    <s v="Potatoes"/>
    <n v="5"/>
    <n v="1688.22"/>
    <n v="8441.1"/>
    <n v="844.11"/>
    <n v="7596.99"/>
    <n v="23"/>
    <s v="10:31:25"/>
    <n v="12"/>
    <n v="1"/>
    <n v="2024"/>
    <d v="2024-01-12T00:00:00"/>
    <s v="Cash"/>
    <s v="M"/>
    <n v="1"/>
    <s v="Bangalore"/>
    <x v="171"/>
  </r>
  <r>
    <n v="6147"/>
    <s v="FreshMart Downtown"/>
    <d v="2024-02-08T00:00:00"/>
    <s v="Produce"/>
    <s v="Yogurt"/>
    <n v="3"/>
    <n v="2357.1999999999998"/>
    <n v="7071.6"/>
    <n v="1060.74"/>
    <n v="6010.86"/>
    <n v="392"/>
    <s v="11:06:08"/>
    <n v="8"/>
    <n v="2"/>
    <n v="2024"/>
    <d v="2024-02-08T00:00:00"/>
    <s v="Debit Card"/>
    <s v="M"/>
    <n v="4"/>
    <s v="Pune"/>
    <x v="172"/>
  </r>
  <r>
    <n v="5351"/>
    <s v="QuickStop Market"/>
    <d v="2024-06-09T00:00:00"/>
    <s v="Canned Goods"/>
    <s v="Chicken Breast"/>
    <n v="1"/>
    <n v="1279.03"/>
    <n v="1279.03"/>
    <n v="255.64"/>
    <n v="1023.39"/>
    <n v="220"/>
    <s v="02:56:29"/>
    <n v="9"/>
    <n v="6"/>
    <n v="2024"/>
    <d v="2024-06-09T00:00:00"/>
    <s v="UPI"/>
    <s v="M"/>
    <n v="3"/>
    <s v="Jaipur"/>
    <x v="173"/>
  </r>
  <r>
    <n v="3144"/>
    <s v="Corner Grocery"/>
    <d v="2025-01-09T00:00:00"/>
    <s v="Personal Care"/>
    <s v="Ground Beef"/>
    <n v="5"/>
    <n v="1426.77"/>
    <n v="7133.85"/>
    <n v="214.97"/>
    <n v="6918.88"/>
    <n v="342"/>
    <s v="06:43:39"/>
    <n v="9"/>
    <n v="1"/>
    <n v="2025"/>
    <d v="2025-01-09T00:00:00"/>
    <s v="UPI"/>
    <s v="F"/>
    <n v="1"/>
    <s v="Bangalore"/>
    <x v="174"/>
  </r>
  <r>
    <n v="5915"/>
    <s v="FreshMart Downtown"/>
    <d v="2024-07-27T00:00:00"/>
    <s v="Snacks &amp; Candy"/>
    <s v="Bananas"/>
    <n v="4"/>
    <n v="2299.1"/>
    <n v="9196.4"/>
    <n v="225.76"/>
    <n v="8970.64"/>
    <n v="441"/>
    <s v="21:30:38"/>
    <n v="27"/>
    <n v="7"/>
    <n v="2024"/>
    <d v="2024-07-27T00:00:00"/>
    <s v="Credit Card"/>
    <s v="F"/>
    <n v="5"/>
    <s v="Ahmedabad"/>
    <x v="175"/>
  </r>
  <r>
    <n v="6180"/>
    <s v="Corner Grocery"/>
    <d v="2025-07-28T00:00:00"/>
    <s v="Health &amp; Wellness"/>
    <s v="Cheese"/>
    <n v="3"/>
    <n v="359.39"/>
    <n v="1078.17"/>
    <n v="215.8"/>
    <n v="862.37"/>
    <n v="10"/>
    <s v="02:56:18"/>
    <n v="28"/>
    <n v="7"/>
    <n v="2025"/>
    <d v="2025-07-28T00:00:00"/>
    <s v="Debit Card"/>
    <s v="F"/>
    <n v="5"/>
    <s v="Jaipur"/>
    <x v="176"/>
  </r>
  <r>
    <n v="2188"/>
    <s v="City Fresh Store"/>
    <d v="2023-08-14T00:00:00"/>
    <s v="Canned Goods"/>
    <s v="Bread"/>
    <n v="4"/>
    <n v="2114.84"/>
    <n v="8459.36"/>
    <n v="215.8"/>
    <n v="8243.56"/>
    <n v="124"/>
    <s v="19:47:57"/>
    <n v="14"/>
    <n v="8"/>
    <n v="2023"/>
    <d v="2023-08-14T00:00:00"/>
    <s v="Debit Card"/>
    <s v="M"/>
    <n v="5"/>
    <s v="Lucknow"/>
    <x v="177"/>
  </r>
  <r>
    <n v="8508"/>
    <s v="GreenGrocer Plaza"/>
    <d v="2024-12-01T00:00:00"/>
    <s v="Snacks &amp; Candy"/>
    <s v="Rice"/>
    <n v="3"/>
    <n v="615.86"/>
    <n v="1847.58"/>
    <n v="252.32"/>
    <n v="1595.26"/>
    <n v="398"/>
    <s v="05:36:29"/>
    <n v="1"/>
    <n v="12"/>
    <n v="2024"/>
    <d v="2024-12-01T00:00:00"/>
    <s v="Cash"/>
    <s v="F"/>
    <n v="5"/>
    <s v="Kolkata"/>
    <x v="178"/>
  </r>
  <r>
    <n v="2638"/>
    <s v="GreenGrocer Plaza"/>
    <d v="2023-10-02T00:00:00"/>
    <s v="Personal Care"/>
    <s v="Carrots"/>
    <n v="2"/>
    <n v="2262.58"/>
    <n v="4525.16"/>
    <n v="0"/>
    <n v="4525.16"/>
    <n v="178"/>
    <s v="17:32:17"/>
    <n v="2"/>
    <n v="10"/>
    <n v="2023"/>
    <d v="2023-10-02T00:00:00"/>
    <s v="Debit Card"/>
    <s v="M"/>
    <n v="2"/>
    <s v="Hyderabad"/>
    <x v="179"/>
  </r>
  <r>
    <n v="9808"/>
    <s v="SuperSave Central"/>
    <d v="2024-01-19T00:00:00"/>
    <s v="Bakery"/>
    <s v="Chicken Breast"/>
    <n v="2"/>
    <n v="698.03"/>
    <n v="1396.06"/>
    <n v="0"/>
    <n v="1396.06"/>
    <n v="88"/>
    <s v="14:32:57"/>
    <n v="19"/>
    <n v="1"/>
    <n v="2024"/>
    <d v="2024-01-19T00:00:00"/>
    <s v="Cash"/>
    <s v="M"/>
    <n v="4"/>
    <s v="Jaipur"/>
    <x v="180"/>
  </r>
  <r>
    <n v="9288"/>
    <s v="GreenGrocer Plaza"/>
    <d v="2024-02-28T00:00:00"/>
    <s v="Meat &amp; Seafood"/>
    <s v="Potatoes"/>
    <n v="4"/>
    <n v="1898.21"/>
    <n v="7592.84"/>
    <n v="0"/>
    <n v="7592.84"/>
    <n v="389"/>
    <s v="22:51:06"/>
    <n v="28"/>
    <n v="2"/>
    <n v="2024"/>
    <d v="2024-02-28T00:00:00"/>
    <s v="Debit Card"/>
    <s v="M"/>
    <n v="4"/>
    <s v="Hyderabad"/>
    <x v="181"/>
  </r>
  <r>
    <n v="3170"/>
    <s v="MegaMart Westside"/>
    <d v="2025-07-31T00:00:00"/>
    <s v="Health &amp; Wellness"/>
    <s v="Cereal"/>
    <n v="2"/>
    <n v="1140.42"/>
    <n v="2280.84"/>
    <n v="0"/>
    <n v="2280.84"/>
    <n v="240"/>
    <s v="12:14:48"/>
    <n v="31"/>
    <n v="7"/>
    <n v="2025"/>
    <d v="2025-07-31T00:00:00"/>
    <s v="Credit Card"/>
    <s v="M"/>
    <n v="2"/>
    <s v="Ahmedabad"/>
    <x v="182"/>
  </r>
  <r>
    <n v="6718"/>
    <s v="QuickStop Market"/>
    <d v="2025-06-21T00:00:00"/>
    <s v="Frozen Foods"/>
    <s v="Milk"/>
    <n v="3"/>
    <n v="1303.0999999999999"/>
    <n v="3909.3"/>
    <n v="390.93"/>
    <n v="3518.37"/>
    <n v="158"/>
    <s v="21:59:14"/>
    <n v="21"/>
    <n v="6"/>
    <n v="2025"/>
    <d v="2025-06-21T00:00:00"/>
    <s v="Debit Card"/>
    <s v="F"/>
    <n v="3"/>
    <s v="Kolkata"/>
    <x v="183"/>
  </r>
  <r>
    <n v="2127"/>
    <s v="FreshMart Downtown"/>
    <d v="2025-06-19T00:00:00"/>
    <s v="Produce"/>
    <s v="Orange Juice"/>
    <n v="3"/>
    <n v="267.26"/>
    <n v="801.78"/>
    <n v="280.54000000000002"/>
    <n v="521.24"/>
    <n v="442"/>
    <s v="12:09:04"/>
    <n v="19"/>
    <n v="6"/>
    <n v="2025"/>
    <d v="2025-06-19T00:00:00"/>
    <s v="Cash"/>
    <s v="F"/>
    <n v="3"/>
    <s v="Chennai"/>
    <x v="184"/>
  </r>
  <r>
    <n v="5002"/>
    <s v="Corner Grocery"/>
    <d v="2024-05-20T00:00:00"/>
    <s v="Beverages"/>
    <s v="Onions"/>
    <n v="1"/>
    <n v="1164.49"/>
    <n v="1164.49"/>
    <n v="174.3"/>
    <n v="990.19"/>
    <n v="414"/>
    <s v="10:55:01"/>
    <n v="20"/>
    <n v="5"/>
    <n v="2024"/>
    <d v="2024-05-20T00:00:00"/>
    <s v="Cash"/>
    <s v="M"/>
    <n v="5"/>
    <s v="Pune"/>
    <x v="185"/>
  </r>
  <r>
    <n v="5669"/>
    <s v="City Fresh Store"/>
    <d v="2023-12-07T00:00:00"/>
    <s v="Personal Care"/>
    <s v="Eggs"/>
    <n v="1"/>
    <n v="1166.98"/>
    <n v="1166.98"/>
    <n v="0"/>
    <n v="1166.98"/>
    <n v="415"/>
    <s v="23:04:56"/>
    <n v="7"/>
    <n v="12"/>
    <n v="2023"/>
    <d v="2023-12-07T00:00:00"/>
    <s v="Credit Card"/>
    <s v="F"/>
    <n v="1"/>
    <s v="Jaipur"/>
    <x v="186"/>
  </r>
  <r>
    <n v="8179"/>
    <s v="GreenGrocer Plaza"/>
    <d v="2025-05-15T00:00:00"/>
    <s v="Personal Care"/>
    <s v="Apples"/>
    <n v="1"/>
    <n v="678.11"/>
    <n v="678.11"/>
    <n v="256.47000000000003"/>
    <n v="421.64"/>
    <n v="224"/>
    <s v="03:50:07"/>
    <n v="15"/>
    <n v="5"/>
    <n v="2025"/>
    <d v="2025-05-15T00:00:00"/>
    <s v="Debit Card"/>
    <s v="M"/>
    <n v="3"/>
    <s v="Pune"/>
    <x v="187"/>
  </r>
  <r>
    <n v="9900"/>
    <s v="SuperSave Central"/>
    <d v="2025-02-03T00:00:00"/>
    <s v="Canned Goods"/>
    <s v="Orange Juice"/>
    <n v="3"/>
    <n v="1015.09"/>
    <n v="3045.27"/>
    <n v="0"/>
    <n v="3045.27"/>
    <n v="396"/>
    <s v="16:27:06"/>
    <n v="3"/>
    <n v="2"/>
    <n v="2025"/>
    <d v="2025-02-03T00:00:00"/>
    <s v="Debit Card"/>
    <s v="F"/>
    <n v="1"/>
    <s v="Delhi"/>
    <x v="188"/>
  </r>
  <r>
    <n v="5956"/>
    <s v="FreshMart Downtown"/>
    <d v="2024-11-24T00:00:00"/>
    <s v="Health &amp; Wellness"/>
    <s v="Cereal"/>
    <n v="1"/>
    <n v="875.65"/>
    <n v="875.65"/>
    <n v="131.13999999999999"/>
    <n v="744.51"/>
    <n v="285"/>
    <s v="00:18:23"/>
    <n v="24"/>
    <n v="11"/>
    <n v="2024"/>
    <d v="2024-11-24T00:00:00"/>
    <s v="Credit Card"/>
    <s v="F"/>
    <n v="4"/>
    <s v="Hyderabad"/>
    <x v="189"/>
  </r>
  <r>
    <n v="9666"/>
    <s v="QuickStop Market"/>
    <d v="2023-08-13T00:00:00"/>
    <s v="Health &amp; Wellness"/>
    <s v="Eggs"/>
    <n v="3"/>
    <n v="278.05"/>
    <n v="834.15"/>
    <n v="125.33"/>
    <n v="708.82"/>
    <n v="339"/>
    <s v="22:35:32"/>
    <n v="13"/>
    <n v="8"/>
    <n v="2023"/>
    <d v="2023-08-13T00:00:00"/>
    <s v="Debit Card"/>
    <s v="M"/>
    <n v="1"/>
    <s v="Hyderabad"/>
    <x v="190"/>
  </r>
  <r>
    <n v="5905"/>
    <s v="QuickStop Market"/>
    <d v="2025-07-30T00:00:00"/>
    <s v="Health &amp; Wellness"/>
    <s v="Tomatoes"/>
    <n v="2"/>
    <n v="1514.75"/>
    <n v="3029.5"/>
    <n v="454.01"/>
    <n v="2575.4899999999998"/>
    <n v="480"/>
    <s v="20:52:51"/>
    <n v="30"/>
    <n v="7"/>
    <n v="2025"/>
    <d v="2025-07-30T00:00:00"/>
    <s v="Debit Card"/>
    <s v="F"/>
    <n v="4"/>
    <s v="Delhi"/>
    <x v="191"/>
  </r>
  <r>
    <n v="2697"/>
    <s v="ValuePlus Market"/>
    <d v="2025-08-05T00:00:00"/>
    <s v="Snacks &amp; Candy"/>
    <s v="Cereal"/>
    <n v="2"/>
    <n v="1694.86"/>
    <n v="3389.72"/>
    <n v="0"/>
    <n v="3389.72"/>
    <n v="424"/>
    <s v="18:54:59"/>
    <n v="5"/>
    <n v="8"/>
    <n v="2025"/>
    <d v="2025-08-05T00:00:00"/>
    <s v="Cash"/>
    <s v="M"/>
    <n v="2"/>
    <s v="Chennai"/>
    <x v="192"/>
  </r>
  <r>
    <n v="3200"/>
    <s v="Corner Grocery"/>
    <d v="2024-02-28T00:00:00"/>
    <s v="Personal Care"/>
    <s v="Orange Juice"/>
    <n v="1"/>
    <n v="955.33"/>
    <n v="955.33"/>
    <n v="143.59"/>
    <n v="811.74"/>
    <n v="92"/>
    <s v="14:48:57"/>
    <n v="28"/>
    <n v="2"/>
    <n v="2024"/>
    <d v="2024-02-28T00:00:00"/>
    <s v="Debit Card"/>
    <s v="F"/>
    <n v="2"/>
    <s v="Mumbai"/>
    <x v="193"/>
  </r>
  <r>
    <n v="2891"/>
    <s v="City Fresh Store"/>
    <d v="2025-06-28T00:00:00"/>
    <s v="Bakery"/>
    <s v="Ground Beef"/>
    <n v="2"/>
    <n v="454.84"/>
    <n v="909.68"/>
    <n v="338.64"/>
    <n v="571.04"/>
    <n v="151"/>
    <s v="19:35:42"/>
    <n v="28"/>
    <n v="6"/>
    <n v="2025"/>
    <d v="2025-06-28T00:00:00"/>
    <s v="Debit Card"/>
    <s v="M"/>
    <n v="5"/>
    <s v="Lucknow"/>
    <x v="194"/>
  </r>
  <r>
    <n v="2753"/>
    <s v="ValuePlus Market"/>
    <d v="2025-03-05T00:00:00"/>
    <s v="Produce"/>
    <s v="Cereal"/>
    <n v="5"/>
    <n v="397.57"/>
    <n v="1987.85"/>
    <n v="397.57"/>
    <n v="1590.28"/>
    <n v="192"/>
    <s v="16:57:57"/>
    <n v="5"/>
    <n v="3"/>
    <n v="2025"/>
    <d v="2025-03-05T00:00:00"/>
    <s v="Credit Card"/>
    <s v="M"/>
    <n v="3"/>
    <s v="Jaipur"/>
    <x v="195"/>
  </r>
  <r>
    <n v="3546"/>
    <s v="SuperSave Central"/>
    <d v="2024-03-05T00:00:00"/>
    <s v="Household Items"/>
    <s v="Apples"/>
    <n v="4"/>
    <n v="187.58"/>
    <n v="750.32"/>
    <n v="74.7"/>
    <n v="675.62"/>
    <n v="186"/>
    <s v="23:31:08"/>
    <n v="5"/>
    <n v="3"/>
    <n v="2024"/>
    <d v="2024-03-05T00:00:00"/>
    <s v="Credit Card"/>
    <s v="F"/>
    <n v="5"/>
    <s v="Hyderabad"/>
    <x v="196"/>
  </r>
  <r>
    <n v="5616"/>
    <s v="QuickStop Market"/>
    <d v="2024-11-18T00:00:00"/>
    <s v="Beverages"/>
    <s v="Ground Beef"/>
    <n v="5"/>
    <n v="658.19"/>
    <n v="3290.95"/>
    <n v="658.19"/>
    <n v="2632.76"/>
    <n v="494"/>
    <s v="23:08:03"/>
    <n v="18"/>
    <n v="11"/>
    <n v="2024"/>
    <d v="2024-11-18T00:00:00"/>
    <s v="UPI"/>
    <s v="F"/>
    <n v="4"/>
    <s v="Lucknow"/>
    <x v="197"/>
  </r>
  <r>
    <n v="4450"/>
    <s v="MegaMart Westside"/>
    <d v="2025-02-14T00:00:00"/>
    <s v="Health &amp; Wellness"/>
    <s v="Salmon"/>
    <n v="4"/>
    <n v="1933.9"/>
    <n v="7735.6"/>
    <n v="258.13"/>
    <n v="7477.47"/>
    <n v="398"/>
    <s v="23:52:25"/>
    <n v="14"/>
    <n v="2"/>
    <n v="2025"/>
    <d v="2025-02-14T00:00:00"/>
    <s v="Cash"/>
    <s v="M"/>
    <n v="5"/>
    <s v="Hyderabad"/>
    <x v="198"/>
  </r>
  <r>
    <n v="6617"/>
    <s v="SuperSave Central"/>
    <d v="2024-01-12T00:00:00"/>
    <s v="Bakery"/>
    <s v="Eggs"/>
    <n v="3"/>
    <n v="207.5"/>
    <n v="622.5"/>
    <n v="393.42"/>
    <n v="229.08"/>
    <n v="246"/>
    <s v="07:31:11"/>
    <n v="12"/>
    <n v="1"/>
    <n v="2024"/>
    <d v="2024-01-12T00:00:00"/>
    <s v="Debit Card"/>
    <s v="F"/>
    <n v="1"/>
    <s v="Mumbai"/>
    <x v="199"/>
  </r>
  <r>
    <n v="5325"/>
    <s v="ValuePlus Market"/>
    <d v="2024-09-02T00:00:00"/>
    <s v="Dairy"/>
    <s v="Rice"/>
    <n v="1"/>
    <n v="1918.96"/>
    <n v="1918.96"/>
    <n v="131.97"/>
    <n v="1786.99"/>
    <n v="139"/>
    <s v="08:33:38"/>
    <n v="2"/>
    <n v="9"/>
    <n v="2024"/>
    <d v="2024-09-02T00:00:00"/>
    <s v="Debit Card"/>
    <s v="F"/>
    <n v="4"/>
    <s v="Delhi"/>
    <x v="200"/>
  </r>
  <r>
    <n v="9004"/>
    <s v="Corner Grocery"/>
    <d v="2024-02-18T00:00:00"/>
    <s v="Dairy"/>
    <s v="Ground Beef"/>
    <n v="4"/>
    <n v="2211.12"/>
    <n v="8844.48"/>
    <n v="884.78"/>
    <n v="7959.7"/>
    <n v="476"/>
    <s v="11:18:58"/>
    <n v="18"/>
    <n v="2"/>
    <n v="2024"/>
    <d v="2024-02-18T00:00:00"/>
    <s v="UPI"/>
    <s v="M"/>
    <n v="2"/>
    <s v="Mumbai"/>
    <x v="201"/>
  </r>
  <r>
    <n v="1832"/>
    <s v="FreshMart Downtown"/>
    <d v="2023-10-17T00:00:00"/>
    <s v="Snacks &amp; Candy"/>
    <s v="Carrots"/>
    <n v="3"/>
    <n v="649.89"/>
    <n v="1949.67"/>
    <n v="390.1"/>
    <n v="1559.57"/>
    <n v="41"/>
    <s v="11:03:12"/>
    <n v="17"/>
    <n v="10"/>
    <n v="2023"/>
    <d v="2023-10-17T00:00:00"/>
    <s v="Debit Card"/>
    <s v="M"/>
    <n v="3"/>
    <s v="Hyderabad"/>
    <x v="202"/>
  </r>
  <r>
    <n v="7939"/>
    <s v="FreshMart Downtown"/>
    <d v="2025-05-12T00:00:00"/>
    <s v="Canned Goods"/>
    <s v="Chicken Breast"/>
    <n v="3"/>
    <n v="1987.02"/>
    <n v="5961.06"/>
    <n v="893.91"/>
    <n v="5067.1499999999996"/>
    <n v="70"/>
    <s v="05:44:17"/>
    <n v="12"/>
    <n v="5"/>
    <n v="2025"/>
    <d v="2025-05-12T00:00:00"/>
    <s v="Cash"/>
    <s v="F"/>
    <n v="4"/>
    <s v="Delhi"/>
    <x v="203"/>
  </r>
  <r>
    <n v="5533"/>
    <s v="City Fresh Store"/>
    <d v="2023-09-10T00:00:00"/>
    <s v="Meat &amp; Seafood"/>
    <s v="Potatoes"/>
    <n v="4"/>
    <n v="1563.72"/>
    <n v="6254.88"/>
    <n v="167.66"/>
    <n v="6087.22"/>
    <n v="463"/>
    <s v="10:38:52"/>
    <n v="10"/>
    <n v="9"/>
    <n v="2023"/>
    <d v="2023-09-10T00:00:00"/>
    <s v="UPI"/>
    <s v="M"/>
    <n v="4"/>
    <s v="Mumbai"/>
    <x v="204"/>
  </r>
  <r>
    <n v="1058"/>
    <s v="SuperSave Central"/>
    <d v="2024-04-22T00:00:00"/>
    <s v="Personal Care"/>
    <s v="Carrots"/>
    <n v="4"/>
    <n v="349.43"/>
    <n v="1397.72"/>
    <n v="209.99"/>
    <n v="1187.73"/>
    <n v="147"/>
    <s v="13:43:46"/>
    <n v="22"/>
    <n v="4"/>
    <n v="2024"/>
    <d v="2024-04-22T00:00:00"/>
    <s v="Cash"/>
    <s v="M"/>
    <n v="1"/>
    <s v="Chennai"/>
    <x v="205"/>
  </r>
  <r>
    <n v="3143"/>
    <s v="GreenGrocer Plaza"/>
    <d v="2024-12-13T00:00:00"/>
    <s v="Produce"/>
    <s v="Ground Beef"/>
    <n v="4"/>
    <n v="1620.16"/>
    <n v="6480.64"/>
    <n v="119.52"/>
    <n v="6361.12"/>
    <n v="318"/>
    <s v="19:12:10"/>
    <n v="13"/>
    <n v="12"/>
    <n v="2024"/>
    <d v="2024-12-13T00:00:00"/>
    <s v="UPI"/>
    <s v="M"/>
    <n v="3"/>
    <s v="Delhi"/>
    <x v="206"/>
  </r>
  <r>
    <n v="5291"/>
    <s v="City Fresh Store"/>
    <d v="2023-12-10T00:00:00"/>
    <s v="Household Items"/>
    <s v="Onions"/>
    <n v="1"/>
    <n v="1603.56"/>
    <n v="1603.56"/>
    <n v="0"/>
    <n v="1603.56"/>
    <n v="294"/>
    <s v="21:20:50"/>
    <n v="10"/>
    <n v="12"/>
    <n v="2023"/>
    <d v="2023-12-10T00:00:00"/>
    <s v="UPI"/>
    <s v="F"/>
    <n v="2"/>
    <s v="Jaipur"/>
    <x v="207"/>
  </r>
  <r>
    <n v="8239"/>
    <s v="SuperSave Central"/>
    <d v="2024-10-08T00:00:00"/>
    <s v="Frozen Foods"/>
    <s v="Cheese"/>
    <n v="1"/>
    <n v="1562.06"/>
    <n v="1562.06"/>
    <n v="312.08"/>
    <n v="1249.98"/>
    <n v="123"/>
    <s v="03:47:31"/>
    <n v="8"/>
    <n v="10"/>
    <n v="2024"/>
    <d v="2024-10-08T00:00:00"/>
    <s v="Credit Card"/>
    <s v="F"/>
    <n v="4"/>
    <s v="Hyderabad"/>
    <x v="208"/>
  </r>
  <r>
    <n v="8007"/>
    <s v="GreenGrocer Plaza"/>
    <d v="2024-10-15T00:00:00"/>
    <s v="Personal Care"/>
    <s v="Orange Juice"/>
    <n v="1"/>
    <n v="2377.12"/>
    <n v="2377.12"/>
    <n v="237.38"/>
    <n v="2139.7399999999998"/>
    <n v="278"/>
    <s v="06:08:13"/>
    <n v="15"/>
    <n v="10"/>
    <n v="2024"/>
    <d v="2024-10-15T00:00:00"/>
    <s v="Cash"/>
    <s v="M"/>
    <n v="4"/>
    <s v="Ahmedabad"/>
    <x v="209"/>
  </r>
  <r>
    <n v="1158"/>
    <s v="City Fresh Store"/>
    <d v="2023-11-01T00:00:00"/>
    <s v="Produce"/>
    <s v="Tomatoes"/>
    <n v="3"/>
    <n v="693.05"/>
    <n v="2079.15"/>
    <n v="197.54"/>
    <n v="1881.61"/>
    <n v="8"/>
    <s v="07:53:43"/>
    <n v="1"/>
    <n v="11"/>
    <n v="2023"/>
    <d v="2023-11-01T00:00:00"/>
    <s v="Debit Card"/>
    <s v="F"/>
    <n v="1"/>
    <s v="Pune"/>
    <x v="210"/>
  </r>
  <r>
    <n v="2232"/>
    <s v="GreenGrocer Plaza"/>
    <d v="2025-06-22T00:00:00"/>
    <s v="Household Items"/>
    <s v="Cereal"/>
    <n v="2"/>
    <n v="189.24"/>
    <n v="378.48"/>
    <n v="0"/>
    <n v="378.48"/>
    <n v="279"/>
    <s v="02:54:51"/>
    <n v="22"/>
    <n v="6"/>
    <n v="2025"/>
    <d v="2025-06-22T00:00:00"/>
    <s v="Debit Card"/>
    <s v="M"/>
    <n v="5"/>
    <s v="Hyderabad"/>
    <x v="211"/>
  </r>
  <r>
    <n v="3442"/>
    <s v="SuperSave Central"/>
    <d v="2024-10-03T00:00:00"/>
    <s v="Health &amp; Wellness"/>
    <s v="Salmon"/>
    <n v="4"/>
    <n v="1602.73"/>
    <n v="6410.92"/>
    <n v="320.38"/>
    <n v="6090.54"/>
    <n v="415"/>
    <s v="09:11:31"/>
    <n v="3"/>
    <n v="10"/>
    <n v="2024"/>
    <d v="2024-10-03T00:00:00"/>
    <s v="Cash"/>
    <s v="F"/>
    <n v="2"/>
    <s v="Jaipur"/>
    <x v="212"/>
  </r>
  <r>
    <n v="1590"/>
    <s v="City Fresh Store"/>
    <d v="2025-05-16T00:00:00"/>
    <s v="Produce"/>
    <s v="Rice"/>
    <n v="2"/>
    <n v="187.58"/>
    <n v="375.16"/>
    <n v="56.44"/>
    <n v="318.72000000000003"/>
    <n v="102"/>
    <s v="17:14:25"/>
    <n v="16"/>
    <n v="5"/>
    <n v="2025"/>
    <d v="2025-05-16T00:00:00"/>
    <s v="Debit Card"/>
    <s v="M"/>
    <n v="3"/>
    <s v="Bangalore"/>
    <x v="213"/>
  </r>
  <r>
    <n v="7049"/>
    <s v="QuickStop Market"/>
    <d v="2024-11-01T00:00:00"/>
    <s v="Personal Care"/>
    <s v="Tomatoes"/>
    <n v="5"/>
    <n v="1221.76"/>
    <n v="6108.8"/>
    <n v="916.32"/>
    <n v="5192.4799999999996"/>
    <n v="18"/>
    <s v="20:00:19"/>
    <n v="1"/>
    <n v="11"/>
    <n v="2024"/>
    <d v="2024-11-01T00:00:00"/>
    <s v="Debit Card"/>
    <s v="M"/>
    <n v="4"/>
    <s v="Lucknow"/>
    <x v="214"/>
  </r>
  <r>
    <n v="3426"/>
    <s v="MegaMart Westside"/>
    <d v="2024-07-05T00:00:00"/>
    <s v="Produce"/>
    <s v="Cereal"/>
    <n v="3"/>
    <n v="381.8"/>
    <n v="1145.4000000000001"/>
    <n v="114.54"/>
    <n v="1030.8599999999999"/>
    <n v="188"/>
    <s v="21:47:30"/>
    <n v="5"/>
    <n v="7"/>
    <n v="2024"/>
    <d v="2024-07-05T00:00:00"/>
    <s v="Cash"/>
    <s v="F"/>
    <n v="4"/>
    <s v="Lucknow"/>
    <x v="215"/>
  </r>
  <r>
    <n v="3088"/>
    <s v="City Fresh Store"/>
    <d v="2023-09-08T00:00:00"/>
    <s v="Snacks &amp; Candy"/>
    <s v="Cereal"/>
    <n v="2"/>
    <n v="1276.54"/>
    <n v="2553.08"/>
    <n v="171.81"/>
    <n v="2381.27"/>
    <n v="254"/>
    <s v="13:07:58"/>
    <n v="8"/>
    <n v="9"/>
    <n v="2023"/>
    <d v="2023-09-08T00:00:00"/>
    <s v="UPI"/>
    <s v="M"/>
    <n v="2"/>
    <s v="Pune"/>
    <x v="216"/>
  </r>
  <r>
    <n v="6050"/>
    <s v="GreenGrocer Plaza"/>
    <d v="2024-05-16T00:00:00"/>
    <s v="Snacks &amp; Candy"/>
    <s v="Bread"/>
    <n v="4"/>
    <n v="1532.18"/>
    <n v="6128.72"/>
    <n v="180.94"/>
    <n v="5947.78"/>
    <n v="421"/>
    <s v="20:56:04"/>
    <n v="16"/>
    <n v="5"/>
    <n v="2024"/>
    <d v="2024-05-16T00:00:00"/>
    <s v="Cash"/>
    <s v="F"/>
    <n v="5"/>
    <s v="Hyderabad"/>
    <x v="217"/>
  </r>
  <r>
    <n v="1653"/>
    <s v="GreenGrocer Plaza"/>
    <d v="2025-07-05T00:00:00"/>
    <s v="Dairy"/>
    <s v="Cereal"/>
    <n v="3"/>
    <n v="820.04"/>
    <n v="2460.12"/>
    <n v="492.19"/>
    <n v="1967.93"/>
    <n v="308"/>
    <s v="17:12:33"/>
    <n v="5"/>
    <n v="7"/>
    <n v="2025"/>
    <d v="2025-07-05T00:00:00"/>
    <s v="UPI"/>
    <s v="F"/>
    <n v="4"/>
    <s v="Pune"/>
    <x v="218"/>
  </r>
  <r>
    <n v="6862"/>
    <s v="City Fresh Store"/>
    <d v="2024-01-17T00:00:00"/>
    <s v="Canned Goods"/>
    <s v="Salmon"/>
    <n v="1"/>
    <n v="1831.81"/>
    <n v="1831.81"/>
    <n v="414.17"/>
    <n v="1417.64"/>
    <n v="466"/>
    <s v="21:56:19"/>
    <n v="17"/>
    <n v="1"/>
    <n v="2024"/>
    <d v="2024-01-17T00:00:00"/>
    <s v="Debit Card"/>
    <s v="M"/>
    <n v="2"/>
    <s v="Kolkata"/>
    <x v="219"/>
  </r>
  <r>
    <n v="5088"/>
    <s v="QuickStop Market"/>
    <d v="2025-01-06T00:00:00"/>
    <s v="Health &amp; Wellness"/>
    <s v="Milk"/>
    <n v="1"/>
    <n v="1697.35"/>
    <n v="1697.35"/>
    <n v="348.6"/>
    <n v="1348.75"/>
    <n v="207"/>
    <s v="17:21:32"/>
    <n v="6"/>
    <n v="1"/>
    <n v="2025"/>
    <d v="2025-01-06T00:00:00"/>
    <s v="Debit Card"/>
    <s v="M"/>
    <n v="1"/>
    <s v="Hyderabad"/>
    <x v="220"/>
  </r>
  <r>
    <n v="2684"/>
    <s v="SuperSave Central"/>
    <d v="2024-05-07T00:00:00"/>
    <s v="Produce"/>
    <s v="Eggs"/>
    <n v="5"/>
    <n v="1713.95"/>
    <n v="8569.75"/>
    <n v="1713.95"/>
    <n v="6855.8"/>
    <n v="224"/>
    <s v="21:58:10"/>
    <n v="7"/>
    <n v="5"/>
    <n v="2024"/>
    <d v="2024-05-07T00:00:00"/>
    <s v="Debit Card"/>
    <s v="F"/>
    <n v="5"/>
    <s v="Delhi"/>
    <x v="221"/>
  </r>
  <r>
    <n v="7658"/>
    <s v="GreenGrocer Plaza"/>
    <d v="2024-12-01T00:00:00"/>
    <s v="Bakery"/>
    <s v="Orange Juice"/>
    <n v="3"/>
    <n v="1003.47"/>
    <n v="3010.41"/>
    <n v="133.63"/>
    <n v="2876.78"/>
    <n v="290"/>
    <s v="16:44:35"/>
    <n v="1"/>
    <n v="12"/>
    <n v="2024"/>
    <d v="2024-12-01T00:00:00"/>
    <s v="Credit Card"/>
    <s v="M"/>
    <n v="3"/>
    <s v="Delhi"/>
    <x v="222"/>
  </r>
  <r>
    <n v="3532"/>
    <s v="City Fresh Store"/>
    <d v="2025-07-26T00:00:00"/>
    <s v="Canned Goods"/>
    <s v="Orange Juice"/>
    <n v="4"/>
    <n v="1918.96"/>
    <n v="7675.84"/>
    <n v="205.01"/>
    <n v="7470.83"/>
    <n v="293"/>
    <s v="05:54:52"/>
    <n v="26"/>
    <n v="7"/>
    <n v="2025"/>
    <d v="2025-07-26T00:00:00"/>
    <s v="UPI"/>
    <s v="M"/>
    <n v="4"/>
    <s v="Kolkata"/>
    <x v="223"/>
  </r>
  <r>
    <n v="4878"/>
    <s v="MegaMart Westside"/>
    <d v="2025-06-08T00:00:00"/>
    <s v="Health &amp; Wellness"/>
    <s v="Pasta"/>
    <n v="2"/>
    <n v="2394.5500000000002"/>
    <n v="4789.1000000000004"/>
    <n v="478.91"/>
    <n v="4310.1899999999996"/>
    <n v="13"/>
    <s v="00:51:37"/>
    <n v="8"/>
    <n v="6"/>
    <n v="2025"/>
    <d v="2025-06-08T00:00:00"/>
    <s v="Credit Card"/>
    <s v="M"/>
    <n v="2"/>
    <s v="Chennai"/>
    <x v="224"/>
  </r>
  <r>
    <n v="3662"/>
    <s v="ValuePlus Market"/>
    <d v="2025-04-19T00:00:00"/>
    <s v="Snacks &amp; Candy"/>
    <s v="Onions"/>
    <n v="1"/>
    <n v="712.14"/>
    <n v="712.14"/>
    <n v="142.76"/>
    <n v="569.38"/>
    <n v="133"/>
    <s v="03:34:35"/>
    <n v="19"/>
    <n v="4"/>
    <n v="2025"/>
    <d v="2025-04-19T00:00:00"/>
    <s v="Credit Card"/>
    <s v="M"/>
    <n v="1"/>
    <s v="Kolkata"/>
    <x v="225"/>
  </r>
  <r>
    <n v="3900"/>
    <s v="QuickStop Market"/>
    <d v="2025-06-21T00:00:00"/>
    <s v="Beverages"/>
    <s v="Yogurt"/>
    <n v="1"/>
    <n v="409.19"/>
    <n v="409.19"/>
    <n v="82.17"/>
    <n v="327.02"/>
    <n v="37"/>
    <s v="01:18:00"/>
    <n v="21"/>
    <n v="6"/>
    <n v="2025"/>
    <d v="2025-06-21T00:00:00"/>
    <s v="Cash"/>
    <s v="M"/>
    <n v="3"/>
    <s v="Kolkata"/>
    <x v="226"/>
  </r>
  <r>
    <n v="7755"/>
    <s v="City Fresh Store"/>
    <d v="2023-08-26T00:00:00"/>
    <s v="Dairy"/>
    <s v="Cereal"/>
    <n v="3"/>
    <n v="1790.31"/>
    <n v="5370.93"/>
    <n v="805.93"/>
    <n v="4565"/>
    <n v="281"/>
    <s v="11:04:24"/>
    <n v="26"/>
    <n v="8"/>
    <n v="2023"/>
    <d v="2023-08-26T00:00:00"/>
    <s v="Credit Card"/>
    <s v="F"/>
    <n v="2"/>
    <s v="Pune"/>
    <x v="227"/>
  </r>
  <r>
    <n v="3938"/>
    <s v="SuperSave Central"/>
    <d v="2025-03-01T00:00:00"/>
    <s v="Health &amp; Wellness"/>
    <s v="Apples"/>
    <n v="3"/>
    <n v="1306.42"/>
    <n v="3919.26"/>
    <n v="783.52"/>
    <n v="3135.74"/>
    <n v="62"/>
    <s v="02:53:28"/>
    <n v="1"/>
    <n v="3"/>
    <n v="2025"/>
    <d v="2025-03-01T00:00:00"/>
    <s v="Cash"/>
    <s v="F"/>
    <n v="2"/>
    <s v="Mumbai"/>
    <x v="228"/>
  </r>
  <r>
    <n v="6442"/>
    <s v="FamilyFood Express"/>
    <d v="2025-04-05T00:00:00"/>
    <s v="Beverages"/>
    <s v="Bananas"/>
    <n v="3"/>
    <n v="1415.98"/>
    <n v="4247.9399999999996"/>
    <n v="126.16"/>
    <n v="4121.78"/>
    <n v="188"/>
    <s v="19:52:49"/>
    <n v="5"/>
    <n v="4"/>
    <n v="2025"/>
    <d v="2025-04-05T00:00:00"/>
    <s v="Cash"/>
    <s v="M"/>
    <n v="3"/>
    <s v="Delhi"/>
    <x v="229"/>
  </r>
  <r>
    <n v="7745"/>
    <s v="GreenGrocer Plaza"/>
    <d v="2025-04-21T00:00:00"/>
    <s v="Dairy"/>
    <s v="Rice"/>
    <n v="4"/>
    <n v="2488.34"/>
    <n v="9953.36"/>
    <n v="219.12"/>
    <n v="9734.24"/>
    <n v="368"/>
    <s v="18:11:34"/>
    <n v="21"/>
    <n v="4"/>
    <n v="2025"/>
    <d v="2025-04-21T00:00:00"/>
    <s v="Credit Card"/>
    <s v="M"/>
    <n v="1"/>
    <s v="Mumbai"/>
    <x v="230"/>
  </r>
  <r>
    <n v="5065"/>
    <s v="Corner Grocery"/>
    <d v="2024-03-01T00:00:00"/>
    <s v="Household Items"/>
    <s v="Bread"/>
    <n v="2"/>
    <n v="2422.77"/>
    <n v="4845.54"/>
    <n v="484.72"/>
    <n v="4360.82"/>
    <n v="328"/>
    <s v="18:08:03"/>
    <n v="1"/>
    <n v="3"/>
    <n v="2024"/>
    <d v="2024-03-01T00:00:00"/>
    <s v="UPI"/>
    <s v="M"/>
    <n v="1"/>
    <s v="Kolkata"/>
    <x v="231"/>
  </r>
  <r>
    <n v="3608"/>
    <s v="City Fresh Store"/>
    <d v="2025-04-09T00:00:00"/>
    <s v="Health &amp; Wellness"/>
    <s v="Carrots"/>
    <n v="3"/>
    <n v="390.93"/>
    <n v="1172.79"/>
    <n v="234.89"/>
    <n v="937.9"/>
    <n v="424"/>
    <s v="02:06:19"/>
    <n v="9"/>
    <n v="4"/>
    <n v="2025"/>
    <d v="2025-04-09T00:00:00"/>
    <s v="UPI"/>
    <s v="F"/>
    <n v="5"/>
    <s v="Chennai"/>
    <x v="232"/>
  </r>
  <r>
    <n v="2771"/>
    <s v="Corner Grocery"/>
    <d v="2024-05-30T00:00:00"/>
    <s v="Personal Care"/>
    <s v="Milk"/>
    <n v="1"/>
    <n v="1328.83"/>
    <n v="1328.83"/>
    <n v="265.60000000000002"/>
    <n v="1063.23"/>
    <n v="155"/>
    <s v="02:57:46"/>
    <n v="30"/>
    <n v="5"/>
    <n v="2024"/>
    <d v="2024-05-30T00:00:00"/>
    <s v="UPI"/>
    <s v="M"/>
    <n v="4"/>
    <s v="Delhi"/>
    <x v="233"/>
  </r>
  <r>
    <n v="1634"/>
    <s v="MegaMart Westside"/>
    <d v="2025-06-03T00:00:00"/>
    <s v="Bakery"/>
    <s v="Orange Juice"/>
    <n v="5"/>
    <n v="2236.02"/>
    <n v="11180.1"/>
    <n v="1676.6"/>
    <n v="9503.5"/>
    <n v="433"/>
    <s v="23:29:25"/>
    <n v="3"/>
    <n v="6"/>
    <n v="2025"/>
    <d v="2025-06-03T00:00:00"/>
    <s v="UPI"/>
    <s v="F"/>
    <n v="3"/>
    <s v="Hyderabad"/>
    <x v="234"/>
  </r>
  <r>
    <n v="8711"/>
    <s v="FamilyFood Express"/>
    <d v="2024-01-26T00:00:00"/>
    <s v="Health &amp; Wellness"/>
    <s v="Onions"/>
    <n v="3"/>
    <n v="383.46"/>
    <n v="1150.3800000000001"/>
    <n v="295.48"/>
    <n v="854.9"/>
    <n v="155"/>
    <s v="19:12:08"/>
    <n v="26"/>
    <n v="1"/>
    <n v="2024"/>
    <d v="2024-01-26T00:00:00"/>
    <s v="UPI"/>
    <s v="F"/>
    <n v="3"/>
    <s v="Hyderabad"/>
    <x v="235"/>
  </r>
  <r>
    <n v="4269"/>
    <s v="SuperSave Central"/>
    <d v="2025-05-02T00:00:00"/>
    <s v="Meat &amp; Seafood"/>
    <s v="Cereal"/>
    <n v="5"/>
    <n v="180.94"/>
    <n v="904.7"/>
    <n v="97.94"/>
    <n v="806.76"/>
    <n v="442"/>
    <s v="03:43:29"/>
    <n v="2"/>
    <n v="5"/>
    <n v="2025"/>
    <d v="2025-05-02T00:00:00"/>
    <s v="Credit Card"/>
    <s v="F"/>
    <n v="3"/>
    <s v="Hyderabad"/>
    <x v="236"/>
  </r>
  <r>
    <n v="8541"/>
    <s v="QuickStop Market"/>
    <d v="2024-05-04T00:00:00"/>
    <s v="Health &amp; Wellness"/>
    <s v="Yogurt"/>
    <n v="5"/>
    <n v="1084.81"/>
    <n v="5424.05"/>
    <n v="542.82000000000005"/>
    <n v="4881.2299999999996"/>
    <n v="327"/>
    <s v="09:06:07"/>
    <n v="4"/>
    <n v="5"/>
    <n v="2024"/>
    <d v="2024-05-04T00:00:00"/>
    <s v="Credit Card"/>
    <s v="M"/>
    <n v="1"/>
    <s v="Jaipur"/>
    <x v="237"/>
  </r>
  <r>
    <n v="6000"/>
    <s v="ValuePlus Market"/>
    <d v="2025-05-05T00:00:00"/>
    <s v="Frozen Foods"/>
    <s v="Rice"/>
    <n v="4"/>
    <n v="671.47"/>
    <n v="2685.88"/>
    <n v="402.55"/>
    <n v="2283.33"/>
    <n v="413"/>
    <s v="13:47:45"/>
    <n v="5"/>
    <n v="5"/>
    <n v="2025"/>
    <d v="2025-05-05T00:00:00"/>
    <s v="Debit Card"/>
    <s v="F"/>
    <n v="4"/>
    <s v="Pune"/>
    <x v="238"/>
  </r>
  <r>
    <n v="4728"/>
    <s v="City Fresh Store"/>
    <d v="2024-01-27T00:00:00"/>
    <s v="Dairy"/>
    <s v="Milk"/>
    <n v="2"/>
    <n v="1140.42"/>
    <n v="2280.84"/>
    <n v="456.5"/>
    <n v="1824.34"/>
    <n v="247"/>
    <s v="14:59:10"/>
    <n v="27"/>
    <n v="1"/>
    <n v="2024"/>
    <d v="2024-01-27T00:00:00"/>
    <s v="UPI"/>
    <s v="M"/>
    <n v="5"/>
    <s v="Bangalore"/>
    <x v="239"/>
  </r>
  <r>
    <n v="1387"/>
    <s v="MegaMart Westside"/>
    <d v="2024-12-31T00:00:00"/>
    <s v="Household Items"/>
    <s v="Eggs"/>
    <n v="3"/>
    <n v="2155.5100000000002"/>
    <n v="6466.53"/>
    <n v="646.57000000000005"/>
    <n v="5819.96"/>
    <n v="163"/>
    <s v="05:46:47"/>
    <n v="31"/>
    <n v="12"/>
    <n v="2024"/>
    <d v="2024-12-31T00:00:00"/>
    <s v="Credit Card"/>
    <s v="F"/>
    <n v="2"/>
    <s v="Kolkata"/>
    <x v="240"/>
  </r>
  <r>
    <n v="4164"/>
    <s v="SuperSave Central"/>
    <d v="2024-06-11T00:00:00"/>
    <s v="Canned Goods"/>
    <s v="Carrots"/>
    <n v="5"/>
    <n v="337.81"/>
    <n v="1689.05"/>
    <n v="171.81"/>
    <n v="1517.24"/>
    <n v="123"/>
    <s v="12:17:11"/>
    <n v="11"/>
    <n v="6"/>
    <n v="2024"/>
    <d v="2024-06-11T00:00:00"/>
    <s v="Debit Card"/>
    <s v="M"/>
    <n v="2"/>
    <s v="Bangalore"/>
    <x v="241"/>
  </r>
  <r>
    <n v="6378"/>
    <s v="FamilyFood Express"/>
    <d v="2024-03-10T00:00:00"/>
    <s v="Meat &amp; Seafood"/>
    <s v="Chicken Breast"/>
    <n v="1"/>
    <n v="781.03"/>
    <n v="781.03"/>
    <n v="156.04"/>
    <n v="624.99"/>
    <n v="196"/>
    <s v="23:11:22"/>
    <n v="10"/>
    <n v="3"/>
    <n v="2024"/>
    <d v="2024-03-10T00:00:00"/>
    <s v="UPI"/>
    <s v="F"/>
    <n v="3"/>
    <s v="Ahmedabad"/>
    <x v="242"/>
  </r>
  <r>
    <n v="2137"/>
    <s v="SuperSave Central"/>
    <d v="2025-03-29T00:00:00"/>
    <s v="Canned Goods"/>
    <s v="Cereal"/>
    <n v="2"/>
    <n v="1918.96"/>
    <n v="3837.92"/>
    <n v="383.46"/>
    <n v="3454.46"/>
    <n v="255"/>
    <s v="04:20:51"/>
    <n v="29"/>
    <n v="3"/>
    <n v="2025"/>
    <d v="2025-03-29T00:00:00"/>
    <s v="Cash"/>
    <s v="M"/>
    <n v="4"/>
    <s v="Pune"/>
    <x v="243"/>
  </r>
  <r>
    <n v="5573"/>
    <s v="QuickStop Market"/>
    <d v="2024-05-05T00:00:00"/>
    <s v="Beverages"/>
    <s v="Bananas"/>
    <n v="1"/>
    <n v="2357.1999999999998"/>
    <n v="2357.1999999999998"/>
    <n v="471.44"/>
    <n v="1885.76"/>
    <n v="258"/>
    <s v="00:26:33"/>
    <n v="5"/>
    <n v="5"/>
    <n v="2024"/>
    <d v="2024-05-05T00:00:00"/>
    <s v="Debit Card"/>
    <s v="F"/>
    <n v="1"/>
    <s v="Hyderabad"/>
    <x v="244"/>
  </r>
  <r>
    <n v="9346"/>
    <s v="FamilyFood Express"/>
    <d v="2024-06-12T00:00:00"/>
    <s v="Household Items"/>
    <s v="Orange Juice"/>
    <n v="1"/>
    <n v="204.18"/>
    <n v="204.18"/>
    <n v="30.71"/>
    <n v="173.47"/>
    <n v="253"/>
    <s v="10:19:54"/>
    <n v="12"/>
    <n v="6"/>
    <n v="2024"/>
    <d v="2024-06-12T00:00:00"/>
    <s v="Credit Card"/>
    <s v="M"/>
    <n v="4"/>
    <s v="Delhi"/>
    <x v="245"/>
  </r>
  <r>
    <n v="9785"/>
    <s v="ValuePlus Market"/>
    <d v="2024-04-20T00:00:00"/>
    <s v="Produce"/>
    <s v="Chicken Breast"/>
    <n v="4"/>
    <n v="404.21"/>
    <n v="1616.84"/>
    <n v="161.85"/>
    <n v="1454.99"/>
    <n v="135"/>
    <s v="07:32:00"/>
    <n v="20"/>
    <n v="4"/>
    <n v="2024"/>
    <d v="2024-04-20T00:00:00"/>
    <s v="Cash"/>
    <s v="M"/>
    <n v="4"/>
    <s v="Pune"/>
    <x v="246"/>
  </r>
  <r>
    <n v="1452"/>
    <s v="MegaMart Westside"/>
    <d v="2023-11-04T00:00:00"/>
    <s v="Produce"/>
    <s v="Tomatoes"/>
    <n v="1"/>
    <n v="1454.99"/>
    <n v="1454.99"/>
    <n v="178.45"/>
    <n v="1276.54"/>
    <n v="99"/>
    <s v="02:56:24"/>
    <n v="4"/>
    <n v="11"/>
    <n v="2023"/>
    <d v="2023-11-04T00:00:00"/>
    <s v="Cash"/>
    <s v="M"/>
    <n v="1"/>
    <s v="Jaipur"/>
    <x v="247"/>
  </r>
  <r>
    <n v="5279"/>
    <s v="Corner Grocery"/>
    <d v="2023-12-23T00:00:00"/>
    <s v="Personal Care"/>
    <s v="Salmon"/>
    <n v="5"/>
    <n v="755.3"/>
    <n v="3776.5"/>
    <n v="755.3"/>
    <n v="3021.2"/>
    <n v="319"/>
    <s v="09:46:53"/>
    <n v="23"/>
    <n v="12"/>
    <n v="2023"/>
    <d v="2023-12-23T00:00:00"/>
    <s v="Cash"/>
    <s v="M"/>
    <n v="3"/>
    <s v="Delhi"/>
    <x v="248"/>
  </r>
  <r>
    <n v="5349"/>
    <s v="GreenGrocer Plaza"/>
    <d v="2023-09-05T00:00:00"/>
    <s v="Snacks &amp; Candy"/>
    <s v="Orange Juice"/>
    <n v="3"/>
    <n v="1425.11"/>
    <n v="4275.33"/>
    <n v="854.9"/>
    <n v="3420.43"/>
    <n v="187"/>
    <s v="04:01:08"/>
    <n v="5"/>
    <n v="9"/>
    <n v="2023"/>
    <d v="2023-09-05T00:00:00"/>
    <s v="Debit Card"/>
    <s v="F"/>
    <n v="4"/>
    <s v="Mumbai"/>
    <x v="249"/>
  </r>
  <r>
    <n v="2776"/>
    <s v="ValuePlus Market"/>
    <d v="2024-11-12T00:00:00"/>
    <s v="Snacks &amp; Candy"/>
    <s v="Carrots"/>
    <n v="1"/>
    <n v="190.9"/>
    <n v="190.9"/>
    <n v="19.09"/>
    <n v="171.81"/>
    <n v="70"/>
    <s v="14:41:13"/>
    <n v="12"/>
    <n v="11"/>
    <n v="2024"/>
    <d v="2024-11-12T00:00:00"/>
    <s v="Credit Card"/>
    <s v="F"/>
    <n v="2"/>
    <s v="Jaipur"/>
    <x v="250"/>
  </r>
  <r>
    <n v="8119"/>
    <s v="ValuePlus Market"/>
    <d v="2024-05-01T00:00:00"/>
    <s v="Beverages"/>
    <s v="Eggs"/>
    <n v="5"/>
    <n v="2231.87"/>
    <n v="11159.35"/>
    <n v="188.41"/>
    <n v="10970.94"/>
    <n v="71"/>
    <s v="09:36:25"/>
    <n v="1"/>
    <n v="5"/>
    <n v="2024"/>
    <d v="2024-05-01T00:00:00"/>
    <s v="Cash"/>
    <s v="M"/>
    <n v="1"/>
    <s v="Mumbai"/>
    <x v="251"/>
  </r>
  <r>
    <n v="6139"/>
    <s v="Corner Grocery"/>
    <d v="2024-07-10T00:00:00"/>
    <s v="Household Items"/>
    <s v="Rice"/>
    <n v="5"/>
    <n v="891.42"/>
    <n v="4457.1000000000004"/>
    <n v="0"/>
    <n v="4457.1000000000004"/>
    <n v="424"/>
    <s v="07:11:23"/>
    <n v="10"/>
    <n v="7"/>
    <n v="2024"/>
    <d v="2024-07-10T00:00:00"/>
    <s v="UPI"/>
    <s v="F"/>
    <n v="5"/>
    <s v="Delhi"/>
    <x v="252"/>
  </r>
  <r>
    <n v="9379"/>
    <s v="QuickStop Market"/>
    <d v="2023-11-04T00:00:00"/>
    <s v="Beverages"/>
    <s v="Bananas"/>
    <n v="3"/>
    <n v="879.8"/>
    <n v="2639.4"/>
    <n v="185.09"/>
    <n v="2454.31"/>
    <n v="56"/>
    <s v="12:28:10"/>
    <n v="4"/>
    <n v="11"/>
    <n v="2023"/>
    <d v="2023-11-04T00:00:00"/>
    <s v="Cash"/>
    <s v="M"/>
    <n v="3"/>
    <s v="Hyderabad"/>
    <x v="253"/>
  </r>
  <r>
    <n v="7311"/>
    <s v="FreshMart Downtown"/>
    <d v="2025-07-05T00:00:00"/>
    <s v="Household Items"/>
    <s v="Potatoes"/>
    <n v="3"/>
    <n v="2410.3200000000002"/>
    <n v="7230.96"/>
    <n v="0"/>
    <n v="7230.96"/>
    <n v="400"/>
    <s v="11:07:25"/>
    <n v="5"/>
    <n v="7"/>
    <n v="2025"/>
    <d v="2025-07-05T00:00:00"/>
    <s v="Cash"/>
    <s v="M"/>
    <n v="1"/>
    <s v="Bangalore"/>
    <x v="254"/>
  </r>
  <r>
    <n v="4114"/>
    <s v="FreshMart Downtown"/>
    <d v="2024-02-20T00:00:00"/>
    <s v="Household Items"/>
    <s v="Potatoes"/>
    <n v="2"/>
    <n v="1343.77"/>
    <n v="2687.54"/>
    <n v="537.84"/>
    <n v="2149.6999999999998"/>
    <n v="369"/>
    <s v="15:17:32"/>
    <n v="20"/>
    <n v="2"/>
    <n v="2024"/>
    <d v="2024-02-20T00:00:00"/>
    <s v="Debit Card"/>
    <s v="F"/>
    <n v="5"/>
    <s v="Kolkata"/>
    <x v="255"/>
  </r>
  <r>
    <n v="1727"/>
    <s v="FamilyFood Express"/>
    <d v="2025-02-07T00:00:00"/>
    <s v="Produce"/>
    <s v="Chicken Breast"/>
    <n v="2"/>
    <n v="127.82"/>
    <n v="255.64"/>
    <n v="51.46"/>
    <n v="204.18"/>
    <n v="160"/>
    <s v="18:03:37"/>
    <n v="7"/>
    <n v="2"/>
    <n v="2025"/>
    <d v="2025-02-07T00:00:00"/>
    <s v="Debit Card"/>
    <s v="M"/>
    <n v="5"/>
    <s v="Pune"/>
    <x v="256"/>
  </r>
  <r>
    <n v="8144"/>
    <s v="Corner Grocery"/>
    <d v="2023-08-08T00:00:00"/>
    <s v="Bakery"/>
    <s v="Cheese"/>
    <n v="5"/>
    <n v="1947.18"/>
    <n v="9735.9"/>
    <n v="0"/>
    <n v="9735.9"/>
    <n v="471"/>
    <s v="14:49:09"/>
    <n v="8"/>
    <n v="8"/>
    <n v="2023"/>
    <d v="2023-08-08T00:00:00"/>
    <s v="Credit Card"/>
    <s v="M"/>
    <n v="4"/>
    <s v="Pune"/>
    <x v="257"/>
  </r>
  <r>
    <n v="9518"/>
    <s v="FreshMart Downtown"/>
    <d v="2025-07-25T00:00:00"/>
    <s v="Meat &amp; Seafood"/>
    <s v="Carrots"/>
    <n v="2"/>
    <n v="1432.58"/>
    <n v="2865.16"/>
    <n v="208.33"/>
    <n v="2656.83"/>
    <n v="339"/>
    <s v="22:24:30"/>
    <n v="25"/>
    <n v="7"/>
    <n v="2025"/>
    <d v="2025-07-25T00:00:00"/>
    <s v="UPI"/>
    <s v="F"/>
    <n v="4"/>
    <s v="Hyderabad"/>
    <x v="258"/>
  </r>
  <r>
    <n v="9821"/>
    <s v="SuperSave Central"/>
    <d v="2025-01-21T00:00:00"/>
    <s v="Beverages"/>
    <s v="Onions"/>
    <n v="3"/>
    <n v="1396.89"/>
    <n v="4190.67"/>
    <n v="244.02"/>
    <n v="3946.65"/>
    <n v="346"/>
    <s v="15:46:20"/>
    <n v="21"/>
    <n v="1"/>
    <n v="2025"/>
    <d v="2025-01-21T00:00:00"/>
    <s v="Debit Card"/>
    <s v="M"/>
    <n v="4"/>
    <s v="Kolkata"/>
    <x v="259"/>
  </r>
  <r>
    <n v="4228"/>
    <s v="FamilyFood Express"/>
    <d v="2024-05-15T00:00:00"/>
    <s v="Frozen Foods"/>
    <s v="Onions"/>
    <n v="3"/>
    <n v="623.33000000000004"/>
    <n v="1869.99"/>
    <n v="280.54000000000002"/>
    <n v="1589.45"/>
    <n v="498"/>
    <s v="02:51:34"/>
    <n v="15"/>
    <n v="5"/>
    <n v="2024"/>
    <d v="2024-05-15T00:00:00"/>
    <s v="Cash"/>
    <s v="M"/>
    <n v="1"/>
    <s v="Mumbai"/>
    <x v="260"/>
  </r>
  <r>
    <n v="8066"/>
    <s v="FamilyFood Express"/>
    <d v="2023-09-30T00:00:00"/>
    <s v="Beverages"/>
    <s v="Cereal"/>
    <n v="4"/>
    <n v="922.13"/>
    <n v="3688.52"/>
    <n v="553.61"/>
    <n v="3134.91"/>
    <n v="478"/>
    <s v="17:06:43"/>
    <n v="30"/>
    <n v="9"/>
    <n v="2023"/>
    <d v="2023-09-30T00:00:00"/>
    <s v="Credit Card"/>
    <s v="M"/>
    <n v="1"/>
    <s v="Bangalore"/>
    <x v="261"/>
  </r>
  <r>
    <n v="6409"/>
    <s v="GreenGrocer Plaza"/>
    <d v="2024-12-03T00:00:00"/>
    <s v="Household Items"/>
    <s v="Onions"/>
    <n v="4"/>
    <n v="2238.5100000000002"/>
    <n v="8954.0400000000009"/>
    <n v="1791.14"/>
    <n v="7162.9"/>
    <n v="202"/>
    <s v="13:08:54"/>
    <n v="3"/>
    <n v="12"/>
    <n v="2024"/>
    <d v="2024-12-03T00:00:00"/>
    <s v="Cash"/>
    <s v="M"/>
    <n v="3"/>
    <s v="Kolkata"/>
    <x v="262"/>
  </r>
  <r>
    <n v="6143"/>
    <s v="QuickStop Market"/>
    <d v="2025-01-03T00:00:00"/>
    <s v="Produce"/>
    <s v="Rice"/>
    <n v="1"/>
    <n v="915.49"/>
    <n v="915.49"/>
    <n v="0"/>
    <n v="915.49"/>
    <n v="226"/>
    <s v="07:34:15"/>
    <n v="3"/>
    <n v="1"/>
    <n v="2025"/>
    <d v="2025-01-03T00:00:00"/>
    <s v="Cash"/>
    <s v="F"/>
    <n v="4"/>
    <s v="Mumbai"/>
    <x v="263"/>
  </r>
  <r>
    <n v="3041"/>
    <s v="City Fresh Store"/>
    <d v="2025-02-16T00:00:00"/>
    <s v="Bakery"/>
    <s v="Yogurt"/>
    <n v="5"/>
    <n v="734.55"/>
    <n v="3672.75"/>
    <n v="734.55"/>
    <n v="2938.2"/>
    <n v="287"/>
    <s v="19:40:47"/>
    <n v="16"/>
    <n v="2"/>
    <n v="2025"/>
    <d v="2025-02-16T00:00:00"/>
    <s v="Debit Card"/>
    <s v="F"/>
    <n v="5"/>
    <s v="Kolkata"/>
    <x v="264"/>
  </r>
  <r>
    <n v="5920"/>
    <s v="GreenGrocer Plaza"/>
    <d v="2024-09-03T00:00:00"/>
    <s v="Household Items"/>
    <s v="Ground Beef"/>
    <n v="2"/>
    <n v="204.18"/>
    <n v="408.36"/>
    <n v="0"/>
    <n v="408.36"/>
    <n v="463"/>
    <s v="09:42:30"/>
    <n v="3"/>
    <n v="9"/>
    <n v="2024"/>
    <d v="2024-09-03T00:00:00"/>
    <s v="Credit Card"/>
    <s v="F"/>
    <n v="2"/>
    <s v="Ahmedabad"/>
    <x v="265"/>
  </r>
  <r>
    <n v="6067"/>
    <s v="FamilyFood Express"/>
    <d v="2025-01-05T00:00:00"/>
    <s v="Produce"/>
    <s v="Chicken Breast"/>
    <n v="4"/>
    <n v="877.31"/>
    <n v="3509.24"/>
    <n v="0"/>
    <n v="3509.24"/>
    <n v="241"/>
    <s v="13:19:00"/>
    <n v="5"/>
    <n v="1"/>
    <n v="2025"/>
    <d v="2025-01-05T00:00:00"/>
    <s v="UPI"/>
    <s v="M"/>
    <n v="3"/>
    <s v="Pune"/>
    <x v="266"/>
  </r>
  <r>
    <n v="7691"/>
    <s v="SuperSave Central"/>
    <d v="2024-04-16T00:00:00"/>
    <s v="Produce"/>
    <s v="Onions"/>
    <n v="2"/>
    <n v="1061.57"/>
    <n v="2123.14"/>
    <n v="212.48"/>
    <n v="1910.66"/>
    <n v="478"/>
    <s v="23:19:12"/>
    <n v="16"/>
    <n v="4"/>
    <n v="2024"/>
    <d v="2024-04-16T00:00:00"/>
    <s v="UPI"/>
    <s v="M"/>
    <n v="1"/>
    <s v="Ahmedabad"/>
    <x v="267"/>
  </r>
  <r>
    <n v="7592"/>
    <s v="FamilyFood Express"/>
    <d v="2025-01-29T00:00:00"/>
    <s v="Frozen Foods"/>
    <s v="Cereal"/>
    <n v="3"/>
    <n v="1636.76"/>
    <n v="4910.28"/>
    <n v="0"/>
    <n v="4910.28"/>
    <n v="464"/>
    <s v="21:13:43"/>
    <n v="29"/>
    <n v="1"/>
    <n v="2025"/>
    <d v="2025-01-29T00:00:00"/>
    <s v="Debit Card"/>
    <s v="F"/>
    <n v="3"/>
    <s v="Kolkata"/>
    <x v="268"/>
  </r>
  <r>
    <n v="5844"/>
    <s v="FamilyFood Express"/>
    <d v="2024-10-10T00:00:00"/>
    <s v="Personal Care"/>
    <s v="Milk"/>
    <n v="2"/>
    <n v="1088.1300000000001"/>
    <n v="2176.2600000000002"/>
    <n v="414.17"/>
    <n v="1762.09"/>
    <n v="428"/>
    <s v="19:20:53"/>
    <n v="10"/>
    <n v="10"/>
    <n v="2024"/>
    <d v="2024-10-10T00:00:00"/>
    <s v="Debit Card"/>
    <s v="M"/>
    <n v="3"/>
    <s v="Jaipur"/>
    <x v="269"/>
  </r>
  <r>
    <n v="3085"/>
    <s v="Corner Grocery"/>
    <d v="2024-01-03T00:00:00"/>
    <s v="Beverages"/>
    <s v="Apples"/>
    <n v="3"/>
    <n v="2192.86"/>
    <n v="6578.58"/>
    <n v="283.02999999999997"/>
    <n v="6295.55"/>
    <n v="4"/>
    <s v="15:22:33"/>
    <n v="3"/>
    <n v="1"/>
    <n v="2024"/>
    <d v="2024-01-03T00:00:00"/>
    <s v="Credit Card"/>
    <s v="M"/>
    <n v="3"/>
    <s v="Pune"/>
    <x v="270"/>
  </r>
  <r>
    <n v="7888"/>
    <s v="MegaMart Westside"/>
    <d v="2025-01-04T00:00:00"/>
    <s v="Frozen Foods"/>
    <s v="Salmon"/>
    <n v="5"/>
    <n v="1344.6"/>
    <n v="6723"/>
    <n v="238.21"/>
    <n v="6484.79"/>
    <n v="455"/>
    <s v="20:05:02"/>
    <n v="4"/>
    <n v="1"/>
    <n v="2025"/>
    <d v="2025-01-04T00:00:00"/>
    <s v="UPI"/>
    <s v="M"/>
    <n v="3"/>
    <s v="Bangalore"/>
    <x v="271"/>
  </r>
  <r>
    <n v="7211"/>
    <s v="FamilyFood Express"/>
    <d v="2025-01-14T00:00:00"/>
    <s v="Dairy"/>
    <s v="Cereal"/>
    <n v="2"/>
    <n v="1841.77"/>
    <n v="3683.54"/>
    <n v="0"/>
    <n v="3683.54"/>
    <n v="331"/>
    <s v="09:57:58"/>
    <n v="14"/>
    <n v="1"/>
    <n v="2025"/>
    <d v="2025-01-14T00:00:00"/>
    <s v="UPI"/>
    <s v="M"/>
    <n v="2"/>
    <s v="Hyderabad"/>
    <x v="272"/>
  </r>
  <r>
    <n v="3851"/>
    <s v="SuperSave Central"/>
    <d v="2024-11-27T00:00:00"/>
    <s v="Produce"/>
    <s v="Cereal"/>
    <n v="3"/>
    <n v="1449.18"/>
    <n v="4347.54"/>
    <n v="869.84"/>
    <n v="3477.7"/>
    <n v="387"/>
    <s v="00:39:21"/>
    <n v="27"/>
    <n v="11"/>
    <n v="2024"/>
    <d v="2024-11-27T00:00:00"/>
    <s v="UPI"/>
    <s v="F"/>
    <n v="4"/>
    <s v="Ahmedabad"/>
    <x v="273"/>
  </r>
  <r>
    <n v="5930"/>
    <s v="Corner Grocery"/>
    <d v="2024-06-17T00:00:00"/>
    <s v="Snacks &amp; Candy"/>
    <s v="Carrots"/>
    <n v="3"/>
    <n v="291.33"/>
    <n v="873.99"/>
    <n v="175.13"/>
    <n v="698.86"/>
    <n v="342"/>
    <s v="08:51:13"/>
    <n v="17"/>
    <n v="6"/>
    <n v="2024"/>
    <d v="2024-06-17T00:00:00"/>
    <s v="Cash"/>
    <s v="F"/>
    <n v="5"/>
    <s v="Hyderabad"/>
    <x v="274"/>
  </r>
  <r>
    <n v="9977"/>
    <s v="SuperSave Central"/>
    <d v="2025-05-15T00:00:00"/>
    <s v="Beverages"/>
    <s v="Cereal"/>
    <n v="2"/>
    <n v="98.77"/>
    <n v="197.54"/>
    <n v="19.920000000000002"/>
    <n v="177.62"/>
    <n v="196"/>
    <s v="11:11:58"/>
    <n v="15"/>
    <n v="5"/>
    <n v="2025"/>
    <d v="2025-05-15T00:00:00"/>
    <s v="UPI"/>
    <s v="F"/>
    <n v="3"/>
    <s v="Mumbai"/>
    <x v="275"/>
  </r>
  <r>
    <n v="1006"/>
    <s v="QuickStop Market"/>
    <d v="2024-03-30T00:00:00"/>
    <s v="Canned Goods"/>
    <s v="Rice"/>
    <n v="5"/>
    <n v="1821.85"/>
    <n v="9109.25"/>
    <n v="0"/>
    <n v="9109.25"/>
    <n v="5"/>
    <s v="21:12:01"/>
    <n v="30"/>
    <n v="3"/>
    <n v="2024"/>
    <d v="2024-03-30T00:00:00"/>
    <s v="Cash"/>
    <s v="M"/>
    <n v="3"/>
    <s v="Lucknow"/>
    <x v="276"/>
  </r>
  <r>
    <n v="5700"/>
    <s v="MegaMart Westside"/>
    <d v="2024-01-17T00:00:00"/>
    <s v="Bakery"/>
    <s v="Milk"/>
    <n v="1"/>
    <n v="1202.67"/>
    <n v="1202.67"/>
    <n v="0"/>
    <n v="1202.67"/>
    <n v="81"/>
    <s v="09:52:00"/>
    <n v="17"/>
    <n v="1"/>
    <n v="2024"/>
    <d v="2024-01-17T00:00:00"/>
    <s v="Credit Card"/>
    <s v="F"/>
    <n v="3"/>
    <s v="Jaipur"/>
    <x v="277"/>
  </r>
  <r>
    <n v="8043"/>
    <s v="ValuePlus Market"/>
    <d v="2025-04-08T00:00:00"/>
    <s v="Frozen Foods"/>
    <s v="Chicken Breast"/>
    <n v="3"/>
    <n v="966.95"/>
    <n v="2900.85"/>
    <n v="580.16999999999996"/>
    <n v="2320.6799999999998"/>
    <n v="113"/>
    <s v="19:47:22"/>
    <n v="8"/>
    <n v="4"/>
    <n v="2025"/>
    <d v="2025-04-08T00:00:00"/>
    <s v="Cash"/>
    <s v="F"/>
    <n v="4"/>
    <s v="Mumbai"/>
    <x v="278"/>
  </r>
  <r>
    <n v="6279"/>
    <s v="City Fresh Store"/>
    <d v="2024-08-02T00:00:00"/>
    <s v="Meat &amp; Seafood"/>
    <s v="Salmon"/>
    <n v="5"/>
    <n v="981.89"/>
    <n v="4909.45"/>
    <n v="349.43"/>
    <n v="4560.0200000000004"/>
    <n v="359"/>
    <s v="15:56:58"/>
    <n v="2"/>
    <n v="8"/>
    <n v="2024"/>
    <d v="2024-08-02T00:00:00"/>
    <s v="Credit Card"/>
    <s v="M"/>
    <n v="1"/>
    <s v="Chennai"/>
    <x v="279"/>
  </r>
  <r>
    <n v="8238"/>
    <s v="FamilyFood Express"/>
    <d v="2024-07-15T00:00:00"/>
    <s v="Bakery"/>
    <s v="Bread"/>
    <n v="5"/>
    <n v="1157.8499999999999"/>
    <n v="5789.25"/>
    <n v="387.61"/>
    <n v="5401.64"/>
    <n v="360"/>
    <s v="22:18:11"/>
    <n v="15"/>
    <n v="7"/>
    <n v="2024"/>
    <d v="2024-07-15T00:00:00"/>
    <s v="UPI"/>
    <s v="M"/>
    <n v="1"/>
    <s v="Mumbai"/>
    <x v="280"/>
  </r>
  <r>
    <n v="4501"/>
    <s v="GreenGrocer Plaza"/>
    <d v="2024-09-07T00:00:00"/>
    <s v="Produce"/>
    <s v="Onions"/>
    <n v="5"/>
    <n v="568.54999999999995"/>
    <n v="2842.75"/>
    <n v="568.54999999999995"/>
    <n v="2274.1999999999998"/>
    <n v="274"/>
    <s v="02:13:08"/>
    <n v="7"/>
    <n v="9"/>
    <n v="2024"/>
    <d v="2024-09-07T00:00:00"/>
    <s v="UPI"/>
    <s v="F"/>
    <n v="2"/>
    <s v="Mumbai"/>
    <x v="281"/>
  </r>
  <r>
    <n v="8752"/>
    <s v="MegaMart Westside"/>
    <d v="2025-04-14T00:00:00"/>
    <s v="Personal Care"/>
    <s v="Salmon"/>
    <n v="1"/>
    <n v="1719.76"/>
    <n v="1719.76"/>
    <n v="381.8"/>
    <n v="1337.96"/>
    <n v="367"/>
    <s v="06:18:23"/>
    <n v="14"/>
    <n v="4"/>
    <n v="2025"/>
    <d v="2025-04-14T00:00:00"/>
    <s v="Credit Card"/>
    <s v="F"/>
    <n v="1"/>
    <s v="Lucknow"/>
    <x v="282"/>
  </r>
  <r>
    <n v="3780"/>
    <s v="City Fresh Store"/>
    <d v="2024-12-30T00:00:00"/>
    <s v="Produce"/>
    <s v="Salmon"/>
    <n v="2"/>
    <n v="1317.21"/>
    <n v="2634.42"/>
    <n v="236.55"/>
    <n v="2397.87"/>
    <n v="233"/>
    <s v="14:58:55"/>
    <n v="30"/>
    <n v="12"/>
    <n v="2024"/>
    <d v="2024-12-30T00:00:00"/>
    <s v="Debit Card"/>
    <s v="F"/>
    <n v="3"/>
    <s v="Pune"/>
    <x v="283"/>
  </r>
  <r>
    <n v="2389"/>
    <s v="QuickStop Market"/>
    <d v="2024-03-14T00:00:00"/>
    <s v="Produce"/>
    <s v="Tomatoes"/>
    <n v="3"/>
    <n v="2047.61"/>
    <n v="6142.83"/>
    <n v="107.07"/>
    <n v="6035.76"/>
    <n v="381"/>
    <s v="21:35:35"/>
    <n v="14"/>
    <n v="3"/>
    <n v="2024"/>
    <d v="2024-03-14T00:00:00"/>
    <s v="Credit Card"/>
    <s v="F"/>
    <n v="3"/>
    <s v="Jaipur"/>
    <x v="284"/>
  </r>
  <r>
    <n v="9445"/>
    <s v="FreshMart Downtown"/>
    <d v="2025-01-03T00:00:00"/>
    <s v="Canned Goods"/>
    <s v="Bread"/>
    <n v="5"/>
    <n v="2475.06"/>
    <n v="12375.3"/>
    <n v="1237.53"/>
    <n v="11137.77"/>
    <n v="478"/>
    <s v="13:40:07"/>
    <n v="3"/>
    <n v="1"/>
    <n v="2025"/>
    <d v="2025-01-03T00:00:00"/>
    <s v="Debit Card"/>
    <s v="M"/>
    <n v="3"/>
    <s v="Jaipur"/>
    <x v="285"/>
  </r>
  <r>
    <n v="6491"/>
    <s v="FreshMart Downtown"/>
    <d v="2023-10-18T00:00:00"/>
    <s v="Frozen Foods"/>
    <s v="Cheese"/>
    <n v="2"/>
    <n v="1933.07"/>
    <n v="3866.14"/>
    <n v="580.16999999999996"/>
    <n v="3285.97"/>
    <n v="392"/>
    <s v="15:39:40"/>
    <n v="18"/>
    <n v="10"/>
    <n v="2023"/>
    <d v="2023-10-18T00:00:00"/>
    <s v="Cash"/>
    <s v="F"/>
    <n v="2"/>
    <s v="Bangalore"/>
    <x v="286"/>
  </r>
  <r>
    <n v="4848"/>
    <s v="Corner Grocery"/>
    <d v="2025-01-10T00:00:00"/>
    <s v="Beverages"/>
    <s v="Tomatoes"/>
    <n v="4"/>
    <n v="275.56"/>
    <n v="1102.24"/>
    <n v="0"/>
    <n v="1102.24"/>
    <n v="493"/>
    <s v="02:46:12"/>
    <n v="10"/>
    <n v="1"/>
    <n v="2025"/>
    <d v="2025-01-10T00:00:00"/>
    <s v="Cash"/>
    <s v="F"/>
    <n v="3"/>
    <s v="Mumbai"/>
    <x v="287"/>
  </r>
  <r>
    <n v="6085"/>
    <s v="MegaMart Westside"/>
    <d v="2024-01-28T00:00:00"/>
    <s v="Dairy"/>
    <s v="Apples"/>
    <n v="5"/>
    <n v="1028.3699999999999"/>
    <n v="5141.8500000000004"/>
    <n v="333.66"/>
    <n v="4808.1899999999996"/>
    <n v="65"/>
    <s v="11:29:27"/>
    <n v="28"/>
    <n v="1"/>
    <n v="2024"/>
    <d v="2024-01-28T00:00:00"/>
    <s v="Cash"/>
    <s v="M"/>
    <n v="1"/>
    <s v="Jaipur"/>
    <x v="288"/>
  </r>
  <r>
    <n v="4262"/>
    <s v="QuickStop Market"/>
    <d v="2023-11-29T00:00:00"/>
    <s v="Beverages"/>
    <s v="Onions"/>
    <n v="4"/>
    <n v="1362.86"/>
    <n v="5451.44"/>
    <n v="1090.6199999999999"/>
    <n v="4360.82"/>
    <n v="421"/>
    <s v="00:24:29"/>
    <n v="29"/>
    <n v="11"/>
    <n v="2023"/>
    <d v="2023-11-29T00:00:00"/>
    <s v="UPI"/>
    <s v="F"/>
    <n v="4"/>
    <s v="Delhi"/>
    <x v="289"/>
  </r>
  <r>
    <n v="1400"/>
    <s v="City Fresh Store"/>
    <d v="2023-09-11T00:00:00"/>
    <s v="Canned Goods"/>
    <s v="Eggs"/>
    <n v="3"/>
    <n v="536.17999999999995"/>
    <n v="1608.54"/>
    <n v="351.92"/>
    <n v="1256.6199999999999"/>
    <n v="448"/>
    <s v="01:45:03"/>
    <n v="11"/>
    <n v="9"/>
    <n v="2023"/>
    <d v="2023-09-11T00:00:00"/>
    <s v="Cash"/>
    <s v="M"/>
    <n v="4"/>
    <s v="Bangalore"/>
    <x v="290"/>
  </r>
  <r>
    <n v="5011"/>
    <s v="Corner Grocery"/>
    <d v="2024-08-10T00:00:00"/>
    <s v="Household Items"/>
    <s v="Bananas"/>
    <n v="2"/>
    <n v="578.51"/>
    <n v="1157.02"/>
    <n v="115.37"/>
    <n v="1041.6500000000001"/>
    <n v="51"/>
    <s v="04:07:51"/>
    <n v="10"/>
    <n v="8"/>
    <n v="2024"/>
    <d v="2024-08-10T00:00:00"/>
    <s v="Debit Card"/>
    <s v="M"/>
    <n v="5"/>
    <s v="Delhi"/>
    <x v="291"/>
  </r>
  <r>
    <n v="2193"/>
    <s v="FreshMart Downtown"/>
    <d v="2024-07-25T00:00:00"/>
    <s v="Bakery"/>
    <s v="Milk"/>
    <n v="4"/>
    <n v="1138.76"/>
    <n v="4555.04"/>
    <n v="129.47999999999999"/>
    <n v="4425.5600000000004"/>
    <n v="276"/>
    <s v="15:18:51"/>
    <n v="25"/>
    <n v="7"/>
    <n v="2024"/>
    <d v="2024-07-25T00:00:00"/>
    <s v="Cash"/>
    <s v="M"/>
    <n v="1"/>
    <s v="Lucknow"/>
    <x v="292"/>
  </r>
  <r>
    <n v="7790"/>
    <s v="QuickStop Market"/>
    <d v="2025-06-25T00:00:00"/>
    <s v="Bakery"/>
    <s v="Cereal"/>
    <n v="5"/>
    <n v="1521.39"/>
    <n v="7606.95"/>
    <n v="1521.39"/>
    <n v="6085.56"/>
    <n v="344"/>
    <s v="19:40:32"/>
    <n v="25"/>
    <n v="6"/>
    <n v="2025"/>
    <d v="2025-06-25T00:00:00"/>
    <s v="Credit Card"/>
    <s v="F"/>
    <n v="3"/>
    <s v="Delhi"/>
    <x v="293"/>
  </r>
  <r>
    <n v="4185"/>
    <s v="QuickStop Market"/>
    <d v="2025-02-14T00:00:00"/>
    <s v="Meat &amp; Seafood"/>
    <s v="Carrots"/>
    <n v="2"/>
    <n v="1077.3399999999999"/>
    <n v="2154.6799999999998"/>
    <n v="397.57"/>
    <n v="1757.11"/>
    <n v="140"/>
    <s v="12:56:19"/>
    <n v="14"/>
    <n v="2"/>
    <n v="2025"/>
    <d v="2025-02-14T00:00:00"/>
    <s v="Credit Card"/>
    <s v="F"/>
    <n v="4"/>
    <s v="Hyderabad"/>
    <x v="294"/>
  </r>
  <r>
    <n v="7291"/>
    <s v="SuperSave Central"/>
    <d v="2024-08-24T00:00:00"/>
    <s v="Health &amp; Wellness"/>
    <s v="Cheese"/>
    <n v="5"/>
    <n v="1274.8800000000001"/>
    <n v="6374.4"/>
    <n v="0"/>
    <n v="6374.4"/>
    <n v="497"/>
    <s v="04:04:28"/>
    <n v="24"/>
    <n v="8"/>
    <n v="2024"/>
    <d v="2024-08-24T00:00:00"/>
    <s v="UPI"/>
    <s v="M"/>
    <n v="1"/>
    <s v="Kolkata"/>
    <x v="295"/>
  </r>
  <r>
    <n v="7547"/>
    <s v="Corner Grocery"/>
    <d v="2024-02-12T00:00:00"/>
    <s v="Personal Care"/>
    <s v="Cereal"/>
    <n v="4"/>
    <n v="1064.8900000000001"/>
    <n v="4259.5600000000004"/>
    <n v="851.58"/>
    <n v="3407.98"/>
    <n v="153"/>
    <s v="14:40:15"/>
    <n v="12"/>
    <n v="2"/>
    <n v="2024"/>
    <d v="2024-02-12T00:00:00"/>
    <s v="Credit Card"/>
    <s v="F"/>
    <n v="4"/>
    <s v="Delhi"/>
    <x v="296"/>
  </r>
  <r>
    <n v="3417"/>
    <s v="ValuePlus Market"/>
    <d v="2024-12-28T00:00:00"/>
    <s v="Beverages"/>
    <s v="Ground Beef"/>
    <n v="2"/>
    <n v="805.93"/>
    <n v="1611.86"/>
    <n v="161.02000000000001"/>
    <n v="1450.84"/>
    <n v="362"/>
    <s v="06:49:17"/>
    <n v="28"/>
    <n v="12"/>
    <n v="2024"/>
    <d v="2024-12-28T00:00:00"/>
    <s v="Debit Card"/>
    <s v="F"/>
    <n v="3"/>
    <s v="Lucknow"/>
    <x v="297"/>
  </r>
  <r>
    <n v="1090"/>
    <s v="FreshMart Downtown"/>
    <d v="2025-06-30T00:00:00"/>
    <s v="Personal Care"/>
    <s v="Cheese"/>
    <n v="4"/>
    <n v="1423.45"/>
    <n v="5693.8"/>
    <n v="1138.76"/>
    <n v="4555.04"/>
    <n v="68"/>
    <s v="09:08:23"/>
    <n v="30"/>
    <n v="6"/>
    <n v="2025"/>
    <d v="2025-06-30T00:00:00"/>
    <s v="Cash"/>
    <s v="M"/>
    <n v="4"/>
    <s v="Hyderabad"/>
    <x v="298"/>
  </r>
  <r>
    <n v="2746"/>
    <s v="QuickStop Market"/>
    <d v="2025-04-02T00:00:00"/>
    <s v="Bakery"/>
    <s v="Cereal"/>
    <n v="1"/>
    <n v="2301.59"/>
    <n v="2301.59"/>
    <n v="260.62"/>
    <n v="2040.97"/>
    <n v="433"/>
    <s v="07:53:31"/>
    <n v="2"/>
    <n v="4"/>
    <n v="2025"/>
    <d v="2025-04-02T00:00:00"/>
    <s v="UPI"/>
    <s v="M"/>
    <n v="5"/>
    <s v="Lucknow"/>
    <x v="299"/>
  </r>
  <r>
    <n v="7965"/>
    <s v="FamilyFood Express"/>
    <d v="2024-01-23T00:00:00"/>
    <s v="Produce"/>
    <s v="Pasta"/>
    <n v="4"/>
    <n v="1703.99"/>
    <n v="6815.96"/>
    <n v="145.25"/>
    <n v="6670.71"/>
    <n v="308"/>
    <s v="19:35:16"/>
    <n v="23"/>
    <n v="1"/>
    <n v="2024"/>
    <d v="2024-01-23T00:00:00"/>
    <s v="Cash"/>
    <s v="F"/>
    <n v="5"/>
    <s v="Lucknow"/>
    <x v="300"/>
  </r>
  <r>
    <n v="3881"/>
    <s v="ValuePlus Market"/>
    <d v="2025-04-22T00:00:00"/>
    <s v="Bakery"/>
    <s v="Potatoes"/>
    <n v="2"/>
    <n v="2174.6"/>
    <n v="4349.2"/>
    <n v="153.55000000000001"/>
    <n v="4195.6499999999996"/>
    <n v="170"/>
    <s v="09:03:38"/>
    <n v="22"/>
    <n v="4"/>
    <n v="2025"/>
    <d v="2025-04-22T00:00:00"/>
    <s v="Cash"/>
    <s v="M"/>
    <n v="4"/>
    <s v="Mumbai"/>
    <x v="301"/>
  </r>
  <r>
    <n v="9486"/>
    <s v="FamilyFood Express"/>
    <d v="2024-08-01T00:00:00"/>
    <s v="Dairy"/>
    <s v="Potatoes"/>
    <n v="2"/>
    <n v="1756.28"/>
    <n v="3512.56"/>
    <n v="351.09"/>
    <n v="3161.47"/>
    <n v="360"/>
    <s v="01:30:19"/>
    <n v="1"/>
    <n v="8"/>
    <n v="2024"/>
    <d v="2024-08-01T00:00:00"/>
    <s v="Debit Card"/>
    <s v="F"/>
    <n v="1"/>
    <s v="Lucknow"/>
    <x v="302"/>
  </r>
  <r>
    <n v="1822"/>
    <s v="FamilyFood Express"/>
    <d v="2024-10-12T00:00:00"/>
    <s v="Personal Care"/>
    <s v="Cereal"/>
    <n v="3"/>
    <n v="998.49"/>
    <n v="2995.47"/>
    <n v="449.03"/>
    <n v="2546.44"/>
    <n v="273"/>
    <s v="21:24:01"/>
    <n v="12"/>
    <n v="10"/>
    <n v="2024"/>
    <d v="2024-10-12T00:00:00"/>
    <s v="Credit Card"/>
    <s v="F"/>
    <n v="1"/>
    <s v="Delhi"/>
    <x v="303"/>
  </r>
  <r>
    <n v="5082"/>
    <s v="QuickStop Market"/>
    <d v="2025-07-19T00:00:00"/>
    <s v="Canned Goods"/>
    <s v="Carrots"/>
    <n v="4"/>
    <n v="1203.5"/>
    <n v="4814"/>
    <n v="722.1"/>
    <n v="4091.9"/>
    <n v="411"/>
    <s v="21:51:57"/>
    <n v="19"/>
    <n v="7"/>
    <n v="2025"/>
    <d v="2025-07-19T00:00:00"/>
    <s v="Credit Card"/>
    <s v="F"/>
    <n v="1"/>
    <s v="Kolkata"/>
    <x v="304"/>
  </r>
  <r>
    <n v="2988"/>
    <s v="FamilyFood Express"/>
    <d v="2024-07-26T00:00:00"/>
    <s v="Canned Goods"/>
    <s v="Cereal"/>
    <n v="4"/>
    <n v="192.56"/>
    <n v="770.24"/>
    <n v="0"/>
    <n v="770.24"/>
    <n v="442"/>
    <s v="00:48:06"/>
    <n v="26"/>
    <n v="7"/>
    <n v="2024"/>
    <d v="2024-07-26T00:00:00"/>
    <s v="Cash"/>
    <s v="F"/>
    <n v="4"/>
    <s v="Lucknow"/>
    <x v="305"/>
  </r>
  <r>
    <n v="3184"/>
    <s v="SuperSave Central"/>
    <d v="2025-04-20T00:00:00"/>
    <s v="Produce"/>
    <s v="Pasta"/>
    <n v="5"/>
    <n v="2332.3000000000002"/>
    <n v="11661.5"/>
    <n v="1748.81"/>
    <n v="9912.69"/>
    <n v="296"/>
    <s v="03:30:49"/>
    <n v="20"/>
    <n v="4"/>
    <n v="2025"/>
    <d v="2025-04-20T00:00:00"/>
    <s v="UPI"/>
    <s v="M"/>
    <n v="1"/>
    <s v="Lucknow"/>
    <x v="306"/>
  </r>
  <r>
    <n v="8612"/>
    <s v="SuperSave Central"/>
    <d v="2025-01-06T00:00:00"/>
    <s v="Bakery"/>
    <s v="Cereal"/>
    <n v="2"/>
    <n v="996.83"/>
    <n v="1993.66"/>
    <n v="199.2"/>
    <n v="1794.46"/>
    <n v="426"/>
    <s v="06:37:50"/>
    <n v="6"/>
    <n v="1"/>
    <n v="2025"/>
    <d v="2025-01-06T00:00:00"/>
    <s v="Credit Card"/>
    <s v="M"/>
    <n v="3"/>
    <s v="Jaipur"/>
    <x v="307"/>
  </r>
  <r>
    <n v="9702"/>
    <s v="ValuePlus Market"/>
    <d v="2024-10-14T00:00:00"/>
    <s v="Health &amp; Wellness"/>
    <s v="Cereal"/>
    <n v="3"/>
    <n v="1919.79"/>
    <n v="5759.37"/>
    <n v="576.02"/>
    <n v="5183.3500000000004"/>
    <n v="250"/>
    <s v="18:34:46"/>
    <n v="14"/>
    <n v="10"/>
    <n v="2024"/>
    <d v="2024-10-14T00:00:00"/>
    <s v="UPI"/>
    <s v="M"/>
    <n v="5"/>
    <s v="Chennai"/>
    <x v="308"/>
  </r>
  <r>
    <n v="6198"/>
    <s v="SuperSave Central"/>
    <d v="2025-03-15T00:00:00"/>
    <s v="Canned Goods"/>
    <s v="Apples"/>
    <n v="2"/>
    <n v="1816.04"/>
    <n v="3632.08"/>
    <n v="411.68"/>
    <n v="3220.4"/>
    <n v="250"/>
    <s v="15:21:11"/>
    <n v="15"/>
    <n v="3"/>
    <n v="2025"/>
    <d v="2025-03-15T00:00:00"/>
    <s v="Credit Card"/>
    <s v="M"/>
    <n v="3"/>
    <s v="Ahmedabad"/>
    <x v="309"/>
  </r>
  <r>
    <n v="8251"/>
    <s v="FreshMart Downtown"/>
    <d v="2024-11-24T00:00:00"/>
    <s v="Personal Care"/>
    <s v="Milk"/>
    <n v="1"/>
    <n v="2357.1999999999998"/>
    <n v="2357.1999999999998"/>
    <n v="219.95"/>
    <n v="2137.25"/>
    <n v="342"/>
    <s v="14:04:48"/>
    <n v="24"/>
    <n v="11"/>
    <n v="2024"/>
    <d v="2024-11-24T00:00:00"/>
    <s v="UPI"/>
    <s v="F"/>
    <n v="1"/>
    <s v="Hyderabad"/>
    <x v="310"/>
  </r>
  <r>
    <n v="9270"/>
    <s v="FamilyFood Express"/>
    <d v="2024-07-03T00:00:00"/>
    <s v="Dairy"/>
    <s v="Eggs"/>
    <n v="1"/>
    <n v="608.39"/>
    <n v="608.39"/>
    <n v="288.01"/>
    <n v="320.38"/>
    <n v="233"/>
    <s v="00:56:24"/>
    <n v="3"/>
    <n v="7"/>
    <n v="2024"/>
    <d v="2024-07-03T00:00:00"/>
    <s v="Debit Card"/>
    <s v="F"/>
    <n v="3"/>
    <s v="Chennai"/>
    <x v="311"/>
  </r>
  <r>
    <n v="9976"/>
    <s v="City Fresh Store"/>
    <d v="2024-07-18T00:00:00"/>
    <s v="Health &amp; Wellness"/>
    <s v="Potatoes"/>
    <n v="1"/>
    <n v="97.94"/>
    <n v="97.94"/>
    <n v="88.81"/>
    <n v="9.1300000000000008"/>
    <n v="282"/>
    <s v="23:50:36"/>
    <n v="18"/>
    <n v="7"/>
    <n v="2024"/>
    <d v="2024-07-18T00:00:00"/>
    <s v="UPI"/>
    <s v="M"/>
    <n v="1"/>
    <s v="Hyderabad"/>
    <x v="312"/>
  </r>
  <r>
    <n v="3607"/>
    <s v="QuickStop Market"/>
    <d v="2025-03-06T00:00:00"/>
    <s v="Personal Care"/>
    <s v="Rice"/>
    <n v="1"/>
    <n v="1290.6500000000001"/>
    <n v="1290.6500000000001"/>
    <n v="258.13"/>
    <n v="1032.52"/>
    <n v="357"/>
    <s v="11:13:18"/>
    <n v="6"/>
    <n v="3"/>
    <n v="2025"/>
    <d v="2025-03-06T00:00:00"/>
    <s v="Debit Card"/>
    <s v="F"/>
    <n v="4"/>
    <s v="Ahmedabad"/>
    <x v="313"/>
  </r>
  <r>
    <n v="8777"/>
    <s v="GreenGrocer Plaza"/>
    <d v="2024-07-21T00:00:00"/>
    <s v="Dairy"/>
    <s v="Carrots"/>
    <n v="2"/>
    <n v="662.34"/>
    <n v="1324.68"/>
    <n v="198.37"/>
    <n v="1126.31"/>
    <n v="317"/>
    <s v="21:33:43"/>
    <n v="21"/>
    <n v="7"/>
    <n v="2024"/>
    <d v="2024-07-21T00:00:00"/>
    <s v="Debit Card"/>
    <s v="F"/>
    <n v="3"/>
    <s v="Kolkata"/>
    <x v="314"/>
  </r>
  <r>
    <n v="5246"/>
    <s v="QuickStop Market"/>
    <d v="2025-03-12T00:00:00"/>
    <s v="Snacks &amp; Candy"/>
    <s v="Bread"/>
    <n v="3"/>
    <n v="2391.23"/>
    <n v="7173.69"/>
    <n v="0"/>
    <n v="7173.69"/>
    <n v="235"/>
    <s v="06:34:17"/>
    <n v="12"/>
    <n v="3"/>
    <n v="2025"/>
    <d v="2025-03-12T00:00:00"/>
    <s v="UPI"/>
    <s v="F"/>
    <n v="4"/>
    <s v="Bangalore"/>
    <x v="315"/>
  </r>
  <r>
    <n v="5050"/>
    <s v="FamilyFood Express"/>
    <d v="2025-05-20T00:00:00"/>
    <s v="Frozen Foods"/>
    <s v="Bread"/>
    <n v="1"/>
    <n v="307.10000000000002"/>
    <n v="307.10000000000002"/>
    <n v="240.7"/>
    <n v="66.400000000000006"/>
    <n v="194"/>
    <s v="16:34:19"/>
    <n v="20"/>
    <n v="5"/>
    <n v="2025"/>
    <d v="2025-05-20T00:00:00"/>
    <s v="Debit Card"/>
    <s v="M"/>
    <n v="4"/>
    <s v="Ahmedabad"/>
    <x v="35"/>
  </r>
  <r>
    <n v="5543"/>
    <s v="FreshMart Downtown"/>
    <d v="2025-03-23T00:00:00"/>
    <s v="Meat &amp; Seafood"/>
    <s v="Bread"/>
    <n v="4"/>
    <n v="2116.5"/>
    <n v="8466"/>
    <n v="407.53"/>
    <n v="8058.47"/>
    <n v="330"/>
    <s v="04:15:37"/>
    <n v="23"/>
    <n v="3"/>
    <n v="2025"/>
    <d v="2025-03-23T00:00:00"/>
    <s v="Cash"/>
    <s v="M"/>
    <n v="2"/>
    <s v="Pune"/>
    <x v="316"/>
  </r>
  <r>
    <n v="9540"/>
    <s v="GreenGrocer Plaza"/>
    <d v="2024-08-17T00:00:00"/>
    <s v="Personal Care"/>
    <s v="Milk"/>
    <n v="2"/>
    <n v="590.96"/>
    <n v="1181.92"/>
    <n v="177.62"/>
    <n v="1004.3"/>
    <n v="444"/>
    <s v="08:28:15"/>
    <n v="17"/>
    <n v="8"/>
    <n v="2024"/>
    <d v="2024-08-17T00:00:00"/>
    <s v="Debit Card"/>
    <s v="M"/>
    <n v="1"/>
    <s v="Chennai"/>
    <x v="317"/>
  </r>
  <r>
    <n v="4919"/>
    <s v="FreshMart Downtown"/>
    <d v="2024-03-07T00:00:00"/>
    <s v="Dairy"/>
    <s v="Pasta"/>
    <n v="5"/>
    <n v="1438.39"/>
    <n v="7191.95"/>
    <n v="1079"/>
    <n v="6112.95"/>
    <n v="16"/>
    <s v="06:35:34"/>
    <n v="7"/>
    <n v="3"/>
    <n v="2024"/>
    <d v="2024-03-07T00:00:00"/>
    <s v="Credit Card"/>
    <s v="F"/>
    <n v="5"/>
    <s v="Delhi"/>
    <x v="318"/>
  </r>
  <r>
    <n v="8206"/>
    <s v="FreshMart Downtown"/>
    <d v="2023-10-06T00:00:00"/>
    <s v="Bakery"/>
    <s v="Eggs"/>
    <n v="4"/>
    <n v="2318.19"/>
    <n v="9272.76"/>
    <n v="162.68"/>
    <n v="9110.08"/>
    <n v="153"/>
    <s v="10:55:09"/>
    <n v="6"/>
    <n v="10"/>
    <n v="2023"/>
    <d v="2023-10-06T00:00:00"/>
    <s v="UPI"/>
    <s v="M"/>
    <n v="1"/>
    <s v="Mumbai"/>
    <x v="319"/>
  </r>
  <r>
    <n v="5681"/>
    <s v="Corner Grocery"/>
    <d v="2024-02-05T00:00:00"/>
    <s v="Health &amp; Wellness"/>
    <s v="Onions"/>
    <n v="3"/>
    <n v="1005.96"/>
    <n v="3017.88"/>
    <n v="0"/>
    <n v="3017.88"/>
    <n v="378"/>
    <s v="00:28:35"/>
    <n v="5"/>
    <n v="2"/>
    <n v="2024"/>
    <d v="2024-02-05T00:00:00"/>
    <s v="Cash"/>
    <s v="M"/>
    <n v="5"/>
    <s v="Pune"/>
    <x v="320"/>
  </r>
  <r>
    <n v="5451"/>
    <s v="GreenGrocer Plaza"/>
    <d v="2024-04-23T00:00:00"/>
    <s v="Personal Care"/>
    <s v="Orange Juice"/>
    <n v="1"/>
    <n v="317.06"/>
    <n v="317.06"/>
    <n v="47.31"/>
    <n v="269.75"/>
    <n v="118"/>
    <s v="23:31:13"/>
    <n v="23"/>
    <n v="4"/>
    <n v="2024"/>
    <d v="2024-04-23T00:00:00"/>
    <s v="UPI"/>
    <s v="M"/>
    <n v="1"/>
    <s v="Lucknow"/>
    <x v="321"/>
  </r>
  <r>
    <n v="6238"/>
    <s v="Corner Grocery"/>
    <d v="2025-06-30T00:00:00"/>
    <s v="Canned Goods"/>
    <s v="Bananas"/>
    <n v="3"/>
    <n v="1967.93"/>
    <n v="5903.79"/>
    <n v="1181.0899999999999"/>
    <n v="4722.7"/>
    <n v="230"/>
    <s v="19:49:46"/>
    <n v="30"/>
    <n v="6"/>
    <n v="2025"/>
    <d v="2025-06-30T00:00:00"/>
    <s v="Credit Card"/>
    <s v="M"/>
    <n v="4"/>
    <s v="Lucknow"/>
    <x v="322"/>
  </r>
  <r>
    <n v="9849"/>
    <s v="MegaMart Westside"/>
    <d v="2023-10-08T00:00:00"/>
    <s v="Personal Care"/>
    <s v="Tomatoes"/>
    <n v="4"/>
    <n v="529.54"/>
    <n v="2118.16"/>
    <n v="339.47"/>
    <n v="1778.69"/>
    <n v="299"/>
    <s v="23:17:32"/>
    <n v="8"/>
    <n v="10"/>
    <n v="2023"/>
    <d v="2023-10-08T00:00:00"/>
    <s v="Credit Card"/>
    <s v="M"/>
    <n v="3"/>
    <s v="Delhi"/>
    <x v="323"/>
  </r>
  <r>
    <n v="3267"/>
    <s v="QuickStop Market"/>
    <d v="2023-12-02T00:00:00"/>
    <s v="Bakery"/>
    <s v="Bread"/>
    <n v="1"/>
    <n v="727.08"/>
    <n v="727.08"/>
    <n v="0"/>
    <n v="727.08"/>
    <n v="194"/>
    <s v="15:19:51"/>
    <n v="2"/>
    <n v="12"/>
    <n v="2023"/>
    <d v="2023-12-02T00:00:00"/>
    <s v="Credit Card"/>
    <s v="M"/>
    <n v="3"/>
    <s v="Delhi"/>
    <x v="324"/>
  </r>
  <r>
    <n v="4788"/>
    <s v="Corner Grocery"/>
    <d v="2024-05-30T00:00:00"/>
    <s v="Canned Goods"/>
    <s v="Orange Juice"/>
    <n v="1"/>
    <n v="302.12"/>
    <n v="302.12"/>
    <n v="29.88"/>
    <n v="272.24"/>
    <n v="482"/>
    <s v="02:21:11"/>
    <n v="30"/>
    <n v="5"/>
    <n v="2024"/>
    <d v="2024-05-30T00:00:00"/>
    <s v="Debit Card"/>
    <s v="F"/>
    <n v="2"/>
    <s v="Jaipur"/>
    <x v="325"/>
  </r>
  <r>
    <n v="3503"/>
    <s v="MegaMart Westside"/>
    <d v="2025-02-05T00:00:00"/>
    <s v="Frozen Foods"/>
    <s v="Chicken Breast"/>
    <n v="2"/>
    <n v="292.16000000000003"/>
    <n v="584.32000000000005"/>
    <n v="267.26"/>
    <n v="317.06"/>
    <n v="220"/>
    <s v="07:26:22"/>
    <n v="5"/>
    <n v="2"/>
    <n v="2025"/>
    <d v="2025-02-05T00:00:00"/>
    <s v="Debit Card"/>
    <s v="F"/>
    <n v="5"/>
    <s v="Hyderabad"/>
    <x v="326"/>
  </r>
  <r>
    <n v="4505"/>
    <s v="Corner Grocery"/>
    <d v="2023-09-25T00:00:00"/>
    <s v="Dairy"/>
    <s v="Bananas"/>
    <n v="1"/>
    <n v="933.75"/>
    <n v="933.75"/>
    <n v="92.96"/>
    <n v="840.79"/>
    <n v="47"/>
    <s v="10:14:02"/>
    <n v="25"/>
    <n v="9"/>
    <n v="2023"/>
    <d v="2023-09-25T00:00:00"/>
    <s v="UPI"/>
    <s v="M"/>
    <n v="5"/>
    <s v="Jaipur"/>
    <x v="327"/>
  </r>
  <r>
    <n v="7797"/>
    <s v="FreshMart Downtown"/>
    <d v="2024-06-18T00:00:00"/>
    <s v="Frozen Foods"/>
    <s v="Cheese"/>
    <n v="4"/>
    <n v="1957.97"/>
    <n v="7831.88"/>
    <n v="255.64"/>
    <n v="7576.24"/>
    <n v="371"/>
    <s v="15:04:25"/>
    <n v="18"/>
    <n v="6"/>
    <n v="2024"/>
    <d v="2024-06-18T00:00:00"/>
    <s v="UPI"/>
    <s v="M"/>
    <n v="5"/>
    <s v="Ahmedabad"/>
    <x v="328"/>
  </r>
  <r>
    <n v="6421"/>
    <s v="Corner Grocery"/>
    <d v="2024-10-01T00:00:00"/>
    <s v="Meat &amp; Seafood"/>
    <s v="Eggs"/>
    <n v="3"/>
    <n v="806.76"/>
    <n v="2420.2800000000002"/>
    <n v="138.61000000000001"/>
    <n v="2281.67"/>
    <n v="252"/>
    <s v="23:37:28"/>
    <n v="1"/>
    <n v="10"/>
    <n v="2024"/>
    <d v="2024-10-01T00:00:00"/>
    <s v="Cash"/>
    <s v="F"/>
    <n v="4"/>
    <s v="Bangalore"/>
    <x v="329"/>
  </r>
  <r>
    <n v="8633"/>
    <s v="QuickStop Market"/>
    <d v="2024-06-24T00:00:00"/>
    <s v="Snacks &amp; Candy"/>
    <s v="Rice"/>
    <n v="4"/>
    <n v="1966.27"/>
    <n v="7865.08"/>
    <n v="1572.85"/>
    <n v="6292.23"/>
    <n v="184"/>
    <s v="04:07:42"/>
    <n v="24"/>
    <n v="6"/>
    <n v="2024"/>
    <d v="2024-06-24T00:00:00"/>
    <s v="Cash"/>
    <s v="F"/>
    <n v="5"/>
    <s v="Chennai"/>
    <x v="330"/>
  </r>
  <r>
    <n v="2020"/>
    <s v="City Fresh Store"/>
    <d v="2024-01-14T00:00:00"/>
    <s v="Household Items"/>
    <s v="Yogurt"/>
    <n v="4"/>
    <n v="339.47"/>
    <n v="1357.88"/>
    <n v="136.12"/>
    <n v="1221.76"/>
    <n v="155"/>
    <s v="18:50:31"/>
    <n v="14"/>
    <n v="1"/>
    <n v="2024"/>
    <d v="2024-01-14T00:00:00"/>
    <s v="UPI"/>
    <s v="M"/>
    <n v="3"/>
    <s v="Delhi"/>
    <x v="331"/>
  </r>
  <r>
    <n v="7883"/>
    <s v="MegaMart Westside"/>
    <d v="2024-06-04T00:00:00"/>
    <s v="Household Items"/>
    <s v="Tomatoes"/>
    <n v="3"/>
    <n v="1142.08"/>
    <n v="3426.24"/>
    <n v="513.77"/>
    <n v="2912.47"/>
    <n v="220"/>
    <s v="02:44:10"/>
    <n v="4"/>
    <n v="6"/>
    <n v="2024"/>
    <d v="2024-06-04T00:00:00"/>
    <s v="Debit Card"/>
    <s v="M"/>
    <n v="4"/>
    <s v="Hyderabad"/>
    <x v="332"/>
  </r>
  <r>
    <n v="1320"/>
    <s v="MegaMart Westside"/>
    <d v="2025-06-02T00:00:00"/>
    <s v="Household Items"/>
    <s v="Yogurt"/>
    <n v="4"/>
    <n v="838.3"/>
    <n v="3353.2"/>
    <n v="502.98"/>
    <n v="2850.22"/>
    <n v="493"/>
    <s v="22:09:48"/>
    <n v="2"/>
    <n v="6"/>
    <n v="2025"/>
    <d v="2025-06-02T00:00:00"/>
    <s v="Credit Card"/>
    <s v="M"/>
    <n v="1"/>
    <s v="Chennai"/>
    <x v="333"/>
  </r>
  <r>
    <n v="7232"/>
    <s v="QuickStop Market"/>
    <d v="2024-08-11T00:00:00"/>
    <s v="Health &amp; Wellness"/>
    <s v="Potatoes"/>
    <n v="5"/>
    <n v="1964.61"/>
    <n v="9823.0499999999993"/>
    <n v="1473.25"/>
    <n v="8349.7999999999993"/>
    <n v="166"/>
    <s v="21:01:51"/>
    <n v="11"/>
    <n v="8"/>
    <n v="2024"/>
    <d v="2024-08-11T00:00:00"/>
    <s v="UPI"/>
    <s v="M"/>
    <n v="5"/>
    <s v="Ahmedabad"/>
    <x v="334"/>
  </r>
  <r>
    <n v="1096"/>
    <s v="Corner Grocery"/>
    <d v="2024-05-06T00:00:00"/>
    <s v="Canned Goods"/>
    <s v="Chicken Breast"/>
    <n v="5"/>
    <n v="562.74"/>
    <n v="2813.7"/>
    <n v="0"/>
    <n v="2813.7"/>
    <n v="279"/>
    <s v="23:35:43"/>
    <n v="6"/>
    <n v="5"/>
    <n v="2024"/>
    <d v="2024-05-06T00:00:00"/>
    <s v="Cash"/>
    <s v="F"/>
    <n v="5"/>
    <s v="Bangalore"/>
    <x v="335"/>
  </r>
  <r>
    <n v="5892"/>
    <s v="ValuePlus Market"/>
    <d v="2025-03-14T00:00:00"/>
    <s v="Produce"/>
    <s v="Salmon"/>
    <n v="2"/>
    <n v="1137.93"/>
    <n v="2275.86"/>
    <n v="227.42"/>
    <n v="2048.44"/>
    <n v="149"/>
    <s v="17:57:58"/>
    <n v="14"/>
    <n v="3"/>
    <n v="2025"/>
    <d v="2025-03-14T00:00:00"/>
    <s v="Debit Card"/>
    <s v="M"/>
    <n v="1"/>
    <s v="Pune"/>
    <x v="336"/>
  </r>
  <r>
    <n v="7389"/>
    <s v="City Fresh Store"/>
    <d v="2025-05-30T00:00:00"/>
    <s v="Meat &amp; Seafood"/>
    <s v="Rice"/>
    <n v="2"/>
    <n v="690.56"/>
    <n v="1381.12"/>
    <n v="137.78"/>
    <n v="1243.3399999999999"/>
    <n v="78"/>
    <s v="21:20:46"/>
    <n v="30"/>
    <n v="5"/>
    <n v="2025"/>
    <d v="2025-05-30T00:00:00"/>
    <s v="UPI"/>
    <s v="M"/>
    <n v="5"/>
    <s v="Jaipur"/>
    <x v="337"/>
  </r>
  <r>
    <n v="7865"/>
    <s v="GreenGrocer Plaza"/>
    <d v="2024-09-28T00:00:00"/>
    <s v="Beverages"/>
    <s v="Potatoes"/>
    <n v="5"/>
    <n v="1046.6300000000001"/>
    <n v="5233.1499999999996"/>
    <n v="95.45"/>
    <n v="5137.7"/>
    <n v="259"/>
    <s v="15:30:54"/>
    <n v="28"/>
    <n v="9"/>
    <n v="2024"/>
    <d v="2024-09-28T00:00:00"/>
    <s v="UPI"/>
    <s v="M"/>
    <n v="1"/>
    <s v="Ahmedabad"/>
    <x v="338"/>
  </r>
  <r>
    <n v="9947"/>
    <s v="MegaMart Westside"/>
    <d v="2025-04-19T00:00:00"/>
    <s v="Personal Care"/>
    <s v="Bread"/>
    <n v="1"/>
    <n v="1933.07"/>
    <n v="1933.07"/>
    <n v="386.78"/>
    <n v="1546.29"/>
    <n v="336"/>
    <s v="00:31:54"/>
    <n v="19"/>
    <n v="4"/>
    <n v="2025"/>
    <d v="2025-04-19T00:00:00"/>
    <s v="Debit Card"/>
    <s v="M"/>
    <n v="4"/>
    <s v="Lucknow"/>
    <x v="339"/>
  </r>
  <r>
    <n v="4613"/>
    <s v="FreshMart Downtown"/>
    <d v="2024-08-20T00:00:00"/>
    <s v="Household Items"/>
    <s v="Tomatoes"/>
    <n v="3"/>
    <n v="2407"/>
    <n v="7221"/>
    <n v="115.37"/>
    <n v="7105.63"/>
    <n v="220"/>
    <s v="06:10:46"/>
    <n v="20"/>
    <n v="8"/>
    <n v="2024"/>
    <d v="2024-08-20T00:00:00"/>
    <s v="UPI"/>
    <s v="F"/>
    <n v="3"/>
    <s v="Jaipur"/>
    <x v="340"/>
  </r>
  <r>
    <n v="4595"/>
    <s v="FamilyFood Express"/>
    <d v="2024-03-05T00:00:00"/>
    <s v="Personal Care"/>
    <s v="Carrots"/>
    <n v="5"/>
    <n v="1479.89"/>
    <n v="7399.45"/>
    <n v="740.36"/>
    <n v="6659.09"/>
    <n v="294"/>
    <s v="04:58:02"/>
    <n v="5"/>
    <n v="3"/>
    <n v="2024"/>
    <d v="2024-03-05T00:00:00"/>
    <s v="Debit Card"/>
    <s v="F"/>
    <n v="1"/>
    <s v="Mumbai"/>
    <x v="341"/>
  </r>
  <r>
    <n v="8140"/>
    <s v="MegaMart Westside"/>
    <d v="2024-08-18T00:00:00"/>
    <s v="Snacks &amp; Candy"/>
    <s v="Salmon"/>
    <n v="5"/>
    <n v="1743.83"/>
    <n v="8719.15"/>
    <n v="243.19"/>
    <n v="8475.9599999999991"/>
    <n v="77"/>
    <s v="02:08:20"/>
    <n v="18"/>
    <n v="8"/>
    <n v="2024"/>
    <d v="2024-08-18T00:00:00"/>
    <s v="Credit Card"/>
    <s v="F"/>
    <n v="2"/>
    <s v="Jaipur"/>
    <x v="342"/>
  </r>
  <r>
    <n v="1475"/>
    <s v="QuickStop Market"/>
    <d v="2024-06-04T00:00:00"/>
    <s v="Snacks &amp; Candy"/>
    <s v="Bread"/>
    <n v="1"/>
    <n v="2083.3000000000002"/>
    <n v="2083.3000000000002"/>
    <n v="312.91000000000003"/>
    <n v="1770.39"/>
    <n v="373"/>
    <s v="11:57:26"/>
    <n v="4"/>
    <n v="6"/>
    <n v="2024"/>
    <d v="2024-06-04T00:00:00"/>
    <s v="Debit Card"/>
    <s v="M"/>
    <n v="1"/>
    <s v="Ahmedabad"/>
    <x v="343"/>
  </r>
  <r>
    <n v="6507"/>
    <s v="QuickStop Market"/>
    <d v="2025-01-07T00:00:00"/>
    <s v="Canned Goods"/>
    <s v="Salmon"/>
    <n v="2"/>
    <n v="1336.3"/>
    <n v="2672.6"/>
    <n v="228.25"/>
    <n v="2444.35"/>
    <n v="178"/>
    <s v="05:55:30"/>
    <n v="7"/>
    <n v="1"/>
    <n v="2025"/>
    <d v="2025-01-07T00:00:00"/>
    <s v="Debit Card"/>
    <s v="M"/>
    <n v="5"/>
    <s v="Delhi"/>
    <x v="344"/>
  </r>
  <r>
    <n v="7624"/>
    <s v="City Fresh Store"/>
    <d v="2025-02-19T00:00:00"/>
    <s v="Canned Goods"/>
    <s v="Bread"/>
    <n v="3"/>
    <n v="190.07"/>
    <n v="570.21"/>
    <n v="365.2"/>
    <n v="205.01"/>
    <n v="363"/>
    <s v="17:53:26"/>
    <n v="19"/>
    <n v="2"/>
    <n v="2025"/>
    <d v="2025-02-19T00:00:00"/>
    <s v="Debit Card"/>
    <s v="F"/>
    <n v="4"/>
    <s v="Bangalore"/>
    <x v="345"/>
  </r>
  <r>
    <n v="3704"/>
    <s v="GreenGrocer Plaza"/>
    <d v="2025-05-20T00:00:00"/>
    <s v="Health &amp; Wellness"/>
    <s v="Apples"/>
    <n v="2"/>
    <n v="1323.85"/>
    <n v="2647.7"/>
    <n v="396.74"/>
    <n v="2250.96"/>
    <n v="282"/>
    <s v="01:25:00"/>
    <n v="20"/>
    <n v="5"/>
    <n v="2025"/>
    <d v="2025-05-20T00:00:00"/>
    <s v="UPI"/>
    <s v="M"/>
    <n v="4"/>
    <s v="Ahmedabad"/>
    <x v="346"/>
  </r>
  <r>
    <n v="8657"/>
    <s v="ValuePlus Market"/>
    <d v="2025-07-21T00:00:00"/>
    <s v="Snacks &amp; Candy"/>
    <s v="Salmon"/>
    <n v="2"/>
    <n v="2001.96"/>
    <n v="4003.92"/>
    <n v="800.95"/>
    <n v="3202.97"/>
    <n v="322"/>
    <s v="14:06:01"/>
    <n v="21"/>
    <n v="7"/>
    <n v="2025"/>
    <d v="2025-07-21T00:00:00"/>
    <s v="UPI"/>
    <s v="M"/>
    <n v="1"/>
    <s v="Delhi"/>
    <x v="347"/>
  </r>
  <r>
    <n v="3091"/>
    <s v="Corner Grocery"/>
    <d v="2024-12-02T00:00:00"/>
    <s v="Snacks &amp; Candy"/>
    <s v="Bananas"/>
    <n v="5"/>
    <n v="2207.8000000000002"/>
    <n v="11039"/>
    <n v="1103.9000000000001"/>
    <n v="9935.1"/>
    <n v="230"/>
    <s v="11:20:00"/>
    <n v="2"/>
    <n v="12"/>
    <n v="2024"/>
    <d v="2024-12-02T00:00:00"/>
    <s v="Debit Card"/>
    <s v="F"/>
    <n v="3"/>
    <s v="Delhi"/>
    <x v="348"/>
  </r>
  <r>
    <n v="9751"/>
    <s v="FreshMart Downtown"/>
    <d v="2023-08-27T00:00:00"/>
    <s v="Bakery"/>
    <s v="Yogurt"/>
    <n v="3"/>
    <n v="1893.23"/>
    <n v="5679.69"/>
    <n v="117.03"/>
    <n v="5562.66"/>
    <n v="414"/>
    <s v="07:55:12"/>
    <n v="27"/>
    <n v="8"/>
    <n v="2023"/>
    <d v="2023-08-27T00:00:00"/>
    <s v="UPI"/>
    <s v="F"/>
    <n v="2"/>
    <s v="Jaipur"/>
    <x v="349"/>
  </r>
  <r>
    <n v="7455"/>
    <s v="ValuePlus Market"/>
    <d v="2024-11-08T00:00:00"/>
    <s v="Meat &amp; Seafood"/>
    <s v="Orange Juice"/>
    <n v="3"/>
    <n v="556.92999999999995"/>
    <n v="1670.79"/>
    <n v="0"/>
    <n v="1670.79"/>
    <n v="58"/>
    <s v="14:27:26"/>
    <n v="8"/>
    <n v="11"/>
    <n v="2024"/>
    <d v="2024-11-08T00:00:00"/>
    <s v="Cash"/>
    <s v="F"/>
    <n v="4"/>
    <s v="Bangalore"/>
    <x v="350"/>
  </r>
  <r>
    <n v="1444"/>
    <s v="City Fresh Store"/>
    <d v="2023-10-11T00:00:00"/>
    <s v="Personal Care"/>
    <s v="Cereal"/>
    <n v="5"/>
    <n v="1017.58"/>
    <n v="5087.8999999999996"/>
    <n v="762.77"/>
    <n v="4325.13"/>
    <n v="200"/>
    <s v="06:50:15"/>
    <n v="11"/>
    <n v="10"/>
    <n v="2023"/>
    <d v="2023-10-11T00:00:00"/>
    <s v="Cash"/>
    <s v="F"/>
    <n v="5"/>
    <s v="Ahmedabad"/>
    <x v="351"/>
  </r>
  <r>
    <n v="8022"/>
    <s v="MegaMart Westside"/>
    <d v="2023-11-20T00:00:00"/>
    <s v="Beverages"/>
    <s v="Apples"/>
    <n v="3"/>
    <n v="2293.29"/>
    <n v="6879.87"/>
    <n v="0"/>
    <n v="6879.87"/>
    <n v="302"/>
    <s v="04:05:56"/>
    <n v="20"/>
    <n v="11"/>
    <n v="2023"/>
    <d v="2023-11-20T00:00:00"/>
    <s v="UPI"/>
    <s v="M"/>
    <n v="5"/>
    <s v="Ahmedabad"/>
    <x v="352"/>
  </r>
  <r>
    <n v="8564"/>
    <s v="SuperSave Central"/>
    <d v="2023-12-26T00:00:00"/>
    <s v="Canned Goods"/>
    <s v="Chicken Breast"/>
    <n v="2"/>
    <n v="817.55"/>
    <n v="1635.1"/>
    <n v="0"/>
    <n v="1635.1"/>
    <n v="93"/>
    <s v="05:16:15"/>
    <n v="26"/>
    <n v="12"/>
    <n v="2023"/>
    <d v="2023-12-26T00:00:00"/>
    <s v="UPI"/>
    <s v="M"/>
    <n v="3"/>
    <s v="Lucknow"/>
    <x v="353"/>
  </r>
  <r>
    <n v="1823"/>
    <s v="SuperSave Central"/>
    <d v="2024-02-25T00:00:00"/>
    <s v="Personal Care"/>
    <s v="Tomatoes"/>
    <n v="4"/>
    <n v="1518.07"/>
    <n v="6072.28"/>
    <n v="607.55999999999995"/>
    <n v="5464.72"/>
    <n v="294"/>
    <s v="20:32:52"/>
    <n v="25"/>
    <n v="2"/>
    <n v="2024"/>
    <d v="2024-02-25T00:00:00"/>
    <s v="Debit Card"/>
    <s v="F"/>
    <n v="4"/>
    <s v="Hyderabad"/>
    <x v="354"/>
  </r>
  <r>
    <n v="7211"/>
    <s v="SuperSave Central"/>
    <d v="2024-04-17T00:00:00"/>
    <s v="Beverages"/>
    <s v="Onions"/>
    <n v="2"/>
    <n v="1417.64"/>
    <n v="2835.28"/>
    <n v="566.89"/>
    <n v="2268.39"/>
    <n v="250"/>
    <s v="23:27:34"/>
    <n v="17"/>
    <n v="4"/>
    <n v="2024"/>
    <d v="2024-04-17T00:00:00"/>
    <s v="Credit Card"/>
    <s v="M"/>
    <n v="1"/>
    <s v="Chennai"/>
    <x v="355"/>
  </r>
  <r>
    <n v="4467"/>
    <s v="SuperSave Central"/>
    <d v="2024-07-25T00:00:00"/>
    <s v="Canned Goods"/>
    <s v="Salmon"/>
    <n v="5"/>
    <n v="210.82"/>
    <n v="1054.0999999999999"/>
    <n v="105.41"/>
    <n v="948.69"/>
    <n v="183"/>
    <s v="08:30:31"/>
    <n v="25"/>
    <n v="7"/>
    <n v="2024"/>
    <d v="2024-07-25T00:00:00"/>
    <s v="UPI"/>
    <s v="F"/>
    <n v="5"/>
    <s v="Hyderabad"/>
    <x v="356"/>
  </r>
  <r>
    <n v="6355"/>
    <s v="SuperSave Central"/>
    <d v="2024-04-25T00:00:00"/>
    <s v="Bakery"/>
    <s v="Tomatoes"/>
    <n v="5"/>
    <n v="1298.95"/>
    <n v="6494.75"/>
    <n v="0"/>
    <n v="6494.75"/>
    <n v="253"/>
    <s v="14:18:19"/>
    <n v="25"/>
    <n v="4"/>
    <n v="2024"/>
    <d v="2024-04-25T00:00:00"/>
    <s v="Cash"/>
    <s v="F"/>
    <n v="3"/>
    <s v="Ahmedabad"/>
    <x v="357"/>
  </r>
  <r>
    <n v="7211"/>
    <s v="City Fresh Store"/>
    <d v="2024-03-10T00:00:00"/>
    <s v="Snacks &amp; Candy"/>
    <s v="Salmon"/>
    <n v="4"/>
    <n v="484.72"/>
    <n v="1938.88"/>
    <n v="387.61"/>
    <n v="1551.27"/>
    <n v="289"/>
    <s v="21:41:40"/>
    <n v="10"/>
    <n v="3"/>
    <n v="2024"/>
    <d v="2024-03-10T00:00:00"/>
    <s v="Debit Card"/>
    <s v="M"/>
    <n v="4"/>
    <s v="Jaipur"/>
    <x v="358"/>
  </r>
  <r>
    <n v="7906"/>
    <s v="QuickStop Market"/>
    <d v="2024-02-18T00:00:00"/>
    <s v="Produce"/>
    <s v="Pasta"/>
    <n v="2"/>
    <n v="1376.14"/>
    <n v="2752.28"/>
    <n v="329.51"/>
    <n v="2422.77"/>
    <n v="86"/>
    <s v="14:39:19"/>
    <n v="18"/>
    <n v="2"/>
    <n v="2024"/>
    <d v="2024-02-18T00:00:00"/>
    <s v="UPI"/>
    <s v="F"/>
    <n v="4"/>
    <s v="Pune"/>
    <x v="359"/>
  </r>
  <r>
    <n v="2341"/>
    <s v="City Fresh Store"/>
    <d v="2024-08-06T00:00:00"/>
    <s v="Personal Care"/>
    <s v="Carrots"/>
    <n v="1"/>
    <n v="1460.8"/>
    <n v="1460.8"/>
    <n v="356.07"/>
    <n v="1104.73"/>
    <n v="137"/>
    <s v="10:34:16"/>
    <n v="6"/>
    <n v="8"/>
    <n v="2024"/>
    <d v="2024-08-06T00:00:00"/>
    <s v="Cash"/>
    <s v="M"/>
    <n v="4"/>
    <s v="Ahmedabad"/>
    <x v="360"/>
  </r>
  <r>
    <n v="1317"/>
    <s v="FreshMart Downtown"/>
    <d v="2025-03-10T00:00:00"/>
    <s v="Beverages"/>
    <s v="Onions"/>
    <n v="2"/>
    <n v="2464.27"/>
    <n v="4928.54"/>
    <n v="739.53"/>
    <n v="4189.01"/>
    <n v="52"/>
    <s v="20:50:04"/>
    <n v="10"/>
    <n v="3"/>
    <n v="2025"/>
    <d v="2025-03-10T00:00:00"/>
    <s v="Cash"/>
    <s v="M"/>
    <n v="4"/>
    <s v="Mumbai"/>
    <x v="361"/>
  </r>
  <r>
    <n v="9837"/>
    <s v="FreshMart Downtown"/>
    <d v="2023-09-16T00:00:00"/>
    <s v="Beverages"/>
    <s v="Pasta"/>
    <n v="3"/>
    <n v="2157.17"/>
    <n v="6471.51"/>
    <n v="340.3"/>
    <n v="6131.21"/>
    <n v="44"/>
    <s v="13:18:56"/>
    <n v="16"/>
    <n v="9"/>
    <n v="2023"/>
    <d v="2023-09-16T00:00:00"/>
    <s v="Credit Card"/>
    <s v="M"/>
    <n v="4"/>
    <s v="Delhi"/>
    <x v="362"/>
  </r>
  <r>
    <n v="6733"/>
    <s v="FamilyFood Express"/>
    <d v="2024-01-28T00:00:00"/>
    <s v="Bakery"/>
    <s v="Orange Juice"/>
    <n v="5"/>
    <n v="1605.22"/>
    <n v="8026.1"/>
    <n v="1605.22"/>
    <n v="6420.88"/>
    <n v="84"/>
    <s v="13:48:40"/>
    <n v="28"/>
    <n v="1"/>
    <n v="2024"/>
    <d v="2024-01-28T00:00:00"/>
    <s v="Debit Card"/>
    <s v="M"/>
    <n v="5"/>
    <s v="Kolkata"/>
    <x v="363"/>
  </r>
  <r>
    <n v="2124"/>
    <s v="FamilyFood Express"/>
    <d v="2025-04-04T00:00:00"/>
    <s v="Produce"/>
    <s v="Orange Juice"/>
    <n v="5"/>
    <n v="758.62"/>
    <n v="3793.1"/>
    <n v="569.38"/>
    <n v="3223.72"/>
    <n v="275"/>
    <s v="19:57:18"/>
    <n v="4"/>
    <n v="4"/>
    <n v="2025"/>
    <d v="2025-04-04T00:00:00"/>
    <s v="Debit Card"/>
    <s v="F"/>
    <n v="3"/>
    <s v="Ahmedabad"/>
    <x v="364"/>
  </r>
  <r>
    <n v="1659"/>
    <s v="QuickStop Market"/>
    <d v="2025-03-14T00:00:00"/>
    <s v="Frozen Foods"/>
    <s v="Pasta"/>
    <n v="5"/>
    <n v="2454.31"/>
    <n v="12271.55"/>
    <n v="2454.31"/>
    <n v="9817.24"/>
    <n v="347"/>
    <s v="19:58:41"/>
    <n v="14"/>
    <n v="3"/>
    <n v="2025"/>
    <d v="2025-03-14T00:00:00"/>
    <s v="Credit Card"/>
    <s v="M"/>
    <n v="4"/>
    <s v="Mumbai"/>
    <x v="365"/>
  </r>
  <r>
    <n v="1508"/>
    <s v="Corner Grocery"/>
    <d v="2024-02-15T00:00:00"/>
    <s v="Produce"/>
    <s v="Pasta"/>
    <n v="2"/>
    <n v="1770.39"/>
    <n v="3540.78"/>
    <n v="707.99"/>
    <n v="2832.79"/>
    <n v="67"/>
    <s v="03:35:27"/>
    <n v="15"/>
    <n v="2"/>
    <n v="2024"/>
    <d v="2024-02-15T00:00:00"/>
    <s v="Credit Card"/>
    <s v="F"/>
    <n v="2"/>
    <s v="Mumbai"/>
    <x v="366"/>
  </r>
  <r>
    <n v="4266"/>
    <s v="MegaMart Westside"/>
    <d v="2025-05-19T00:00:00"/>
    <s v="Bakery"/>
    <s v="Tomatoes"/>
    <n v="4"/>
    <n v="424.13"/>
    <n v="1696.52"/>
    <n v="0"/>
    <n v="1696.52"/>
    <n v="323"/>
    <s v="00:36:58"/>
    <n v="19"/>
    <n v="5"/>
    <n v="2025"/>
    <d v="2025-05-19T00:00:00"/>
    <s v="Debit Card"/>
    <s v="F"/>
    <n v="2"/>
    <s v="Chennai"/>
    <x v="367"/>
  </r>
  <r>
    <n v="1333"/>
    <s v="Corner Grocery"/>
    <d v="2024-12-01T00:00:00"/>
    <s v="Snacks &amp; Candy"/>
    <s v="Salmon"/>
    <n v="1"/>
    <n v="1607.71"/>
    <n v="1607.71"/>
    <n v="161.02000000000001"/>
    <n v="1446.69"/>
    <n v="450"/>
    <s v="14:52:56"/>
    <n v="1"/>
    <n v="12"/>
    <n v="2024"/>
    <d v="2024-12-01T00:00:00"/>
    <s v="Debit Card"/>
    <s v="F"/>
    <n v="3"/>
    <s v="Bangalore"/>
    <x v="368"/>
  </r>
  <r>
    <n v="3496"/>
    <s v="ValuePlus Market"/>
    <d v="2024-02-08T00:00:00"/>
    <s v="Frozen Foods"/>
    <s v="Orange Juice"/>
    <n v="4"/>
    <n v="2369.65"/>
    <n v="9478.6"/>
    <n v="0"/>
    <n v="9478.6"/>
    <n v="167"/>
    <s v="22:21:25"/>
    <n v="8"/>
    <n v="2"/>
    <n v="2024"/>
    <d v="2024-02-08T00:00:00"/>
    <s v="UPI"/>
    <s v="F"/>
    <n v="1"/>
    <s v="Ahmedabad"/>
    <x v="369"/>
  </r>
  <r>
    <n v="3068"/>
    <s v="GreenGrocer Plaza"/>
    <d v="2024-08-08T00:00:00"/>
    <s v="Beverages"/>
    <s v="Orange Juice"/>
    <n v="1"/>
    <n v="1996.98"/>
    <n v="1996.98"/>
    <n v="200.03"/>
    <n v="1796.95"/>
    <n v="203"/>
    <s v="18:16:41"/>
    <n v="8"/>
    <n v="8"/>
    <n v="2024"/>
    <d v="2024-08-08T00:00:00"/>
    <s v="UPI"/>
    <s v="M"/>
    <n v="1"/>
    <s v="Bangalore"/>
    <x v="370"/>
  </r>
  <r>
    <n v="2874"/>
    <s v="FamilyFood Express"/>
    <d v="2024-10-18T00:00:00"/>
    <s v="Beverages"/>
    <s v="Pasta"/>
    <n v="3"/>
    <n v="2075.83"/>
    <n v="6227.49"/>
    <n v="366.03"/>
    <n v="5861.46"/>
    <n v="172"/>
    <s v="00:05:01"/>
    <n v="18"/>
    <n v="10"/>
    <n v="2024"/>
    <d v="2024-10-18T00:00:00"/>
    <s v="Credit Card"/>
    <s v="M"/>
    <n v="1"/>
    <s v="Pune"/>
    <x v="371"/>
  </r>
  <r>
    <n v="4571"/>
    <s v="MegaMart Westside"/>
    <d v="2024-08-02T00:00:00"/>
    <s v="Health &amp; Wellness"/>
    <s v="Milk"/>
    <n v="1"/>
    <n v="322.04000000000002"/>
    <n v="322.04000000000002"/>
    <n v="124.5"/>
    <n v="197.54"/>
    <n v="401"/>
    <s v="21:23:03"/>
    <n v="2"/>
    <n v="8"/>
    <n v="2024"/>
    <d v="2024-08-02T00:00:00"/>
    <s v="UPI"/>
    <s v="F"/>
    <n v="2"/>
    <s v="Jaipur"/>
    <x v="372"/>
  </r>
  <r>
    <n v="5198"/>
    <s v="SuperSave Central"/>
    <d v="2025-03-24T00:00:00"/>
    <s v="Beverages"/>
    <s v="Salmon"/>
    <n v="1"/>
    <n v="2469.25"/>
    <n v="2469.25"/>
    <n v="0"/>
    <n v="2469.25"/>
    <n v="219"/>
    <s v="10:49:31"/>
    <n v="24"/>
    <n v="3"/>
    <n v="2025"/>
    <d v="2025-03-24T00:00:00"/>
    <s v="Cash"/>
    <s v="F"/>
    <n v="1"/>
    <s v="Kolkata"/>
    <x v="373"/>
  </r>
  <r>
    <n v="7043"/>
    <s v="SuperSave Central"/>
    <d v="2023-12-15T00:00:00"/>
    <s v="Health &amp; Wellness"/>
    <s v="Rice"/>
    <n v="2"/>
    <n v="2187.0500000000002"/>
    <n v="4374.1000000000004"/>
    <n v="300.45999999999998"/>
    <n v="4073.64"/>
    <n v="448"/>
    <s v="01:35:10"/>
    <n v="15"/>
    <n v="12"/>
    <n v="2023"/>
    <d v="2023-12-15T00:00:00"/>
    <s v="UPI"/>
    <s v="M"/>
    <n v="5"/>
    <s v="Jaipur"/>
    <x v="374"/>
  </r>
  <r>
    <n v="2876"/>
    <s v="QuickStop Market"/>
    <d v="2025-04-02T00:00:00"/>
    <s v="Dairy"/>
    <s v="Orange Juice"/>
    <n v="2"/>
    <n v="206.67"/>
    <n v="413.34"/>
    <n v="0"/>
    <n v="413.34"/>
    <n v="320"/>
    <s v="14:51:27"/>
    <n v="2"/>
    <n v="4"/>
    <n v="2025"/>
    <d v="2025-04-02T00:00:00"/>
    <s v="UPI"/>
    <s v="F"/>
    <n v="4"/>
    <s v="Mumbai"/>
    <x v="375"/>
  </r>
  <r>
    <n v="3683"/>
    <s v="FamilyFood Express"/>
    <d v="2024-04-04T00:00:00"/>
    <s v="Snacks &amp; Candy"/>
    <s v="Bread"/>
    <n v="1"/>
    <n v="84.66"/>
    <n v="84.66"/>
    <n v="16.600000000000001"/>
    <n v="68.06"/>
    <n v="244"/>
    <s v="08:27:49"/>
    <n v="4"/>
    <n v="4"/>
    <n v="2024"/>
    <d v="2024-04-04T00:00:00"/>
    <s v="Cash"/>
    <s v="M"/>
    <n v="2"/>
    <s v="Delhi"/>
    <x v="376"/>
  </r>
  <r>
    <n v="2771"/>
    <s v="FamilyFood Express"/>
    <d v="2024-10-29T00:00:00"/>
    <s v="Personal Care"/>
    <s v="Salmon"/>
    <n v="1"/>
    <n v="101.26"/>
    <n v="101.26"/>
    <n v="9.9600000000000009"/>
    <n v="91.3"/>
    <n v="175"/>
    <s v="17:40:54"/>
    <n v="29"/>
    <n v="10"/>
    <n v="2024"/>
    <d v="2024-10-29T00:00:00"/>
    <s v="Credit Card"/>
    <s v="F"/>
    <n v="3"/>
    <s v="Delhi"/>
    <x v="377"/>
  </r>
  <r>
    <n v="1420"/>
    <s v="SuperSave Central"/>
    <d v="2025-07-28T00:00:00"/>
    <s v="Beverages"/>
    <s v="Bread"/>
    <n v="2"/>
    <n v="1004.3"/>
    <n v="2008.6"/>
    <n v="186.75"/>
    <n v="1821.85"/>
    <n v="374"/>
    <s v="11:53:42"/>
    <n v="28"/>
    <n v="7"/>
    <n v="2025"/>
    <d v="2025-07-28T00:00:00"/>
    <s v="Cash"/>
    <s v="M"/>
    <n v="3"/>
    <s v="Bangalore"/>
    <x v="378"/>
  </r>
  <r>
    <n v="6111"/>
    <s v="QuickStop Market"/>
    <d v="2024-10-27T00:00:00"/>
    <s v="Meat &amp; Seafood"/>
    <s v="Tomatoes"/>
    <n v="2"/>
    <n v="1626.8"/>
    <n v="3253.6"/>
    <n v="258.95999999999998"/>
    <n v="2994.64"/>
    <n v="346"/>
    <s v="00:13:57"/>
    <n v="27"/>
    <n v="10"/>
    <n v="2024"/>
    <d v="2024-10-27T00:00:00"/>
    <s v="UPI"/>
    <s v="F"/>
    <n v="4"/>
    <s v="Jaipur"/>
    <x v="379"/>
  </r>
  <r>
    <n v="7149"/>
    <s v="FreshMart Downtown"/>
    <d v="2024-06-10T00:00:00"/>
    <s v="Household Items"/>
    <s v="Apples"/>
    <n v="4"/>
    <n v="927.11"/>
    <n v="3708.44"/>
    <n v="371.01"/>
    <n v="3337.43"/>
    <n v="109"/>
    <s v="08:13:26"/>
    <n v="10"/>
    <n v="6"/>
    <n v="2024"/>
    <d v="2024-06-10T00:00:00"/>
    <s v="Credit Card"/>
    <s v="F"/>
    <n v="2"/>
    <s v="Mumbai"/>
    <x v="380"/>
  </r>
  <r>
    <n v="4249"/>
    <s v="City Fresh Store"/>
    <d v="2023-10-05T00:00:00"/>
    <s v="Bakery"/>
    <s v="Bread"/>
    <n v="1"/>
    <n v="419.15"/>
    <n v="419.15"/>
    <n v="63.08"/>
    <n v="356.07"/>
    <n v="63"/>
    <s v="13:28:12"/>
    <n v="5"/>
    <n v="10"/>
    <n v="2023"/>
    <d v="2023-10-05T00:00:00"/>
    <s v="UPI"/>
    <s v="M"/>
    <n v="1"/>
    <s v="Chennai"/>
    <x v="381"/>
  </r>
  <r>
    <n v="4978"/>
    <s v="Corner Grocery"/>
    <d v="2023-10-25T00:00:00"/>
    <s v="Canned Goods"/>
    <s v="Eggs"/>
    <n v="2"/>
    <n v="748.66"/>
    <n v="1497.32"/>
    <n v="282.2"/>
    <n v="1215.1199999999999"/>
    <n v="43"/>
    <s v="23:29:55"/>
    <n v="25"/>
    <n v="10"/>
    <n v="2023"/>
    <d v="2023-10-25T00:00:00"/>
    <s v="Cash"/>
    <s v="F"/>
    <n v="1"/>
    <s v="Lucknow"/>
    <x v="382"/>
  </r>
  <r>
    <n v="5941"/>
    <s v="QuickStop Market"/>
    <d v="2025-05-28T00:00:00"/>
    <s v="Produce"/>
    <s v="Rice"/>
    <n v="2"/>
    <n v="1328"/>
    <n v="2656"/>
    <n v="0"/>
    <n v="2656"/>
    <n v="260"/>
    <s v="01:17:06"/>
    <n v="28"/>
    <n v="5"/>
    <n v="2025"/>
    <d v="2025-05-28T00:00:00"/>
    <s v="Cash"/>
    <s v="F"/>
    <n v="5"/>
    <s v="Jaipur"/>
    <x v="383"/>
  </r>
  <r>
    <n v="2983"/>
    <s v="Corner Grocery"/>
    <d v="2025-04-16T00:00:00"/>
    <s v="Frozen Foods"/>
    <s v="Milk"/>
    <n v="2"/>
    <n v="1273.22"/>
    <n v="2546.44"/>
    <n v="254.81"/>
    <n v="2291.63"/>
    <n v="57"/>
    <s v="19:17:21"/>
    <n v="16"/>
    <n v="4"/>
    <n v="2025"/>
    <d v="2025-04-16T00:00:00"/>
    <s v="UPI"/>
    <s v="M"/>
    <n v="5"/>
    <s v="Bangalore"/>
    <x v="384"/>
  </r>
  <r>
    <n v="1672"/>
    <s v="GreenGrocer Plaza"/>
    <d v="2024-05-02T00:00:00"/>
    <s v="Personal Care"/>
    <s v="Bananas"/>
    <n v="3"/>
    <n v="2329.81"/>
    <n v="6989.43"/>
    <n v="222.44"/>
    <n v="6766.99"/>
    <n v="67"/>
    <s v="11:37:37"/>
    <n v="2"/>
    <n v="5"/>
    <n v="2024"/>
    <d v="2024-05-02T00:00:00"/>
    <s v="Debit Card"/>
    <s v="F"/>
    <n v="1"/>
    <s v="Kolkata"/>
    <x v="385"/>
  </r>
  <r>
    <n v="9728"/>
    <s v="ValuePlus Market"/>
    <d v="2024-07-04T00:00:00"/>
    <s v="Health &amp; Wellness"/>
    <s v="Apples"/>
    <n v="4"/>
    <n v="2379.61"/>
    <n v="9518.44"/>
    <n v="278.05"/>
    <n v="9240.39"/>
    <n v="394"/>
    <s v="22:44:25"/>
    <n v="4"/>
    <n v="7"/>
    <n v="2024"/>
    <d v="2024-07-04T00:00:00"/>
    <s v="Debit Card"/>
    <s v="M"/>
    <n v="3"/>
    <s v="Bangalore"/>
    <x v="386"/>
  </r>
  <r>
    <n v="7071"/>
    <s v="FreshMart Downtown"/>
    <d v="2023-09-29T00:00:00"/>
    <s v="Frozen Foods"/>
    <s v="Yogurt"/>
    <n v="1"/>
    <n v="2302.42"/>
    <n v="2302.42"/>
    <n v="178.45"/>
    <n v="2123.9699999999998"/>
    <n v="485"/>
    <s v="18:07:23"/>
    <n v="29"/>
    <n v="9"/>
    <n v="2023"/>
    <d v="2023-09-29T00:00:00"/>
    <s v="Cash"/>
    <s v="M"/>
    <n v="3"/>
    <s v="Mumbai"/>
    <x v="387"/>
  </r>
  <r>
    <n v="9289"/>
    <s v="QuickStop Market"/>
    <d v="2024-12-21T00:00:00"/>
    <s v="Snacks &amp; Candy"/>
    <s v="Cheese"/>
    <n v="4"/>
    <n v="280.54000000000002"/>
    <n v="1122.1600000000001"/>
    <n v="168.49"/>
    <n v="953.67"/>
    <n v="274"/>
    <s v="12:57:02"/>
    <n v="21"/>
    <n v="12"/>
    <n v="2024"/>
    <d v="2024-12-21T00:00:00"/>
    <s v="Cash"/>
    <s v="F"/>
    <n v="5"/>
    <s v="Ahmedabad"/>
    <x v="388"/>
  </r>
  <r>
    <n v="6590"/>
    <s v="GreenGrocer Plaza"/>
    <d v="2023-08-16T00:00:00"/>
    <s v="Frozen Foods"/>
    <s v="Bread"/>
    <n v="5"/>
    <n v="2299.1"/>
    <n v="11495.5"/>
    <n v="191.73"/>
    <n v="11303.77"/>
    <n v="498"/>
    <s v="15:29:18"/>
    <n v="16"/>
    <n v="8"/>
    <n v="2023"/>
    <d v="2023-08-16T00:00:00"/>
    <s v="Debit Card"/>
    <s v="F"/>
    <n v="4"/>
    <s v="Chennai"/>
    <x v="389"/>
  </r>
  <r>
    <n v="7882"/>
    <s v="GreenGrocer Plaza"/>
    <d v="2025-05-06T00:00:00"/>
    <s v="Frozen Foods"/>
    <s v="Cheese"/>
    <n v="2"/>
    <n v="221.61"/>
    <n v="443.22"/>
    <n v="233.23"/>
    <n v="209.99"/>
    <n v="44"/>
    <s v="01:50:05"/>
    <n v="6"/>
    <n v="5"/>
    <n v="2025"/>
    <d v="2025-05-06T00:00:00"/>
    <s v="Debit Card"/>
    <s v="F"/>
    <n v="1"/>
    <s v="Mumbai"/>
    <x v="390"/>
  </r>
  <r>
    <n v="9031"/>
    <s v="FreshMart Downtown"/>
    <d v="2023-10-27T00:00:00"/>
    <s v="Frozen Foods"/>
    <s v="Apples"/>
    <n v="1"/>
    <n v="112.88"/>
    <n v="112.88"/>
    <n v="22.41"/>
    <n v="90.47"/>
    <n v="70"/>
    <s v="01:35:01"/>
    <n v="27"/>
    <n v="10"/>
    <n v="2023"/>
    <d v="2023-10-27T00:00:00"/>
    <s v="UPI"/>
    <s v="F"/>
    <n v="5"/>
    <s v="Chennai"/>
    <x v="391"/>
  </r>
  <r>
    <n v="8102"/>
    <s v="City Fresh Store"/>
    <d v="2024-05-14T00:00:00"/>
    <s v="Canned Goods"/>
    <s v="Carrots"/>
    <n v="5"/>
    <n v="1967.1"/>
    <n v="9835.5"/>
    <n v="1967.1"/>
    <n v="7868.4"/>
    <n v="369"/>
    <s v="18:57:25"/>
    <n v="14"/>
    <n v="5"/>
    <n v="2024"/>
    <d v="2024-05-14T00:00:00"/>
    <s v="UPI"/>
    <s v="F"/>
    <n v="5"/>
    <s v="Hyderabad"/>
    <x v="392"/>
  </r>
  <r>
    <n v="8532"/>
    <s v="MegaMart Westside"/>
    <d v="2025-02-06T00:00:00"/>
    <s v="Meat &amp; Seafood"/>
    <s v="Pasta"/>
    <n v="1"/>
    <n v="1938.88"/>
    <n v="1938.88"/>
    <n v="194.22"/>
    <n v="1744.66"/>
    <n v="15"/>
    <s v="05:57:32"/>
    <n v="6"/>
    <n v="2"/>
    <n v="2025"/>
    <d v="2025-02-06T00:00:00"/>
    <s v="Debit Card"/>
    <s v="F"/>
    <n v="1"/>
    <s v="Hyderabad"/>
    <x v="393"/>
  </r>
  <r>
    <n v="3506"/>
    <s v="QuickStop Market"/>
    <d v="2024-07-10T00:00:00"/>
    <s v="Personal Care"/>
    <s v="Bread"/>
    <n v="3"/>
    <n v="1796.95"/>
    <n v="5390.85"/>
    <n v="539.5"/>
    <n v="4851.3500000000004"/>
    <n v="295"/>
    <s v="12:33:42"/>
    <n v="10"/>
    <n v="7"/>
    <n v="2024"/>
    <d v="2024-07-10T00:00:00"/>
    <s v="UPI"/>
    <s v="F"/>
    <n v="1"/>
    <s v="Delhi"/>
    <x v="394"/>
  </r>
  <r>
    <n v="3885"/>
    <s v="City Fresh Store"/>
    <d v="2025-02-26T00:00:00"/>
    <s v="Personal Care"/>
    <s v="Orange Juice"/>
    <n v="1"/>
    <n v="1284.8399999999999"/>
    <n v="1284.8399999999999"/>
    <n v="192.56"/>
    <n v="1092.28"/>
    <n v="290"/>
    <s v="10:27:52"/>
    <n v="26"/>
    <n v="2"/>
    <n v="2025"/>
    <d v="2025-02-26T00:00:00"/>
    <s v="UPI"/>
    <s v="M"/>
    <n v="3"/>
    <s v="Chennai"/>
    <x v="395"/>
  </r>
  <r>
    <n v="9548"/>
    <s v="SuperSave Central"/>
    <d v="2024-12-24T00:00:00"/>
    <s v="Frozen Foods"/>
    <s v="Chicken Breast"/>
    <n v="5"/>
    <n v="1704.82"/>
    <n v="8524.1"/>
    <n v="0"/>
    <n v="8524.1"/>
    <n v="59"/>
    <s v="21:28:48"/>
    <n v="24"/>
    <n v="12"/>
    <n v="2024"/>
    <d v="2024-12-24T00:00:00"/>
    <s v="Credit Card"/>
    <s v="F"/>
    <n v="4"/>
    <s v="Jaipur"/>
    <x v="396"/>
  </r>
  <r>
    <n v="5425"/>
    <s v="ValuePlus Market"/>
    <d v="2024-11-27T00:00:00"/>
    <s v="Produce"/>
    <s v="Milk"/>
    <n v="1"/>
    <n v="670.64"/>
    <n v="670.64"/>
    <n v="67.23"/>
    <n v="603.41"/>
    <n v="241"/>
    <s v="23:06:06"/>
    <n v="27"/>
    <n v="11"/>
    <n v="2024"/>
    <d v="2024-11-27T00:00:00"/>
    <s v="UPI"/>
    <s v="M"/>
    <n v="4"/>
    <s v="Kolkata"/>
    <x v="397"/>
  </r>
  <r>
    <n v="9817"/>
    <s v="SuperSave Central"/>
    <d v="2025-03-30T00:00:00"/>
    <s v="Meat &amp; Seafood"/>
    <s v="Milk"/>
    <n v="5"/>
    <n v="2015.24"/>
    <n v="10076.200000000001"/>
    <n v="2015.24"/>
    <n v="8060.96"/>
    <n v="365"/>
    <s v="11:49:04"/>
    <n v="30"/>
    <n v="3"/>
    <n v="2025"/>
    <d v="2025-03-30T00:00:00"/>
    <s v="Cash"/>
    <s v="F"/>
    <n v="1"/>
    <s v="Lucknow"/>
    <x v="398"/>
  </r>
  <r>
    <n v="8921"/>
    <s v="MegaMart Westside"/>
    <d v="2024-08-02T00:00:00"/>
    <s v="Bakery"/>
    <s v="Cheese"/>
    <n v="3"/>
    <n v="735.38"/>
    <n v="2206.14"/>
    <n v="249.83"/>
    <n v="1956.31"/>
    <n v="39"/>
    <s v="10:05:15"/>
    <n v="2"/>
    <n v="8"/>
    <n v="2024"/>
    <d v="2024-08-02T00:00:00"/>
    <s v="UPI"/>
    <s v="F"/>
    <n v="2"/>
    <s v="Bangalore"/>
    <x v="399"/>
  </r>
  <r>
    <n v="8136"/>
    <s v="FreshMart Downtown"/>
    <d v="2025-05-09T00:00:00"/>
    <s v="Meat &amp; Seafood"/>
    <s v="Ground Beef"/>
    <n v="5"/>
    <n v="2444.35"/>
    <n v="12221.75"/>
    <n v="374.33"/>
    <n v="11847.42"/>
    <n v="488"/>
    <s v="21:44:09"/>
    <n v="9"/>
    <n v="5"/>
    <n v="2025"/>
    <d v="2025-05-09T00:00:00"/>
    <s v="UPI"/>
    <s v="M"/>
    <n v="5"/>
    <s v="Hyderabad"/>
    <x v="400"/>
  </r>
  <r>
    <n v="5397"/>
    <s v="QuickStop Market"/>
    <d v="2024-04-13T00:00:00"/>
    <s v="Frozen Foods"/>
    <s v="Cereal"/>
    <n v="1"/>
    <n v="1413.49"/>
    <n v="1413.49"/>
    <n v="283.02999999999997"/>
    <n v="1130.46"/>
    <n v="4"/>
    <s v="20:38:49"/>
    <n v="13"/>
    <n v="4"/>
    <n v="2024"/>
    <d v="2024-04-13T00:00:00"/>
    <s v="Debit Card"/>
    <s v="F"/>
    <n v="5"/>
    <s v="Bangalore"/>
    <x v="401"/>
  </r>
  <r>
    <n v="5022"/>
    <s v="QuickStop Market"/>
    <d v="2025-05-13T00:00:00"/>
    <s v="Household Items"/>
    <s v="Rice"/>
    <n v="5"/>
    <n v="665.66"/>
    <n v="3328.3"/>
    <n v="665.66"/>
    <n v="2662.64"/>
    <n v="188"/>
    <s v="08:40:11"/>
    <n v="13"/>
    <n v="5"/>
    <n v="2025"/>
    <d v="2025-05-13T00:00:00"/>
    <s v="Cash"/>
    <s v="F"/>
    <n v="1"/>
    <s v="Bangalore"/>
    <x v="402"/>
  </r>
  <r>
    <n v="2419"/>
    <s v="ValuePlus Market"/>
    <d v="2024-03-10T00:00:00"/>
    <s v="Bakery"/>
    <s v="Eggs"/>
    <n v="1"/>
    <n v="2326.4899999999998"/>
    <n v="2326.4899999999998"/>
    <n v="198.37"/>
    <n v="2128.12"/>
    <n v="12"/>
    <s v="12:28:12"/>
    <n v="10"/>
    <n v="3"/>
    <n v="2024"/>
    <d v="2024-03-10T00:00:00"/>
    <s v="UPI"/>
    <s v="M"/>
    <n v="2"/>
    <s v="Kolkata"/>
    <x v="403"/>
  </r>
  <r>
    <n v="8385"/>
    <s v="FreshMart Downtown"/>
    <d v="2024-02-12T00:00:00"/>
    <s v="Canned Goods"/>
    <s v="Bananas"/>
    <n v="4"/>
    <n v="2125.63"/>
    <n v="8502.52"/>
    <n v="151.06"/>
    <n v="8351.4599999999991"/>
    <n v="372"/>
    <s v="19:16:43"/>
    <n v="12"/>
    <n v="2"/>
    <n v="2024"/>
    <d v="2024-02-12T00:00:00"/>
    <s v="UPI"/>
    <s v="F"/>
    <n v="3"/>
    <s v="Mumbai"/>
    <x v="404"/>
  </r>
  <r>
    <n v="8613"/>
    <s v="FamilyFood Express"/>
    <d v="2024-10-22T00:00:00"/>
    <s v="Snacks &amp; Candy"/>
    <s v="Potatoes"/>
    <n v="1"/>
    <n v="2422.77"/>
    <n v="2422.77"/>
    <n v="97.94"/>
    <n v="2324.83"/>
    <n v="72"/>
    <s v="13:00:51"/>
    <n v="22"/>
    <n v="10"/>
    <n v="2024"/>
    <d v="2024-10-22T00:00:00"/>
    <s v="Credit Card"/>
    <s v="F"/>
    <n v="1"/>
    <s v="Bangalore"/>
    <x v="405"/>
  </r>
  <r>
    <n v="7209"/>
    <s v="FamilyFood Express"/>
    <d v="2024-04-24T00:00:00"/>
    <s v="Personal Care"/>
    <s v="Cheese"/>
    <n v="3"/>
    <n v="1186.07"/>
    <n v="3558.21"/>
    <n v="114.54"/>
    <n v="3443.67"/>
    <n v="382"/>
    <s v="01:12:35"/>
    <n v="24"/>
    <n v="4"/>
    <n v="2024"/>
    <d v="2024-04-24T00:00:00"/>
    <s v="UPI"/>
    <s v="F"/>
    <n v="1"/>
    <s v="Chennai"/>
    <x v="406"/>
  </r>
  <r>
    <n v="1470"/>
    <s v="SuperSave Central"/>
    <d v="2024-08-24T00:00:00"/>
    <s v="Health &amp; Wellness"/>
    <s v="Tomatoes"/>
    <n v="1"/>
    <n v="1506.45"/>
    <n v="1506.45"/>
    <n v="0"/>
    <n v="1506.45"/>
    <n v="31"/>
    <s v="01:14:47"/>
    <n v="24"/>
    <n v="8"/>
    <n v="2024"/>
    <d v="2024-08-24T00:00:00"/>
    <s v="UPI"/>
    <s v="M"/>
    <n v="5"/>
    <s v="Kolkata"/>
    <x v="407"/>
  </r>
  <r>
    <n v="6325"/>
    <s v="SuperSave Central"/>
    <d v="2023-12-26T00:00:00"/>
    <s v="Bakery"/>
    <s v="Rice"/>
    <n v="3"/>
    <n v="2130.61"/>
    <n v="6391.83"/>
    <n v="0"/>
    <n v="6391.83"/>
    <n v="474"/>
    <s v="16:49:16"/>
    <n v="26"/>
    <n v="12"/>
    <n v="2023"/>
    <d v="2023-12-26T00:00:00"/>
    <s v="Credit Card"/>
    <s v="F"/>
    <n v="1"/>
    <s v="Hyderabad"/>
    <x v="408"/>
  </r>
  <r>
    <n v="8988"/>
    <s v="MegaMart Westside"/>
    <d v="2024-01-18T00:00:00"/>
    <s v="Canned Goods"/>
    <s v="Salmon"/>
    <n v="3"/>
    <n v="644.08000000000004"/>
    <n v="1932.24"/>
    <n v="386.78"/>
    <n v="1545.46"/>
    <n v="483"/>
    <s v="01:13:24"/>
    <n v="18"/>
    <n v="1"/>
    <n v="2024"/>
    <d v="2024-01-18T00:00:00"/>
    <s v="Debit Card"/>
    <s v="F"/>
    <n v="1"/>
    <s v="Ahmedabad"/>
    <x v="409"/>
  </r>
  <r>
    <n v="6813"/>
    <s v="GreenGrocer Plaza"/>
    <d v="2025-04-17T00:00:00"/>
    <s v="Meat &amp; Seafood"/>
    <s v="Chicken Breast"/>
    <n v="2"/>
    <n v="1164.49"/>
    <n v="2328.98"/>
    <n v="260.62"/>
    <n v="2068.36"/>
    <n v="160"/>
    <s v="11:43:52"/>
    <n v="17"/>
    <n v="4"/>
    <n v="2025"/>
    <d v="2025-04-17T00:00:00"/>
    <s v="UPI"/>
    <s v="F"/>
    <n v="1"/>
    <s v="Bangalore"/>
    <x v="410"/>
  </r>
  <r>
    <n v="5232"/>
    <s v="FamilyFood Express"/>
    <d v="2024-04-27T00:00:00"/>
    <s v="Beverages"/>
    <s v="Rice"/>
    <n v="4"/>
    <n v="720.44"/>
    <n v="2881.76"/>
    <n v="576.02"/>
    <n v="2305.7399999999998"/>
    <n v="61"/>
    <s v="08:15:17"/>
    <n v="27"/>
    <n v="4"/>
    <n v="2024"/>
    <d v="2024-04-27T00:00:00"/>
    <s v="Credit Card"/>
    <s v="F"/>
    <n v="5"/>
    <s v="Delhi"/>
    <x v="411"/>
  </r>
  <r>
    <n v="5581"/>
    <s v="QuickStop Market"/>
    <d v="2025-06-20T00:00:00"/>
    <s v="Household Items"/>
    <s v="Milk"/>
    <n v="2"/>
    <n v="2094.09"/>
    <n v="4188.18"/>
    <n v="318.72000000000003"/>
    <n v="3869.46"/>
    <n v="167"/>
    <s v="02:47:04"/>
    <n v="20"/>
    <n v="6"/>
    <n v="2025"/>
    <d v="2025-06-20T00:00:00"/>
    <s v="Cash"/>
    <s v="M"/>
    <n v="3"/>
    <s v="Kolkata"/>
    <x v="412"/>
  </r>
  <r>
    <n v="5526"/>
    <s v="MegaMart Westside"/>
    <d v="2024-10-11T00:00:00"/>
    <s v="Snacks &amp; Candy"/>
    <s v="Carrots"/>
    <n v="1"/>
    <n v="1712.29"/>
    <n v="1712.29"/>
    <n v="399.23"/>
    <n v="1313.06"/>
    <n v="133"/>
    <s v="19:35:22"/>
    <n v="11"/>
    <n v="10"/>
    <n v="2024"/>
    <d v="2024-10-11T00:00:00"/>
    <s v="Debit Card"/>
    <s v="M"/>
    <n v="3"/>
    <s v="Mumbai"/>
    <x v="413"/>
  </r>
  <r>
    <n v="1166"/>
    <s v="City Fresh Store"/>
    <d v="2024-09-11T00:00:00"/>
    <s v="Personal Care"/>
    <s v="Onions"/>
    <n v="2"/>
    <n v="310.42"/>
    <n v="620.84"/>
    <n v="87.15"/>
    <n v="533.69000000000005"/>
    <n v="52"/>
    <s v="20:06:53"/>
    <n v="11"/>
    <n v="9"/>
    <n v="2024"/>
    <d v="2024-09-11T00:00:00"/>
    <s v="Cash"/>
    <s v="F"/>
    <n v="1"/>
    <s v="Pune"/>
    <x v="414"/>
  </r>
  <r>
    <n v="4130"/>
    <s v="FamilyFood Express"/>
    <d v="2023-10-12T00:00:00"/>
    <s v="Meat &amp; Seafood"/>
    <s v="Yogurt"/>
    <n v="4"/>
    <n v="977.74"/>
    <n v="3910.96"/>
    <n v="277.22000000000003"/>
    <n v="3633.74"/>
    <n v="322"/>
    <s v="03:43:25"/>
    <n v="12"/>
    <n v="10"/>
    <n v="2023"/>
    <d v="2023-10-12T00:00:00"/>
    <s v="Cash"/>
    <s v="F"/>
    <n v="5"/>
    <s v="Hyderabad"/>
    <x v="415"/>
  </r>
  <r>
    <n v="4954"/>
    <s v="GreenGrocer Plaza"/>
    <d v="2025-02-16T00:00:00"/>
    <s v="Produce"/>
    <s v="Bread"/>
    <n v="2"/>
    <n v="2254.2800000000002"/>
    <n v="4508.5600000000004"/>
    <n v="383.46"/>
    <n v="4125.1000000000004"/>
    <n v="227"/>
    <s v="02:27:01"/>
    <n v="16"/>
    <n v="2"/>
    <n v="2025"/>
    <d v="2025-02-16T00:00:00"/>
    <s v="Credit Card"/>
    <s v="M"/>
    <n v="3"/>
    <s v="Hyderabad"/>
    <x v="416"/>
  </r>
  <r>
    <n v="7658"/>
    <s v="City Fresh Store"/>
    <d v="2024-08-20T00:00:00"/>
    <s v="Dairy"/>
    <s v="Milk"/>
    <n v="4"/>
    <n v="204.18"/>
    <n v="816.72"/>
    <n v="0"/>
    <n v="816.72"/>
    <n v="473"/>
    <s v="18:26:02"/>
    <n v="20"/>
    <n v="8"/>
    <n v="2024"/>
    <d v="2024-08-20T00:00:00"/>
    <s v="UPI"/>
    <s v="M"/>
    <n v="3"/>
    <s v="Pune"/>
    <x v="417"/>
  </r>
  <r>
    <n v="4937"/>
    <s v="Corner Grocery"/>
    <d v="2025-01-24T00:00:00"/>
    <s v="Beverages"/>
    <s v="Bananas"/>
    <n v="4"/>
    <n v="1726.4"/>
    <n v="6905.6"/>
    <n v="1381.12"/>
    <n v="5524.48"/>
    <n v="88"/>
    <s v="09:42:06"/>
    <n v="24"/>
    <n v="1"/>
    <n v="2025"/>
    <d v="2025-01-24T00:00:00"/>
    <s v="Credit Card"/>
    <s v="F"/>
    <n v="3"/>
    <s v="Chennai"/>
    <x v="418"/>
  </r>
  <r>
    <n v="8800"/>
    <s v="SuperSave Central"/>
    <d v="2024-12-20T00:00:00"/>
    <s v="Frozen Foods"/>
    <s v="Pasta"/>
    <n v="4"/>
    <n v="2208.63"/>
    <n v="8834.52"/>
    <n v="0"/>
    <n v="8834.52"/>
    <n v="17"/>
    <s v="04:43:38"/>
    <n v="20"/>
    <n v="12"/>
    <n v="2024"/>
    <d v="2024-12-20T00:00:00"/>
    <s v="Credit Card"/>
    <s v="M"/>
    <n v="5"/>
    <s v="Ahmedabad"/>
    <x v="419"/>
  </r>
  <r>
    <n v="9041"/>
    <s v="QuickStop Market"/>
    <d v="2024-07-20T00:00:00"/>
    <s v="Beverages"/>
    <s v="Cheese"/>
    <n v="5"/>
    <n v="1235.04"/>
    <n v="6175.2"/>
    <n v="617.52"/>
    <n v="5557.68"/>
    <n v="44"/>
    <s v="19:16:05"/>
    <n v="20"/>
    <n v="7"/>
    <n v="2024"/>
    <d v="2024-07-20T00:00:00"/>
    <s v="Credit Card"/>
    <s v="F"/>
    <n v="5"/>
    <s v="Hyderabad"/>
    <x v="420"/>
  </r>
  <r>
    <n v="1282"/>
    <s v="SuperSave Central"/>
    <d v="2023-10-18T00:00:00"/>
    <s v="Snacks &amp; Candy"/>
    <s v="Yogurt"/>
    <n v="5"/>
    <n v="682.26"/>
    <n v="3411.3"/>
    <n v="341.13"/>
    <n v="3070.17"/>
    <n v="410"/>
    <s v="08:34:19"/>
    <n v="18"/>
    <n v="10"/>
    <n v="2023"/>
    <d v="2023-10-18T00:00:00"/>
    <s v="Credit Card"/>
    <s v="M"/>
    <n v="1"/>
    <s v="Hyderabad"/>
    <x v="421"/>
  </r>
  <r>
    <n v="5820"/>
    <s v="MegaMart Westside"/>
    <d v="2024-01-26T00:00:00"/>
    <s v="Beverages"/>
    <s v="Onions"/>
    <n v="4"/>
    <n v="910.51"/>
    <n v="3642.04"/>
    <n v="364.37"/>
    <n v="3277.67"/>
    <n v="289"/>
    <s v="14:49:38"/>
    <n v="26"/>
    <n v="1"/>
    <n v="2024"/>
    <d v="2024-01-26T00:00:00"/>
    <s v="Debit Card"/>
    <s v="M"/>
    <n v="4"/>
    <s v="Mumbai"/>
    <x v="422"/>
  </r>
  <r>
    <n v="7625"/>
    <s v="QuickStop Market"/>
    <d v="2025-01-25T00:00:00"/>
    <s v="Meat &amp; Seafood"/>
    <s v="Bananas"/>
    <n v="3"/>
    <n v="1519.73"/>
    <n v="4559.1899999999996"/>
    <n v="351.09"/>
    <n v="4208.1000000000004"/>
    <n v="15"/>
    <s v="12:01:41"/>
    <n v="25"/>
    <n v="1"/>
    <n v="2025"/>
    <d v="2025-01-25T00:00:00"/>
    <s v="UPI"/>
    <s v="M"/>
    <n v="3"/>
    <s v="Hyderabad"/>
    <x v="423"/>
  </r>
  <r>
    <n v="4986"/>
    <s v="City Fresh Store"/>
    <d v="2024-03-31T00:00:00"/>
    <s v="Personal Care"/>
    <s v="Orange Juice"/>
    <n v="5"/>
    <n v="2488.34"/>
    <n v="12441.7"/>
    <n v="165.17"/>
    <n v="12276.53"/>
    <n v="498"/>
    <s v="09:45:28"/>
    <n v="31"/>
    <n v="3"/>
    <n v="2024"/>
    <d v="2024-03-31T00:00:00"/>
    <s v="Cash"/>
    <s v="M"/>
    <n v="4"/>
    <s v="Kolkata"/>
    <x v="424"/>
  </r>
  <r>
    <n v="7046"/>
    <s v="FamilyFood Express"/>
    <d v="2024-08-08T00:00:00"/>
    <s v="Frozen Foods"/>
    <s v="Onions"/>
    <n v="1"/>
    <n v="1921.45"/>
    <n v="1921.45"/>
    <n v="364.37"/>
    <n v="1557.08"/>
    <n v="485"/>
    <s v="09:29:24"/>
    <n v="8"/>
    <n v="8"/>
    <n v="2024"/>
    <d v="2024-08-08T00:00:00"/>
    <s v="Cash"/>
    <s v="F"/>
    <n v="5"/>
    <s v="Chennai"/>
    <x v="425"/>
  </r>
  <r>
    <n v="9698"/>
    <s v="Corner Grocery"/>
    <d v="2024-04-30T00:00:00"/>
    <s v="Canned Goods"/>
    <s v="Apples"/>
    <n v="2"/>
    <n v="651.54999999999995"/>
    <n v="1303.0999999999999"/>
    <n v="92.13"/>
    <n v="1210.97"/>
    <n v="162"/>
    <s v="08:50:31"/>
    <n v="30"/>
    <n v="4"/>
    <n v="2024"/>
    <d v="2024-04-30T00:00:00"/>
    <s v="UPI"/>
    <s v="M"/>
    <n v="5"/>
    <s v="Ahmedabad"/>
    <x v="426"/>
  </r>
  <r>
    <n v="7971"/>
    <s v="MegaMart Westside"/>
    <d v="2025-03-08T00:00:00"/>
    <s v="Household Items"/>
    <s v="Eggs"/>
    <n v="5"/>
    <n v="2364.67"/>
    <n v="11823.35"/>
    <n v="185.92"/>
    <n v="11637.43"/>
    <n v="428"/>
    <s v="14:47:23"/>
    <n v="8"/>
    <n v="3"/>
    <n v="2025"/>
    <d v="2025-03-08T00:00:00"/>
    <s v="Cash"/>
    <s v="M"/>
    <n v="5"/>
    <s v="Delhi"/>
    <x v="427"/>
  </r>
  <r>
    <n v="6419"/>
    <s v="City Fresh Store"/>
    <d v="2024-05-06T00:00:00"/>
    <s v="Produce"/>
    <s v="Bread"/>
    <n v="1"/>
    <n v="642.41999999999996"/>
    <n v="642.41999999999996"/>
    <n v="241.53"/>
    <n v="400.89"/>
    <n v="112"/>
    <s v="00:37:41"/>
    <n v="6"/>
    <n v="5"/>
    <n v="2024"/>
    <d v="2024-05-06T00:00:00"/>
    <s v="UPI"/>
    <s v="F"/>
    <n v="4"/>
    <s v="Ahmedabad"/>
    <x v="428"/>
  </r>
  <r>
    <n v="8434"/>
    <s v="MegaMart Westside"/>
    <d v="2024-03-04T00:00:00"/>
    <s v="Household Items"/>
    <s v="Yogurt"/>
    <n v="2"/>
    <n v="902.21"/>
    <n v="1804.42"/>
    <n v="90.47"/>
    <n v="1713.95"/>
    <n v="90"/>
    <s v="16:58:57"/>
    <n v="4"/>
    <n v="3"/>
    <n v="2024"/>
    <d v="2024-03-04T00:00:00"/>
    <s v="Cash"/>
    <s v="M"/>
    <n v="5"/>
    <s v="Chennai"/>
    <x v="429"/>
  </r>
  <r>
    <n v="6023"/>
    <s v="SuperSave Central"/>
    <d v="2024-02-18T00:00:00"/>
    <s v="Dairy"/>
    <s v="Carrots"/>
    <n v="3"/>
    <n v="2394.5500000000002"/>
    <n v="7183.65"/>
    <n v="116.2"/>
    <n v="7067.45"/>
    <n v="191"/>
    <s v="17:18:32"/>
    <n v="18"/>
    <n v="2"/>
    <n v="2024"/>
    <d v="2024-02-18T00:00:00"/>
    <s v="Credit Card"/>
    <s v="M"/>
    <n v="1"/>
    <s v="Jaipur"/>
    <x v="430"/>
  </r>
  <r>
    <n v="4777"/>
    <s v="QuickStop Market"/>
    <d v="2023-11-08T00:00:00"/>
    <s v="Canned Goods"/>
    <s v="Eggs"/>
    <n v="2"/>
    <n v="1845.09"/>
    <n v="3690.18"/>
    <n v="0"/>
    <n v="3690.18"/>
    <n v="223"/>
    <s v="15:27:50"/>
    <n v="8"/>
    <n v="11"/>
    <n v="2023"/>
    <d v="2023-11-08T00:00:00"/>
    <s v="Cash"/>
    <s v="F"/>
    <n v="5"/>
    <s v="Kolkata"/>
    <x v="431"/>
  </r>
  <r>
    <n v="4155"/>
    <s v="MegaMart Westside"/>
    <d v="2024-04-08T00:00:00"/>
    <s v="Meat &amp; Seafood"/>
    <s v="Onions"/>
    <n v="5"/>
    <n v="1976.23"/>
    <n v="9881.15"/>
    <n v="988.53"/>
    <n v="8892.6200000000008"/>
    <n v="114"/>
    <s v="21:49:31"/>
    <n v="8"/>
    <n v="4"/>
    <n v="2024"/>
    <d v="2024-04-08T00:00:00"/>
    <s v="UPI"/>
    <s v="M"/>
    <n v="2"/>
    <s v="Jaipur"/>
    <x v="432"/>
  </r>
  <r>
    <n v="2958"/>
    <s v="QuickStop Market"/>
    <d v="2025-03-06T00:00:00"/>
    <s v="Frozen Foods"/>
    <s v="Eggs"/>
    <n v="2"/>
    <n v="1836.79"/>
    <n v="3673.58"/>
    <n v="93.79"/>
    <n v="3579.79"/>
    <n v="485"/>
    <s v="03:32:13"/>
    <n v="6"/>
    <n v="3"/>
    <n v="2025"/>
    <d v="2025-03-06T00:00:00"/>
    <s v="UPI"/>
    <s v="F"/>
    <n v="4"/>
    <s v="Chennai"/>
    <x v="433"/>
  </r>
  <r>
    <n v="9779"/>
    <s v="MegaMart Westside"/>
    <d v="2025-03-21T00:00:00"/>
    <s v="Household Items"/>
    <s v="Ground Beef"/>
    <n v="5"/>
    <n v="332.83"/>
    <n v="1664.15"/>
    <n v="249.83"/>
    <n v="1414.32"/>
    <n v="254"/>
    <s v="22:57:41"/>
    <n v="21"/>
    <n v="3"/>
    <n v="2025"/>
    <d v="2025-03-21T00:00:00"/>
    <s v="UPI"/>
    <s v="F"/>
    <n v="2"/>
    <s v="Mumbai"/>
    <x v="434"/>
  </r>
  <r>
    <n v="4033"/>
    <s v="GreenGrocer Plaza"/>
    <d v="2024-01-02T00:00:00"/>
    <s v="Bakery"/>
    <s v="Orange Juice"/>
    <n v="3"/>
    <n v="486.38"/>
    <n v="1459.14"/>
    <n v="0"/>
    <n v="1459.14"/>
    <n v="453"/>
    <s v="19:09:26"/>
    <n v="2"/>
    <n v="1"/>
    <n v="2024"/>
    <d v="2024-01-02T00:00:00"/>
    <s v="UPI"/>
    <s v="F"/>
    <n v="5"/>
    <s v="Delhi"/>
    <x v="435"/>
  </r>
  <r>
    <n v="4545"/>
    <s v="MegaMart Westside"/>
    <d v="2025-03-02T00:00:00"/>
    <s v="Beverages"/>
    <s v="Bananas"/>
    <n v="3"/>
    <n v="586.80999999999995"/>
    <n v="1760.43"/>
    <n v="263.94"/>
    <n v="1496.49"/>
    <n v="354"/>
    <s v="05:03:24"/>
    <n v="2"/>
    <n v="3"/>
    <n v="2025"/>
    <d v="2025-03-02T00:00:00"/>
    <s v="UPI"/>
    <s v="F"/>
    <n v="1"/>
    <s v="Ahmedabad"/>
    <x v="436"/>
  </r>
  <r>
    <n v="8933"/>
    <s v="QuickStop Market"/>
    <d v="2024-03-08T00:00:00"/>
    <s v="Dairy"/>
    <s v="Bananas"/>
    <n v="1"/>
    <n v="1010.94"/>
    <n v="1010.94"/>
    <n v="202.52"/>
    <n v="808.42"/>
    <n v="375"/>
    <s v="10:37:04"/>
    <n v="8"/>
    <n v="3"/>
    <n v="2024"/>
    <d v="2024-03-08T00:00:00"/>
    <s v="Debit Card"/>
    <s v="M"/>
    <n v="3"/>
    <s v="Bangalore"/>
    <x v="437"/>
  </r>
  <r>
    <n v="9595"/>
    <s v="Corner Grocery"/>
    <d v="2024-11-12T00:00:00"/>
    <s v="Beverages"/>
    <s v="Tomatoes"/>
    <n v="3"/>
    <n v="1396.06"/>
    <n v="4188.18"/>
    <n v="298.8"/>
    <n v="3889.38"/>
    <n v="51"/>
    <s v="08:40:39"/>
    <n v="12"/>
    <n v="11"/>
    <n v="2024"/>
    <d v="2024-11-12T00:00:00"/>
    <s v="Debit Card"/>
    <s v="F"/>
    <n v="5"/>
    <s v="Lucknow"/>
    <x v="438"/>
  </r>
  <r>
    <n v="5636"/>
    <s v="FamilyFood Express"/>
    <d v="2023-10-24T00:00:00"/>
    <s v="Meat &amp; Seafood"/>
    <s v="Salmon"/>
    <n v="1"/>
    <n v="2006.11"/>
    <n v="2006.11"/>
    <n v="188.41"/>
    <n v="1817.7"/>
    <n v="17"/>
    <s v="14:00:05"/>
    <n v="24"/>
    <n v="10"/>
    <n v="2023"/>
    <d v="2023-10-24T00:00:00"/>
    <s v="Cash"/>
    <s v="M"/>
    <n v="1"/>
    <s v="Ahmedabad"/>
    <x v="439"/>
  </r>
  <r>
    <n v="4180"/>
    <s v="GreenGrocer Plaza"/>
    <d v="2024-03-24T00:00:00"/>
    <s v="Dairy"/>
    <s v="Cereal"/>
    <n v="2"/>
    <n v="2219.42"/>
    <n v="4438.84"/>
    <n v="395.91"/>
    <n v="4042.93"/>
    <n v="82"/>
    <s v="18:54:21"/>
    <n v="24"/>
    <n v="3"/>
    <n v="2024"/>
    <d v="2024-03-24T00:00:00"/>
    <s v="UPI"/>
    <s v="M"/>
    <n v="4"/>
    <s v="Mumbai"/>
    <x v="440"/>
  </r>
  <r>
    <n v="4727"/>
    <s v="GreenGrocer Plaza"/>
    <d v="2024-05-13T00:00:00"/>
    <s v="Canned Goods"/>
    <s v="Potatoes"/>
    <n v="1"/>
    <n v="1120.5"/>
    <n v="1120.5"/>
    <n v="378.48"/>
    <n v="742.02"/>
    <n v="334"/>
    <s v="00:36:38"/>
    <n v="13"/>
    <n v="5"/>
    <n v="2024"/>
    <d v="2024-05-13T00:00:00"/>
    <s v="Cash"/>
    <s v="M"/>
    <n v="2"/>
    <s v="Delhi"/>
    <x v="441"/>
  </r>
  <r>
    <n v="3939"/>
    <s v="SuperSave Central"/>
    <d v="2024-03-28T00:00:00"/>
    <s v="Produce"/>
    <s v="Chicken Breast"/>
    <n v="3"/>
    <n v="576.85"/>
    <n v="1730.55"/>
    <n v="0"/>
    <n v="1730.55"/>
    <n v="97"/>
    <s v="05:05:11"/>
    <n v="28"/>
    <n v="3"/>
    <n v="2024"/>
    <d v="2024-03-28T00:00:00"/>
    <s v="UPI"/>
    <s v="M"/>
    <n v="2"/>
    <s v="Lucknow"/>
    <x v="442"/>
  </r>
  <r>
    <n v="1231"/>
    <s v="ValuePlus Market"/>
    <d v="2025-02-06T00:00:00"/>
    <s v="Personal Care"/>
    <s v="Pasta"/>
    <n v="3"/>
    <n v="797.63"/>
    <n v="2392.89"/>
    <n v="239.04"/>
    <n v="2153.85"/>
    <n v="49"/>
    <s v="08:58:36"/>
    <n v="6"/>
    <n v="2"/>
    <n v="2025"/>
    <d v="2025-02-06T00:00:00"/>
    <s v="UPI"/>
    <s v="M"/>
    <n v="2"/>
    <s v="Kolkata"/>
    <x v="443"/>
  </r>
  <r>
    <n v="9751"/>
    <s v="ValuePlus Market"/>
    <d v="2023-11-13T00:00:00"/>
    <s v="Beverages"/>
    <s v="Eggs"/>
    <n v="1"/>
    <n v="950.35"/>
    <n v="950.35"/>
    <n v="142.76"/>
    <n v="807.59"/>
    <n v="218"/>
    <s v="08:21:49"/>
    <n v="13"/>
    <n v="11"/>
    <n v="2023"/>
    <d v="2023-11-13T00:00:00"/>
    <s v="Debit Card"/>
    <s v="M"/>
    <n v="4"/>
    <s v="Chennai"/>
    <x v="444"/>
  </r>
  <r>
    <n v="5494"/>
    <s v="City Fresh Store"/>
    <d v="2023-09-11T00:00:00"/>
    <s v="Bakery"/>
    <s v="Chicken Breast"/>
    <n v="1"/>
    <n v="580.16999999999996"/>
    <n v="580.16999999999996"/>
    <n v="239.87"/>
    <n v="340.3"/>
    <n v="326"/>
    <s v="18:21:02"/>
    <n v="11"/>
    <n v="9"/>
    <n v="2023"/>
    <d v="2023-09-11T00:00:00"/>
    <s v="Debit Card"/>
    <s v="M"/>
    <n v="1"/>
    <s v="Chennai"/>
    <x v="445"/>
  </r>
  <r>
    <n v="1893"/>
    <s v="GreenGrocer Plaza"/>
    <d v="2024-10-09T00:00:00"/>
    <s v="Frozen Foods"/>
    <s v="Tomatoes"/>
    <n v="4"/>
    <n v="1259.1099999999999"/>
    <n v="5036.4399999999996"/>
    <n v="296.31"/>
    <n v="4740.13"/>
    <n v="338"/>
    <s v="02:45:42"/>
    <n v="9"/>
    <n v="10"/>
    <n v="2024"/>
    <d v="2024-10-09T00:00:00"/>
    <s v="Credit Card"/>
    <s v="M"/>
    <n v="4"/>
    <s v="Kolkata"/>
    <x v="446"/>
  </r>
  <r>
    <n v="5786"/>
    <s v="Corner Grocery"/>
    <d v="2025-01-29T00:00:00"/>
    <s v="Meat &amp; Seafood"/>
    <s v="Orange Juice"/>
    <n v="4"/>
    <n v="971.1"/>
    <n v="3884.4"/>
    <n v="582.66"/>
    <n v="3301.74"/>
    <n v="228"/>
    <s v="16:55:35"/>
    <n v="29"/>
    <n v="1"/>
    <n v="2025"/>
    <d v="2025-01-29T00:00:00"/>
    <s v="Debit Card"/>
    <s v="M"/>
    <n v="2"/>
    <s v="Lucknow"/>
    <x v="447"/>
  </r>
  <r>
    <n v="3068"/>
    <s v="City Fresh Store"/>
    <d v="2024-12-14T00:00:00"/>
    <s v="Beverages"/>
    <s v="Pasta"/>
    <n v="2"/>
    <n v="2097.41"/>
    <n v="4194.82"/>
    <n v="839.13"/>
    <n v="3355.69"/>
    <n v="288"/>
    <s v="21:29:29"/>
    <n v="14"/>
    <n v="12"/>
    <n v="2024"/>
    <d v="2024-12-14T00:00:00"/>
    <s v="Credit Card"/>
    <s v="M"/>
    <n v="5"/>
    <s v="Jaipur"/>
    <x v="448"/>
  </r>
  <r>
    <n v="9042"/>
    <s v="GreenGrocer Plaza"/>
    <d v="2023-10-25T00:00:00"/>
    <s v="Dairy"/>
    <s v="Orange Juice"/>
    <n v="5"/>
    <n v="1079"/>
    <n v="5395"/>
    <n v="102.92"/>
    <n v="5292.08"/>
    <n v="387"/>
    <s v="07:04:30"/>
    <n v="25"/>
    <n v="10"/>
    <n v="2023"/>
    <d v="2023-10-25T00:00:00"/>
    <s v="Credit Card"/>
    <s v="F"/>
    <n v="3"/>
    <s v="Delhi"/>
    <x v="449"/>
  </r>
  <r>
    <n v="1200"/>
    <s v="Corner Grocery"/>
    <d v="2024-10-25T00:00:00"/>
    <s v="Personal Care"/>
    <s v="Cheese"/>
    <n v="5"/>
    <n v="1735.53"/>
    <n v="8677.65"/>
    <n v="375.99"/>
    <n v="8301.66"/>
    <n v="479"/>
    <s v="14:10:09"/>
    <n v="25"/>
    <n v="10"/>
    <n v="2024"/>
    <d v="2024-10-25T00:00:00"/>
    <s v="Credit Card"/>
    <s v="F"/>
    <n v="4"/>
    <s v="Kolkata"/>
    <x v="450"/>
  </r>
  <r>
    <n v="5658"/>
    <s v="City Fresh Store"/>
    <d v="2024-08-05T00:00:00"/>
    <s v="Frozen Foods"/>
    <s v="Bread"/>
    <n v="4"/>
    <n v="2255.11"/>
    <n v="9020.44"/>
    <n v="272.24"/>
    <n v="8748.2000000000007"/>
    <n v="365"/>
    <s v="18:07:33"/>
    <n v="5"/>
    <n v="8"/>
    <n v="2024"/>
    <d v="2024-08-05T00:00:00"/>
    <s v="Credit Card"/>
    <s v="F"/>
    <n v="4"/>
    <s v="Lucknow"/>
    <x v="451"/>
  </r>
  <r>
    <n v="8843"/>
    <s v="ValuePlus Market"/>
    <d v="2024-07-14T00:00:00"/>
    <s v="Household Items"/>
    <s v="Eggs"/>
    <n v="1"/>
    <n v="2367.16"/>
    <n v="2367.16"/>
    <n v="473.1"/>
    <n v="1894.06"/>
    <n v="229"/>
    <s v="20:13:54"/>
    <n v="14"/>
    <n v="7"/>
    <n v="2024"/>
    <d v="2024-07-14T00:00:00"/>
    <s v="Credit Card"/>
    <s v="M"/>
    <n v="1"/>
    <s v="Hyderabad"/>
    <x v="452"/>
  </r>
  <r>
    <n v="6582"/>
    <s v="FamilyFood Express"/>
    <d v="2023-12-28T00:00:00"/>
    <s v="Bakery"/>
    <s v="Eggs"/>
    <n v="1"/>
    <n v="1101.4100000000001"/>
    <n v="1101.4100000000001"/>
    <n v="219.95"/>
    <n v="881.46"/>
    <n v="349"/>
    <s v="14:52:04"/>
    <n v="28"/>
    <n v="12"/>
    <n v="2023"/>
    <d v="2023-12-28T00:00:00"/>
    <s v="Cash"/>
    <s v="F"/>
    <n v="1"/>
    <s v="Ahmedabad"/>
    <x v="453"/>
  </r>
  <r>
    <n v="1841"/>
    <s v="SuperSave Central"/>
    <d v="2024-02-19T00:00:00"/>
    <s v="Household Items"/>
    <s v="Pasta"/>
    <n v="3"/>
    <n v="2274.1999999999998"/>
    <n v="6822.6"/>
    <n v="211.65"/>
    <n v="6610.95"/>
    <n v="468"/>
    <s v="08:29:00"/>
    <n v="19"/>
    <n v="2"/>
    <n v="2024"/>
    <d v="2024-02-19T00:00:00"/>
    <s v="Debit Card"/>
    <s v="F"/>
    <n v="4"/>
    <s v="Mumbai"/>
    <x v="454"/>
  </r>
  <r>
    <n v="8827"/>
    <s v="Corner Grocery"/>
    <d v="2023-11-03T00:00:00"/>
    <s v="Personal Care"/>
    <s v="Cereal"/>
    <n v="3"/>
    <n v="1332.98"/>
    <n v="3998.94"/>
    <n v="0"/>
    <n v="3998.94"/>
    <n v="469"/>
    <s v="01:31:56"/>
    <n v="3"/>
    <n v="11"/>
    <n v="2023"/>
    <d v="2023-11-03T00:00:00"/>
    <s v="Credit Card"/>
    <s v="F"/>
    <n v="2"/>
    <s v="Kolkata"/>
    <x v="455"/>
  </r>
  <r>
    <n v="2070"/>
    <s v="ValuePlus Market"/>
    <d v="2024-06-13T00:00:00"/>
    <s v="Snacks &amp; Candy"/>
    <s v="Chicken Breast"/>
    <n v="4"/>
    <n v="442.39"/>
    <n v="1769.56"/>
    <n v="269.75"/>
    <n v="1499.81"/>
    <n v="290"/>
    <s v="23:32:04"/>
    <n v="13"/>
    <n v="6"/>
    <n v="2024"/>
    <d v="2024-06-13T00:00:00"/>
    <s v="UPI"/>
    <s v="M"/>
    <n v="3"/>
    <s v="Mumbai"/>
    <x v="456"/>
  </r>
  <r>
    <n v="9056"/>
    <s v="GreenGrocer Plaza"/>
    <d v="2023-10-03T00:00:00"/>
    <s v="Frozen Foods"/>
    <s v="Onions"/>
    <n v="3"/>
    <n v="2195.35"/>
    <n v="6586.05"/>
    <n v="0"/>
    <n v="6586.05"/>
    <n v="135"/>
    <s v="21:15:36"/>
    <n v="3"/>
    <n v="10"/>
    <n v="2023"/>
    <d v="2023-10-03T00:00:00"/>
    <s v="Debit Card"/>
    <s v="M"/>
    <n v="1"/>
    <s v="Jaipur"/>
    <x v="457"/>
  </r>
  <r>
    <n v="1878"/>
    <s v="City Fresh Store"/>
    <d v="2023-12-02T00:00:00"/>
    <s v="Household Items"/>
    <s v="Potatoes"/>
    <n v="1"/>
    <n v="496.34"/>
    <n v="496.34"/>
    <n v="284.69"/>
    <n v="211.65"/>
    <n v="206"/>
    <s v="00:08:50"/>
    <n v="2"/>
    <n v="12"/>
    <n v="2023"/>
    <d v="2023-12-02T00:00:00"/>
    <s v="Debit Card"/>
    <s v="M"/>
    <n v="2"/>
    <s v="Jaipur"/>
    <x v="458"/>
  </r>
  <r>
    <n v="3444"/>
    <s v="Corner Grocery"/>
    <d v="2025-04-28T00:00:00"/>
    <s v="Produce"/>
    <s v="Tomatoes"/>
    <n v="3"/>
    <n v="1743.83"/>
    <n v="5231.49"/>
    <n v="784.35"/>
    <n v="4447.1400000000003"/>
    <n v="25"/>
    <s v="18:51:52"/>
    <n v="28"/>
    <n v="4"/>
    <n v="2025"/>
    <d v="2025-04-28T00:00:00"/>
    <s v="Credit Card"/>
    <s v="M"/>
    <n v="5"/>
    <s v="Hyderabad"/>
    <x v="459"/>
  </r>
  <r>
    <n v="5978"/>
    <s v="MegaMart Westside"/>
    <d v="2023-10-12T00:00:00"/>
    <s v="Produce"/>
    <s v="Cereal"/>
    <n v="3"/>
    <n v="830.83"/>
    <n v="2492.4899999999998"/>
    <n v="0"/>
    <n v="2492.4899999999998"/>
    <n v="431"/>
    <s v="21:42:33"/>
    <n v="12"/>
    <n v="10"/>
    <n v="2023"/>
    <d v="2023-10-12T00:00:00"/>
    <s v="Cash"/>
    <s v="F"/>
    <n v="1"/>
    <s v="Chennai"/>
    <x v="460"/>
  </r>
  <r>
    <n v="5066"/>
    <s v="GreenGrocer Plaza"/>
    <d v="2023-11-07T00:00:00"/>
    <s v="Bakery"/>
    <s v="Eggs"/>
    <n v="3"/>
    <n v="2426.92"/>
    <n v="7280.76"/>
    <n v="1092.28"/>
    <n v="6188.48"/>
    <n v="226"/>
    <s v="03:04:20"/>
    <n v="7"/>
    <n v="11"/>
    <n v="2023"/>
    <d v="2023-11-07T00:00:00"/>
    <s v="Credit Card"/>
    <s v="F"/>
    <n v="2"/>
    <s v="Kolkata"/>
    <x v="461"/>
  </r>
  <r>
    <n v="7818"/>
    <s v="Corner Grocery"/>
    <d v="2024-11-19T00:00:00"/>
    <s v="Household Items"/>
    <s v="Bread"/>
    <n v="2"/>
    <n v="1145.4000000000001"/>
    <n v="2290.8000000000002"/>
    <n v="0"/>
    <n v="2290.8000000000002"/>
    <n v="467"/>
    <s v="11:24:17"/>
    <n v="19"/>
    <n v="11"/>
    <n v="2024"/>
    <d v="2024-11-19T00:00:00"/>
    <s v="Cash"/>
    <s v="F"/>
    <n v="2"/>
    <s v="Delhi"/>
    <x v="462"/>
  </r>
  <r>
    <n v="4697"/>
    <s v="City Fresh Store"/>
    <d v="2025-03-31T00:00:00"/>
    <s v="Personal Care"/>
    <s v="Orange Juice"/>
    <n v="1"/>
    <n v="1322.19"/>
    <n v="1322.19"/>
    <n v="198.37"/>
    <n v="1123.82"/>
    <n v="81"/>
    <s v="20:32:50"/>
    <n v="31"/>
    <n v="3"/>
    <n v="2025"/>
    <d v="2025-03-31T00:00:00"/>
    <s v="UPI"/>
    <s v="F"/>
    <n v="3"/>
    <s v="Chennai"/>
    <x v="463"/>
  </r>
  <r>
    <n v="9561"/>
    <s v="ValuePlus Market"/>
    <d v="2024-05-28T00:00:00"/>
    <s v="Snacks &amp; Candy"/>
    <s v="Eggs"/>
    <n v="5"/>
    <n v="2198.67"/>
    <n v="10993.35"/>
    <n v="2198.67"/>
    <n v="8794.68"/>
    <n v="14"/>
    <s v="17:40:00"/>
    <n v="28"/>
    <n v="5"/>
    <n v="2024"/>
    <d v="2024-05-28T00:00:00"/>
    <s v="Debit Card"/>
    <s v="M"/>
    <n v="3"/>
    <s v="Lucknow"/>
    <x v="464"/>
  </r>
  <r>
    <n v="8381"/>
    <s v="FamilyFood Express"/>
    <d v="2025-07-12T00:00:00"/>
    <s v="Produce"/>
    <s v="Ground Beef"/>
    <n v="1"/>
    <n v="1181.0899999999999"/>
    <n v="1181.0899999999999"/>
    <n v="0"/>
    <n v="1181.0899999999999"/>
    <n v="470"/>
    <s v="18:44:21"/>
    <n v="12"/>
    <n v="7"/>
    <n v="2025"/>
    <d v="2025-07-12T00:00:00"/>
    <s v="UPI"/>
    <s v="M"/>
    <n v="5"/>
    <s v="Chennai"/>
    <x v="465"/>
  </r>
  <r>
    <n v="8253"/>
    <s v="FamilyFood Express"/>
    <d v="2024-03-24T00:00:00"/>
    <s v="Frozen Foods"/>
    <s v="Orange Juice"/>
    <n v="4"/>
    <n v="1298.1199999999999"/>
    <n v="5192.4799999999996"/>
    <n v="0"/>
    <n v="5192.4799999999996"/>
    <n v="325"/>
    <s v="20:40:38"/>
    <n v="24"/>
    <n v="3"/>
    <n v="2024"/>
    <d v="2024-03-24T00:00:00"/>
    <s v="Cash"/>
    <s v="M"/>
    <n v="2"/>
    <s v="Delhi"/>
    <x v="466"/>
  </r>
  <r>
    <n v="8025"/>
    <s v="FreshMart Downtown"/>
    <d v="2024-03-31T00:00:00"/>
    <s v="Bakery"/>
    <s v="Orange Juice"/>
    <n v="4"/>
    <n v="1512.26"/>
    <n v="6049.04"/>
    <n v="266.43"/>
    <n v="5782.61"/>
    <n v="90"/>
    <s v="10:40:31"/>
    <n v="31"/>
    <n v="3"/>
    <n v="2024"/>
    <d v="2024-03-31T00:00:00"/>
    <s v="Cash"/>
    <s v="F"/>
    <n v="2"/>
    <s v="Ahmedabad"/>
    <x v="467"/>
  </r>
  <r>
    <n v="1986"/>
    <s v="MegaMart Westside"/>
    <d v="2024-11-22T00:00:00"/>
    <s v="Meat &amp; Seafood"/>
    <s v="Pasta"/>
    <n v="1"/>
    <n v="768.58"/>
    <n v="768.58"/>
    <n v="153.55000000000001"/>
    <n v="615.03"/>
    <n v="197"/>
    <s v="05:12:14"/>
    <n v="22"/>
    <n v="11"/>
    <n v="2024"/>
    <d v="2024-11-22T00:00:00"/>
    <s v="UPI"/>
    <s v="M"/>
    <n v="3"/>
    <s v="Jaipur"/>
    <x v="468"/>
  </r>
  <r>
    <n v="2625"/>
    <s v="FamilyFood Express"/>
    <d v="2025-03-21T00:00:00"/>
    <s v="Bakery"/>
    <s v="Ground Beef"/>
    <n v="2"/>
    <n v="729.57"/>
    <n v="1459.14"/>
    <n v="0"/>
    <n v="1459.14"/>
    <n v="209"/>
    <s v="04:51:30"/>
    <n v="21"/>
    <n v="3"/>
    <n v="2025"/>
    <d v="2025-03-21T00:00:00"/>
    <s v="Cash"/>
    <s v="M"/>
    <n v="1"/>
    <s v="Ahmedabad"/>
    <x v="469"/>
  </r>
  <r>
    <n v="4404"/>
    <s v="FreshMart Downtown"/>
    <d v="2024-12-04T00:00:00"/>
    <s v="Beverages"/>
    <s v="Eggs"/>
    <n v="2"/>
    <n v="1528.86"/>
    <n v="3057.72"/>
    <n v="458.99"/>
    <n v="2598.73"/>
    <n v="4"/>
    <s v="19:59:34"/>
    <n v="4"/>
    <n v="12"/>
    <n v="2024"/>
    <d v="2024-12-04T00:00:00"/>
    <s v="UPI"/>
    <s v="F"/>
    <n v="1"/>
    <s v="Kolkata"/>
    <x v="470"/>
  </r>
  <r>
    <n v="4457"/>
    <s v="QuickStop Market"/>
    <d v="2024-02-28T00:00:00"/>
    <s v="Health &amp; Wellness"/>
    <s v="Pasta"/>
    <n v="4"/>
    <n v="2237.6799999999998"/>
    <n v="8950.7199999999993"/>
    <n v="894.74"/>
    <n v="8055.98"/>
    <n v="436"/>
    <s v="17:34:57"/>
    <n v="28"/>
    <n v="2"/>
    <n v="2024"/>
    <d v="2024-02-28T00:00:00"/>
    <s v="Debit Card"/>
    <s v="F"/>
    <n v="4"/>
    <s v="Chennai"/>
    <x v="471"/>
  </r>
  <r>
    <n v="2330"/>
    <s v="QuickStop Market"/>
    <d v="2023-12-06T00:00:00"/>
    <s v="Bakery"/>
    <s v="Salmon"/>
    <n v="3"/>
    <n v="1712.29"/>
    <n v="5136.87"/>
    <n v="117.03"/>
    <n v="5019.84"/>
    <n v="422"/>
    <s v="20:35:45"/>
    <n v="6"/>
    <n v="12"/>
    <n v="2023"/>
    <d v="2023-12-06T00:00:00"/>
    <s v="UPI"/>
    <s v="M"/>
    <n v="3"/>
    <s v="Kolkata"/>
    <x v="472"/>
  </r>
  <r>
    <n v="4929"/>
    <s v="ValuePlus Market"/>
    <d v="2023-12-20T00:00:00"/>
    <s v="Health &amp; Wellness"/>
    <s v="Orange Juice"/>
    <n v="5"/>
    <n v="1640.08"/>
    <n v="8200.4"/>
    <n v="1230.06"/>
    <n v="6970.34"/>
    <n v="311"/>
    <s v="20:33:01"/>
    <n v="20"/>
    <n v="12"/>
    <n v="2023"/>
    <d v="2023-12-20T00:00:00"/>
    <s v="Debit Card"/>
    <s v="M"/>
    <n v="4"/>
    <s v="Ahmedabad"/>
    <x v="473"/>
  </r>
  <r>
    <n v="2229"/>
    <s v="GreenGrocer Plaza"/>
    <d v="2023-12-06T00:00:00"/>
    <s v="Beverages"/>
    <s v="Bread"/>
    <n v="3"/>
    <n v="2460.9499999999998"/>
    <n v="7382.85"/>
    <n v="1107.22"/>
    <n v="6275.63"/>
    <n v="327"/>
    <s v="19:55:22"/>
    <n v="6"/>
    <n v="12"/>
    <n v="2023"/>
    <d v="2023-12-06T00:00:00"/>
    <s v="UPI"/>
    <s v="M"/>
    <n v="3"/>
    <s v="Jaipur"/>
    <x v="474"/>
  </r>
  <r>
    <n v="1043"/>
    <s v="QuickStop Market"/>
    <d v="2024-06-19T00:00:00"/>
    <s v="Health &amp; Wellness"/>
    <s v="Rice"/>
    <n v="2"/>
    <n v="443.22"/>
    <n v="886.44"/>
    <n v="350.26"/>
    <n v="536.17999999999995"/>
    <n v="391"/>
    <s v="16:50:01"/>
    <n v="19"/>
    <n v="6"/>
    <n v="2024"/>
    <d v="2024-06-19T00:00:00"/>
    <s v="Cash"/>
    <s v="M"/>
    <n v="5"/>
    <s v="Bangalore"/>
    <x v="475"/>
  </r>
  <r>
    <n v="8381"/>
    <s v="Corner Grocery"/>
    <d v="2025-01-23T00:00:00"/>
    <s v="Health &amp; Wellness"/>
    <s v="Cereal"/>
    <n v="2"/>
    <n v="1818.53"/>
    <n v="3637.06"/>
    <n v="545.30999999999995"/>
    <n v="3091.75"/>
    <n v="335"/>
    <s v="17:06:19"/>
    <n v="23"/>
    <n v="1"/>
    <n v="2025"/>
    <d v="2025-01-23T00:00:00"/>
    <s v="UPI"/>
    <s v="M"/>
    <n v="2"/>
    <s v="Hyderabad"/>
    <x v="476"/>
  </r>
  <r>
    <n v="8699"/>
    <s v="QuickStop Market"/>
    <d v="2024-03-20T00:00:00"/>
    <s v="Snacks &amp; Candy"/>
    <s v="Tomatoes"/>
    <n v="4"/>
    <n v="1855.88"/>
    <n v="7423.52"/>
    <n v="1113.8599999999999"/>
    <n v="6309.66"/>
    <n v="298"/>
    <s v="05:27:19"/>
    <n v="20"/>
    <n v="3"/>
    <n v="2024"/>
    <d v="2024-03-20T00:00:00"/>
    <s v="Cash"/>
    <s v="M"/>
    <n v="5"/>
    <s v="Kolkata"/>
    <x v="477"/>
  </r>
  <r>
    <n v="1534"/>
    <s v="FamilyFood Express"/>
    <d v="2024-02-02T00:00:00"/>
    <s v="Health &amp; Wellness"/>
    <s v="Onions"/>
    <n v="4"/>
    <n v="2264.2399999999998"/>
    <n v="9056.9599999999991"/>
    <n v="182.6"/>
    <n v="8874.36"/>
    <n v="343"/>
    <s v="05:18:49"/>
    <n v="2"/>
    <n v="2"/>
    <n v="2024"/>
    <d v="2024-02-02T00:00:00"/>
    <s v="UPI"/>
    <s v="F"/>
    <n v="3"/>
    <s v="Kolkata"/>
    <x v="478"/>
  </r>
  <r>
    <n v="5720"/>
    <s v="SuperSave Central"/>
    <d v="2025-02-06T00:00:00"/>
    <s v="Health &amp; Wellness"/>
    <s v="Onions"/>
    <n v="2"/>
    <n v="789.33"/>
    <n v="1578.66"/>
    <n v="0"/>
    <n v="1578.66"/>
    <n v="241"/>
    <s v="20:09:31"/>
    <n v="6"/>
    <n v="2"/>
    <n v="2025"/>
    <d v="2025-02-06T00:00:00"/>
    <s v="UPI"/>
    <s v="F"/>
    <n v="2"/>
    <s v="Bangalore"/>
    <x v="479"/>
  </r>
  <r>
    <n v="5632"/>
    <s v="QuickStop Market"/>
    <d v="2025-02-03T00:00:00"/>
    <s v="Personal Care"/>
    <s v="Apples"/>
    <n v="3"/>
    <n v="1657.51"/>
    <n v="4972.53"/>
    <n v="994.34"/>
    <n v="3978.19"/>
    <n v="113"/>
    <s v="00:51:04"/>
    <n v="3"/>
    <n v="2"/>
    <n v="2025"/>
    <d v="2025-02-03T00:00:00"/>
    <s v="Credit Card"/>
    <s v="F"/>
    <n v="1"/>
    <s v="Lucknow"/>
    <x v="480"/>
  </r>
  <r>
    <n v="8438"/>
    <s v="QuickStop Market"/>
    <d v="2023-10-01T00:00:00"/>
    <s v="Snacks &amp; Candy"/>
    <s v="Cereal"/>
    <n v="3"/>
    <n v="709.65"/>
    <n v="2128.9499999999998"/>
    <n v="239.04"/>
    <n v="1889.91"/>
    <n v="150"/>
    <s v="21:18:11"/>
    <n v="1"/>
    <n v="10"/>
    <n v="2023"/>
    <d v="2023-10-01T00:00:00"/>
    <s v="Cash"/>
    <s v="M"/>
    <n v="1"/>
    <s v="Lucknow"/>
    <x v="481"/>
  </r>
  <r>
    <n v="4824"/>
    <s v="GreenGrocer Plaza"/>
    <d v="2025-07-24T00:00:00"/>
    <s v="Beverages"/>
    <s v="Yogurt"/>
    <n v="5"/>
    <n v="370.18"/>
    <n v="1850.9"/>
    <n v="181.77"/>
    <n v="1669.13"/>
    <n v="348"/>
    <s v="12:28:59"/>
    <n v="24"/>
    <n v="7"/>
    <n v="2025"/>
    <d v="2025-07-24T00:00:00"/>
    <s v="Credit Card"/>
    <s v="F"/>
    <n v="4"/>
    <s v="Ahmedabad"/>
    <x v="482"/>
  </r>
  <r>
    <n v="5334"/>
    <s v="FreshMart Downtown"/>
    <d v="2025-04-09T00:00:00"/>
    <s v="Meat &amp; Seafood"/>
    <s v="Eggs"/>
    <n v="2"/>
    <n v="907.19"/>
    <n v="1814.38"/>
    <n v="362.71"/>
    <n v="1451.67"/>
    <n v="291"/>
    <s v="12:20:03"/>
    <n v="9"/>
    <n v="4"/>
    <n v="2025"/>
    <d v="2025-04-09T00:00:00"/>
    <s v="Cash"/>
    <s v="M"/>
    <n v="3"/>
    <s v="Kolkata"/>
    <x v="483"/>
  </r>
  <r>
    <n v="4241"/>
    <s v="MegaMart Westside"/>
    <d v="2024-07-02T00:00:00"/>
    <s v="Meat &amp; Seafood"/>
    <s v="Bread"/>
    <n v="4"/>
    <n v="883.12"/>
    <n v="3532.48"/>
    <n v="0"/>
    <n v="3532.48"/>
    <n v="90"/>
    <s v="19:58:54"/>
    <n v="2"/>
    <n v="7"/>
    <n v="2024"/>
    <d v="2024-07-02T00:00:00"/>
    <s v="Credit Card"/>
    <s v="M"/>
    <n v="3"/>
    <s v="Jaipur"/>
    <x v="484"/>
  </r>
  <r>
    <n v="2880"/>
    <s v="FreshMart Downtown"/>
    <d v="2024-10-02T00:00:00"/>
    <s v="Produce"/>
    <s v="Salmon"/>
    <n v="3"/>
    <n v="585.98"/>
    <n v="1757.94"/>
    <n v="336.98"/>
    <n v="1420.96"/>
    <n v="396"/>
    <s v="17:24:54"/>
    <n v="2"/>
    <n v="10"/>
    <n v="2024"/>
    <d v="2024-10-02T00:00:00"/>
    <s v="Debit Card"/>
    <s v="F"/>
    <n v="1"/>
    <s v="Mumbai"/>
    <x v="485"/>
  </r>
  <r>
    <n v="4683"/>
    <s v="City Fresh Store"/>
    <d v="2024-12-22T00:00:00"/>
    <s v="Dairy"/>
    <s v="Eggs"/>
    <n v="5"/>
    <n v="1126.31"/>
    <n v="5631.55"/>
    <n v="563.57000000000005"/>
    <n v="5067.9799999999996"/>
    <n v="219"/>
    <s v="07:07:49"/>
    <n v="22"/>
    <n v="12"/>
    <n v="2024"/>
    <d v="2024-12-22T00:00:00"/>
    <s v="UPI"/>
    <s v="M"/>
    <n v="5"/>
    <s v="Ahmedabad"/>
    <x v="486"/>
  </r>
  <r>
    <n v="3441"/>
    <s v="City Fresh Store"/>
    <d v="2025-07-12T00:00:00"/>
    <s v="Snacks &amp; Candy"/>
    <s v="Bananas"/>
    <n v="1"/>
    <n v="1367.01"/>
    <n v="1367.01"/>
    <n v="379.31"/>
    <n v="987.7"/>
    <n v="374"/>
    <s v="17:42:45"/>
    <n v="12"/>
    <n v="7"/>
    <n v="2025"/>
    <d v="2025-07-12T00:00:00"/>
    <s v="Cash"/>
    <s v="M"/>
    <n v="2"/>
    <s v="Ahmedabad"/>
    <x v="487"/>
  </r>
  <r>
    <n v="5352"/>
    <s v="ValuePlus Market"/>
    <d v="2025-05-10T00:00:00"/>
    <s v="Bakery"/>
    <s v="Bananas"/>
    <n v="1"/>
    <n v="1590.28"/>
    <n v="1590.28"/>
    <n v="0"/>
    <n v="1590.28"/>
    <n v="127"/>
    <s v="14:58:00"/>
    <n v="10"/>
    <n v="5"/>
    <n v="2025"/>
    <d v="2025-05-10T00:00:00"/>
    <s v="Cash"/>
    <s v="F"/>
    <n v="5"/>
    <s v="Hyderabad"/>
    <x v="488"/>
  </r>
  <r>
    <n v="3330"/>
    <s v="MegaMart Westside"/>
    <d v="2023-10-01T00:00:00"/>
    <s v="Frozen Foods"/>
    <s v="Eggs"/>
    <n v="1"/>
    <n v="1005.13"/>
    <n v="1005.13"/>
    <n v="200.86"/>
    <n v="804.27"/>
    <n v="301"/>
    <s v="14:52:30"/>
    <n v="1"/>
    <n v="10"/>
    <n v="2023"/>
    <d v="2023-10-01T00:00:00"/>
    <s v="UPI"/>
    <s v="F"/>
    <n v="5"/>
    <s v="Kolkata"/>
    <x v="489"/>
  </r>
  <r>
    <n v="1977"/>
    <s v="GreenGrocer Plaza"/>
    <d v="2023-12-13T00:00:00"/>
    <s v="Produce"/>
    <s v="Rice"/>
    <n v="3"/>
    <n v="1179.43"/>
    <n v="3538.29"/>
    <n v="353.58"/>
    <n v="3184.71"/>
    <n v="266"/>
    <s v="09:26:58"/>
    <n v="13"/>
    <n v="12"/>
    <n v="2023"/>
    <d v="2023-12-13T00:00:00"/>
    <s v="Cash"/>
    <s v="F"/>
    <n v="1"/>
    <s v="Lucknow"/>
    <x v="490"/>
  </r>
  <r>
    <n v="6039"/>
    <s v="SuperSave Central"/>
    <d v="2024-11-11T00:00:00"/>
    <s v="Canned Goods"/>
    <s v="Potatoes"/>
    <n v="3"/>
    <n v="1887.42"/>
    <n v="5662.26"/>
    <n v="158.53"/>
    <n v="5503.73"/>
    <n v="84"/>
    <s v="08:58:16"/>
    <n v="11"/>
    <n v="11"/>
    <n v="2024"/>
    <d v="2024-11-11T00:00:00"/>
    <s v="Cash"/>
    <s v="M"/>
    <n v="1"/>
    <s v="Lucknow"/>
    <x v="491"/>
  </r>
  <r>
    <n v="5728"/>
    <s v="SuperSave Central"/>
    <d v="2024-07-13T00:00:00"/>
    <s v="Bakery"/>
    <s v="Bananas"/>
    <n v="5"/>
    <n v="1296.46"/>
    <n v="6482.3"/>
    <n v="0"/>
    <n v="6482.3"/>
    <n v="63"/>
    <s v="18:37:30"/>
    <n v="13"/>
    <n v="7"/>
    <n v="2024"/>
    <d v="2024-07-13T00:00:00"/>
    <s v="Credit Card"/>
    <s v="F"/>
    <n v="1"/>
    <s v="Chennai"/>
    <x v="492"/>
  </r>
  <r>
    <n v="3037"/>
    <s v="FreshMart Downtown"/>
    <d v="2024-08-05T00:00:00"/>
    <s v="Snacks &amp; Candy"/>
    <s v="Pasta"/>
    <n v="5"/>
    <n v="1581.98"/>
    <n v="7909.9"/>
    <n v="0"/>
    <n v="7909.9"/>
    <n v="304"/>
    <s v="03:52:12"/>
    <n v="5"/>
    <n v="8"/>
    <n v="2024"/>
    <d v="2024-08-05T00:00:00"/>
    <s v="Cash"/>
    <s v="F"/>
    <n v="4"/>
    <s v="Pune"/>
    <x v="493"/>
  </r>
  <r>
    <n v="5982"/>
    <s v="GreenGrocer Plaza"/>
    <d v="2025-01-31T00:00:00"/>
    <s v="Health &amp; Wellness"/>
    <s v="Bananas"/>
    <n v="1"/>
    <n v="1742.17"/>
    <n v="1742.17"/>
    <n v="174.3"/>
    <n v="1567.87"/>
    <n v="213"/>
    <s v="18:25:11"/>
    <n v="31"/>
    <n v="1"/>
    <n v="2025"/>
    <d v="2025-01-31T00:00:00"/>
    <s v="Debit Card"/>
    <s v="M"/>
    <n v="5"/>
    <s v="Pune"/>
    <x v="494"/>
  </r>
  <r>
    <n v="7594"/>
    <s v="GreenGrocer Plaza"/>
    <d v="2024-03-05T00:00:00"/>
    <s v="Personal Care"/>
    <s v="Pasta"/>
    <n v="4"/>
    <n v="1771.22"/>
    <n v="7084.88"/>
    <n v="1062.4000000000001"/>
    <n v="6022.48"/>
    <n v="105"/>
    <s v="23:10:06"/>
    <n v="5"/>
    <n v="3"/>
    <n v="2024"/>
    <d v="2024-03-05T00:00:00"/>
    <s v="Debit Card"/>
    <s v="F"/>
    <n v="3"/>
    <s v="Pune"/>
    <x v="495"/>
  </r>
  <r>
    <n v="9199"/>
    <s v="Corner Grocery"/>
    <d v="2024-09-29T00:00:00"/>
    <s v="Health &amp; Wellness"/>
    <s v="Chicken Breast"/>
    <n v="5"/>
    <n v="732.06"/>
    <n v="3660.3"/>
    <n v="366.03"/>
    <n v="3294.27"/>
    <n v="310"/>
    <s v="16:47:02"/>
    <n v="29"/>
    <n v="9"/>
    <n v="2024"/>
    <d v="2024-09-29T00:00:00"/>
    <s v="UPI"/>
    <s v="F"/>
    <n v="2"/>
    <s v="Hyderabad"/>
    <x v="496"/>
  </r>
  <r>
    <n v="9090"/>
    <s v="GreenGrocer Plaza"/>
    <d v="2024-07-12T00:00:00"/>
    <s v="Personal Care"/>
    <s v="Chicken Breast"/>
    <n v="3"/>
    <n v="356.9"/>
    <n v="1070.7"/>
    <n v="214.14"/>
    <n v="856.56"/>
    <n v="54"/>
    <s v="23:51:28"/>
    <n v="12"/>
    <n v="7"/>
    <n v="2024"/>
    <d v="2024-07-12T00:00:00"/>
    <s v="Cash"/>
    <s v="F"/>
    <n v="4"/>
    <s v="Jaipur"/>
    <x v="497"/>
  </r>
  <r>
    <n v="2317"/>
    <s v="FamilyFood Express"/>
    <d v="2024-11-13T00:00:00"/>
    <s v="Frozen Foods"/>
    <s v="Carrots"/>
    <n v="2"/>
    <n v="943.71"/>
    <n v="1887.42"/>
    <n v="377.65"/>
    <n v="1509.77"/>
    <n v="209"/>
    <s v="11:44:50"/>
    <n v="13"/>
    <n v="11"/>
    <n v="2024"/>
    <d v="2024-11-13T00:00:00"/>
    <s v="UPI"/>
    <s v="M"/>
    <n v="3"/>
    <s v="Pune"/>
    <x v="498"/>
  </r>
  <r>
    <n v="1653"/>
    <s v="FreshMart Downtown"/>
    <d v="2025-06-27T00:00:00"/>
    <s v="Personal Care"/>
    <s v="Potatoes"/>
    <n v="2"/>
    <n v="1738.85"/>
    <n v="3477.7"/>
    <n v="695.54"/>
    <n v="2782.16"/>
    <n v="246"/>
    <s v="05:32:06"/>
    <n v="27"/>
    <n v="6"/>
    <n v="2025"/>
    <d v="2025-06-27T00:00:00"/>
    <s v="Debit Card"/>
    <s v="M"/>
    <n v="5"/>
    <s v="Bangalore"/>
    <x v="499"/>
  </r>
  <r>
    <n v="8078"/>
    <s v="FreshMart Downtown"/>
    <d v="2025-02-27T00:00:00"/>
    <s v="Produce"/>
    <s v="Bread"/>
    <n v="1"/>
    <n v="2092.4299999999998"/>
    <n v="2092.4299999999998"/>
    <n v="418.32"/>
    <n v="1674.11"/>
    <n v="342"/>
    <s v="15:06:19"/>
    <n v="27"/>
    <n v="2"/>
    <n v="2025"/>
    <d v="2025-02-27T00:00:00"/>
    <s v="Cash"/>
    <s v="M"/>
    <n v="1"/>
    <s v="Delhi"/>
    <x v="500"/>
  </r>
  <r>
    <n v="6280"/>
    <s v="GreenGrocer Plaza"/>
    <d v="2024-11-17T00:00:00"/>
    <s v="Personal Care"/>
    <s v="Bread"/>
    <n v="1"/>
    <n v="2260.09"/>
    <n v="2260.09"/>
    <n v="225.76"/>
    <n v="2034.33"/>
    <n v="329"/>
    <s v="09:42:58"/>
    <n v="17"/>
    <n v="11"/>
    <n v="2024"/>
    <d v="2024-11-17T00:00:00"/>
    <s v="Cash"/>
    <s v="M"/>
    <n v="5"/>
    <s v="Ahmedabad"/>
    <x v="501"/>
  </r>
  <r>
    <n v="5102"/>
    <s v="QuickStop Market"/>
    <d v="2023-08-27T00:00:00"/>
    <s v="Frozen Foods"/>
    <s v="Salmon"/>
    <n v="1"/>
    <n v="322.04000000000002"/>
    <n v="322.04000000000002"/>
    <n v="48.14"/>
    <n v="273.89999999999998"/>
    <n v="89"/>
    <s v="21:31:57"/>
    <n v="27"/>
    <n v="8"/>
    <n v="2023"/>
    <d v="2023-08-27T00:00:00"/>
    <s v="UPI"/>
    <s v="F"/>
    <n v="2"/>
    <s v="Jaipur"/>
    <x v="502"/>
  </r>
  <r>
    <n v="2496"/>
    <s v="MegaMart Westside"/>
    <d v="2024-01-31T00:00:00"/>
    <s v="Health &amp; Wellness"/>
    <s v="Cereal"/>
    <n v="4"/>
    <n v="1860.03"/>
    <n v="7440.12"/>
    <n v="366.03"/>
    <n v="7074.09"/>
    <n v="48"/>
    <s v="19:54:02"/>
    <n v="31"/>
    <n v="1"/>
    <n v="2024"/>
    <d v="2024-01-31T00:00:00"/>
    <s v="Debit Card"/>
    <s v="M"/>
    <n v="4"/>
    <s v="Lucknow"/>
    <x v="503"/>
  </r>
  <r>
    <n v="1339"/>
    <s v="SuperSave Central"/>
    <d v="2025-03-23T00:00:00"/>
    <s v="Canned Goods"/>
    <s v="Orange Juice"/>
    <n v="4"/>
    <n v="2381.27"/>
    <n v="9525.08"/>
    <n v="1428.43"/>
    <n v="8096.65"/>
    <n v="137"/>
    <s v="11:35:16"/>
    <n v="23"/>
    <n v="3"/>
    <n v="2025"/>
    <d v="2025-03-23T00:00:00"/>
    <s v="Cash"/>
    <s v="M"/>
    <n v="4"/>
    <s v="Chennai"/>
    <x v="504"/>
  </r>
  <r>
    <n v="5415"/>
    <s v="MegaMart Westside"/>
    <d v="2024-10-27T00:00:00"/>
    <s v="Meat &amp; Seafood"/>
    <s v="Chicken Breast"/>
    <n v="4"/>
    <n v="1045.8"/>
    <n v="4183.2"/>
    <n v="418.32"/>
    <n v="3764.88"/>
    <n v="233"/>
    <s v="13:43:47"/>
    <n v="27"/>
    <n v="10"/>
    <n v="2024"/>
    <d v="2024-10-27T00:00:00"/>
    <s v="UPI"/>
    <s v="F"/>
    <n v="2"/>
    <s v="Delhi"/>
    <x v="505"/>
  </r>
  <r>
    <n v="1659"/>
    <s v="City Fresh Store"/>
    <d v="2025-03-21T00:00:00"/>
    <s v="Snacks &amp; Candy"/>
    <s v="Apples"/>
    <n v="1"/>
    <n v="400.89"/>
    <n v="400.89"/>
    <n v="80.510000000000005"/>
    <n v="320.38"/>
    <n v="371"/>
    <s v="21:27:42"/>
    <n v="21"/>
    <n v="3"/>
    <n v="2025"/>
    <d v="2025-03-21T00:00:00"/>
    <s v="Debit Card"/>
    <s v="F"/>
    <n v="3"/>
    <s v="Hyderabad"/>
    <x v="506"/>
  </r>
  <r>
    <n v="3870"/>
    <s v="GreenGrocer Plaza"/>
    <d v="2024-08-06T00:00:00"/>
    <s v="Snacks &amp; Candy"/>
    <s v="Potatoes"/>
    <n v="5"/>
    <n v="1714.78"/>
    <n v="8573.9"/>
    <n v="1285.67"/>
    <n v="7288.23"/>
    <n v="92"/>
    <s v="17:20:28"/>
    <n v="6"/>
    <n v="8"/>
    <n v="2024"/>
    <d v="2024-08-06T00:00:00"/>
    <s v="UPI"/>
    <s v="F"/>
    <n v="3"/>
    <s v="Ahmedabad"/>
    <x v="507"/>
  </r>
  <r>
    <n v="9502"/>
    <s v="FreshMart Downtown"/>
    <d v="2024-12-25T00:00:00"/>
    <s v="Health &amp; Wellness"/>
    <s v="Eggs"/>
    <n v="4"/>
    <n v="2297.44"/>
    <n v="9189.76"/>
    <n v="918.81"/>
    <n v="8270.9500000000007"/>
    <n v="57"/>
    <s v="17:03:27"/>
    <n v="25"/>
    <n v="12"/>
    <n v="2024"/>
    <d v="2024-12-25T00:00:00"/>
    <s v="Credit Card"/>
    <s v="M"/>
    <n v="4"/>
    <s v="Hyderabad"/>
    <x v="508"/>
  </r>
  <r>
    <n v="8245"/>
    <s v="FreshMart Downtown"/>
    <d v="2025-07-18T00:00:00"/>
    <s v="Dairy"/>
    <s v="Pasta"/>
    <n v="3"/>
    <n v="112.05"/>
    <n v="336.15"/>
    <n v="0"/>
    <n v="336.15"/>
    <n v="444"/>
    <s v="17:23:04"/>
    <n v="18"/>
    <n v="7"/>
    <n v="2025"/>
    <d v="2025-07-18T00:00:00"/>
    <s v="Cash"/>
    <s v="M"/>
    <n v="4"/>
    <s v="Hyderabad"/>
    <x v="509"/>
  </r>
  <r>
    <n v="5557"/>
    <s v="MegaMart Westside"/>
    <d v="2023-12-25T00:00:00"/>
    <s v="Personal Care"/>
    <s v="Carrots"/>
    <n v="5"/>
    <n v="311.25"/>
    <n v="1556.25"/>
    <n v="156.04"/>
    <n v="1400.21"/>
    <n v="338"/>
    <s v="15:03:39"/>
    <n v="25"/>
    <n v="12"/>
    <n v="2023"/>
    <d v="2023-12-25T00:00:00"/>
    <s v="Credit Card"/>
    <s v="M"/>
    <n v="1"/>
    <s v="Bangalore"/>
    <x v="510"/>
  </r>
  <r>
    <n v="8141"/>
    <s v="MegaMart Westside"/>
    <d v="2024-12-12T00:00:00"/>
    <s v="Health &amp; Wellness"/>
    <s v="Tomatoes"/>
    <n v="2"/>
    <n v="2101.56"/>
    <n v="4203.12"/>
    <n v="296.31"/>
    <n v="3906.81"/>
    <n v="285"/>
    <s v="12:54:54"/>
    <n v="12"/>
    <n v="12"/>
    <n v="2024"/>
    <d v="2024-12-12T00:00:00"/>
    <s v="Debit Card"/>
    <s v="F"/>
    <n v="3"/>
    <s v="Mumbai"/>
    <x v="511"/>
  </r>
  <r>
    <n v="9056"/>
    <s v="SuperSave Central"/>
    <d v="2023-10-16T00:00:00"/>
    <s v="Personal Care"/>
    <s v="Potatoes"/>
    <n v="4"/>
    <n v="2174.6"/>
    <n v="8698.4"/>
    <n v="1304.76"/>
    <n v="7393.64"/>
    <n v="38"/>
    <s v="22:01:45"/>
    <n v="16"/>
    <n v="10"/>
    <n v="2023"/>
    <d v="2023-10-16T00:00:00"/>
    <s v="Credit Card"/>
    <s v="F"/>
    <n v="2"/>
    <s v="Mumbai"/>
    <x v="512"/>
  </r>
  <r>
    <n v="8700"/>
    <s v="FamilyFood Express"/>
    <d v="2024-05-03T00:00:00"/>
    <s v="Canned Goods"/>
    <s v="Pasta"/>
    <n v="1"/>
    <n v="1302.27"/>
    <n v="1302.27"/>
    <n v="130.31"/>
    <n v="1171.96"/>
    <n v="281"/>
    <s v="01:40:47"/>
    <n v="3"/>
    <n v="5"/>
    <n v="2024"/>
    <d v="2024-05-03T00:00:00"/>
    <s v="Credit Card"/>
    <s v="M"/>
    <n v="3"/>
    <s v="Hyderabad"/>
    <x v="513"/>
  </r>
  <r>
    <n v="7690"/>
    <s v="FamilyFood Express"/>
    <d v="2024-04-21T00:00:00"/>
    <s v="Dairy"/>
    <s v="Salmon"/>
    <n v="4"/>
    <n v="2011.09"/>
    <n v="8044.36"/>
    <n v="804.27"/>
    <n v="7240.09"/>
    <n v="229"/>
    <s v="01:48:02"/>
    <n v="21"/>
    <n v="4"/>
    <n v="2024"/>
    <d v="2024-04-21T00:00:00"/>
    <s v="Debit Card"/>
    <s v="F"/>
    <n v="1"/>
    <s v="Pune"/>
    <x v="514"/>
  </r>
  <r>
    <n v="6260"/>
    <s v="City Fresh Store"/>
    <d v="2025-01-08T00:00:00"/>
    <s v="Canned Goods"/>
    <s v="Chicken Breast"/>
    <n v="4"/>
    <n v="1875.8"/>
    <n v="7503.2"/>
    <n v="750.32"/>
    <n v="6752.88"/>
    <n v="9"/>
    <s v="12:30:07"/>
    <n v="8"/>
    <n v="1"/>
    <n v="2025"/>
    <d v="2025-01-08T00:00:00"/>
    <s v="UPI"/>
    <s v="F"/>
    <n v="4"/>
    <s v="Lucknow"/>
    <x v="515"/>
  </r>
  <r>
    <n v="2713"/>
    <s v="Corner Grocery"/>
    <d v="2025-06-03T00:00:00"/>
    <s v="Produce"/>
    <s v="Onions"/>
    <n v="5"/>
    <n v="82.17"/>
    <n v="410.85"/>
    <n v="269.75"/>
    <n v="141.1"/>
    <n v="46"/>
    <s v="11:49:55"/>
    <n v="3"/>
    <n v="6"/>
    <n v="2025"/>
    <d v="2025-06-03T00:00:00"/>
    <s v="Credit Card"/>
    <s v="F"/>
    <n v="4"/>
    <s v="Delhi"/>
    <x v="516"/>
  </r>
  <r>
    <n v="3634"/>
    <s v="City Fresh Store"/>
    <d v="2024-04-19T00:00:00"/>
    <s v="Canned Goods"/>
    <s v="Orange Juice"/>
    <n v="1"/>
    <n v="2047.61"/>
    <n v="2047.61"/>
    <n v="307.10000000000002"/>
    <n v="1740.51"/>
    <n v="432"/>
    <s v="03:39:01"/>
    <n v="19"/>
    <n v="4"/>
    <n v="2024"/>
    <d v="2024-04-19T00:00:00"/>
    <s v="UPI"/>
    <s v="M"/>
    <n v="1"/>
    <s v="Pune"/>
    <x v="517"/>
  </r>
  <r>
    <n v="7744"/>
    <s v="ValuePlus Market"/>
    <d v="2025-01-26T00:00:00"/>
    <s v="Household Items"/>
    <s v="Potatoes"/>
    <n v="3"/>
    <n v="1805.25"/>
    <n v="5415.75"/>
    <n v="0"/>
    <n v="5415.75"/>
    <n v="58"/>
    <s v="10:36:12"/>
    <n v="26"/>
    <n v="1"/>
    <n v="2025"/>
    <d v="2025-01-26T00:00:00"/>
    <s v="Credit Card"/>
    <s v="F"/>
    <n v="2"/>
    <s v="Kolkata"/>
    <x v="518"/>
  </r>
  <r>
    <n v="9117"/>
    <s v="FamilyFood Express"/>
    <d v="2024-03-17T00:00:00"/>
    <s v="Produce"/>
    <s v="Cereal"/>
    <n v="3"/>
    <n v="2079.98"/>
    <n v="6239.94"/>
    <n v="256.47000000000003"/>
    <n v="5983.47"/>
    <n v="493"/>
    <s v="20:03:17"/>
    <n v="17"/>
    <n v="3"/>
    <n v="2024"/>
    <d v="2024-03-17T00:00:00"/>
    <s v="UPI"/>
    <s v="F"/>
    <n v="4"/>
    <s v="Lucknow"/>
    <x v="519"/>
  </r>
  <r>
    <n v="7561"/>
    <s v="GreenGrocer Plaza"/>
    <d v="2025-04-29T00:00:00"/>
    <s v="Produce"/>
    <s v="Apples"/>
    <n v="4"/>
    <n v="419.98"/>
    <n v="1679.92"/>
    <n v="167.66"/>
    <n v="1512.26"/>
    <n v="367"/>
    <s v="16:07:24"/>
    <n v="29"/>
    <n v="4"/>
    <n v="2025"/>
    <d v="2025-04-29T00:00:00"/>
    <s v="Debit Card"/>
    <s v="M"/>
    <n v="5"/>
    <s v="Hyderabad"/>
    <x v="520"/>
  </r>
  <r>
    <n v="1601"/>
    <s v="FamilyFood Express"/>
    <d v="2024-07-25T00:00:00"/>
    <s v="Bakery"/>
    <s v="Chicken Breast"/>
    <n v="4"/>
    <n v="600.91999999999996"/>
    <n v="2403.6799999999998"/>
    <n v="0"/>
    <n v="2403.6799999999998"/>
    <n v="422"/>
    <s v="00:50:40"/>
    <n v="25"/>
    <n v="7"/>
    <n v="2024"/>
    <d v="2024-07-25T00:00:00"/>
    <s v="Credit Card"/>
    <s v="M"/>
    <n v="4"/>
    <s v="Kolkata"/>
    <x v="521"/>
  </r>
  <r>
    <n v="2442"/>
    <s v="MegaMart Westside"/>
    <d v="2024-04-07T00:00:00"/>
    <s v="Dairy"/>
    <s v="Cheese"/>
    <n v="1"/>
    <n v="2312.38"/>
    <n v="2312.38"/>
    <n v="231.57"/>
    <n v="2080.81"/>
    <n v="428"/>
    <s v="18:00:43"/>
    <n v="7"/>
    <n v="4"/>
    <n v="2024"/>
    <d v="2024-04-07T00:00:00"/>
    <s v="Debit Card"/>
    <s v="F"/>
    <n v="5"/>
    <s v="Pune"/>
    <x v="522"/>
  </r>
  <r>
    <n v="5135"/>
    <s v="City Fresh Store"/>
    <d v="2024-04-14T00:00:00"/>
    <s v="Health &amp; Wellness"/>
    <s v="Carrots"/>
    <n v="2"/>
    <n v="2402.02"/>
    <n v="4804.04"/>
    <n v="393.42"/>
    <n v="4410.62"/>
    <n v="2"/>
    <s v="17:52:29"/>
    <n v="14"/>
    <n v="4"/>
    <n v="2024"/>
    <d v="2024-04-14T00:00:00"/>
    <s v="Credit Card"/>
    <s v="F"/>
    <n v="1"/>
    <s v="Kolkata"/>
    <x v="523"/>
  </r>
  <r>
    <n v="2899"/>
    <s v="City Fresh Store"/>
    <d v="2025-03-29T00:00:00"/>
    <s v="Personal Care"/>
    <s v="Apples"/>
    <n v="5"/>
    <n v="500.49"/>
    <n v="2502.4499999999998"/>
    <n v="211.65"/>
    <n v="2290.8000000000002"/>
    <n v="417"/>
    <s v="09:22:36"/>
    <n v="29"/>
    <n v="3"/>
    <n v="2025"/>
    <d v="2025-03-29T00:00:00"/>
    <s v="Debit Card"/>
    <s v="M"/>
    <n v="1"/>
    <s v="Hyderabad"/>
    <x v="524"/>
  </r>
  <r>
    <n v="7622"/>
    <s v="MegaMart Westside"/>
    <d v="2025-06-08T00:00:00"/>
    <s v="Personal Care"/>
    <s v="Tomatoes"/>
    <n v="4"/>
    <n v="2440.1999999999998"/>
    <n v="9760.7999999999993"/>
    <n v="1464.12"/>
    <n v="8296.68"/>
    <n v="468"/>
    <s v="18:50:03"/>
    <n v="8"/>
    <n v="6"/>
    <n v="2025"/>
    <d v="2025-06-08T00:00:00"/>
    <s v="Debit Card"/>
    <s v="M"/>
    <n v="4"/>
    <s v="Bangalore"/>
    <x v="525"/>
  </r>
  <r>
    <n v="9431"/>
    <s v="Corner Grocery"/>
    <d v="2025-05-08T00:00:00"/>
    <s v="Canned Goods"/>
    <s v="Rice"/>
    <n v="4"/>
    <n v="2019.39"/>
    <n v="8077.56"/>
    <n v="315.39999999999998"/>
    <n v="7762.16"/>
    <n v="70"/>
    <s v="22:26:04"/>
    <n v="8"/>
    <n v="5"/>
    <n v="2025"/>
    <d v="2025-05-08T00:00:00"/>
    <s v="Credit Card"/>
    <s v="F"/>
    <n v="3"/>
    <s v="Mumbai"/>
    <x v="526"/>
  </r>
  <r>
    <n v="1018"/>
    <s v="ValuePlus Market"/>
    <d v="2024-12-29T00:00:00"/>
    <s v="Frozen Foods"/>
    <s v="Onions"/>
    <n v="3"/>
    <n v="1795.29"/>
    <n v="5385.87"/>
    <n v="1077.3399999999999"/>
    <n v="4308.53"/>
    <n v="478"/>
    <s v="13:48:51"/>
    <n v="29"/>
    <n v="12"/>
    <n v="2024"/>
    <d v="2024-12-29T00:00:00"/>
    <s v="Credit Card"/>
    <s v="F"/>
    <n v="5"/>
    <s v="Delhi"/>
    <x v="527"/>
  </r>
  <r>
    <n v="9889"/>
    <s v="FamilyFood Express"/>
    <d v="2024-07-30T00:00:00"/>
    <s v="Household Items"/>
    <s v="Rice"/>
    <n v="3"/>
    <n v="2299.1"/>
    <n v="6897.3"/>
    <n v="263.11"/>
    <n v="6634.19"/>
    <n v="67"/>
    <s v="06:29:33"/>
    <n v="30"/>
    <n v="7"/>
    <n v="2024"/>
    <d v="2024-07-30T00:00:00"/>
    <s v="Credit Card"/>
    <s v="F"/>
    <n v="2"/>
    <s v="Kolkata"/>
    <x v="528"/>
  </r>
  <r>
    <n v="7770"/>
    <s v="MegaMart Westside"/>
    <d v="2023-09-18T00:00:00"/>
    <s v="Dairy"/>
    <s v="Orange Juice"/>
    <n v="5"/>
    <n v="1238.3599999999999"/>
    <n v="6191.8"/>
    <n v="0"/>
    <n v="6191.8"/>
    <n v="292"/>
    <s v="11:52:06"/>
    <n v="18"/>
    <n v="9"/>
    <n v="2023"/>
    <d v="2023-09-18T00:00:00"/>
    <s v="Cash"/>
    <s v="F"/>
    <n v="4"/>
    <s v="Hyderabad"/>
    <x v="529"/>
  </r>
  <r>
    <n v="4073"/>
    <s v="ValuePlus Market"/>
    <d v="2024-09-12T00:00:00"/>
    <s v="Frozen Foods"/>
    <s v="Cheese"/>
    <n v="1"/>
    <n v="1340.45"/>
    <n v="1340.45"/>
    <n v="268.08999999999997"/>
    <n v="1072.3599999999999"/>
    <n v="12"/>
    <s v="23:09:46"/>
    <n v="12"/>
    <n v="9"/>
    <n v="2024"/>
    <d v="2024-09-12T00:00:00"/>
    <s v="UPI"/>
    <s v="M"/>
    <n v="2"/>
    <s v="Bangalore"/>
    <x v="530"/>
  </r>
  <r>
    <n v="6927"/>
    <s v="FreshMart Downtown"/>
    <d v="2024-12-02T00:00:00"/>
    <s v="Health &amp; Wellness"/>
    <s v="Milk"/>
    <n v="2"/>
    <n v="724.59"/>
    <n v="1449.18"/>
    <n v="217.46"/>
    <n v="1231.72"/>
    <n v="402"/>
    <s v="12:42:47"/>
    <n v="2"/>
    <n v="12"/>
    <n v="2024"/>
    <d v="2024-12-02T00:00:00"/>
    <s v="Cash"/>
    <s v="F"/>
    <n v="4"/>
    <s v="Jaipur"/>
    <x v="531"/>
  </r>
  <r>
    <n v="9167"/>
    <s v="QuickStop Market"/>
    <d v="2024-12-04T00:00:00"/>
    <s v="Meat &amp; Seafood"/>
    <s v="Milk"/>
    <n v="3"/>
    <n v="573.53"/>
    <n v="1720.59"/>
    <n v="258.13"/>
    <n v="1462.46"/>
    <n v="277"/>
    <s v="16:15:46"/>
    <n v="4"/>
    <n v="12"/>
    <n v="2024"/>
    <d v="2024-12-04T00:00:00"/>
    <s v="Cash"/>
    <s v="F"/>
    <n v="3"/>
    <s v="Pune"/>
    <x v="532"/>
  </r>
  <r>
    <n v="8242"/>
    <s v="City Fresh Store"/>
    <d v="2025-03-19T00:00:00"/>
    <s v="Dairy"/>
    <s v="Onions"/>
    <n v="2"/>
    <n v="1869.16"/>
    <n v="3738.32"/>
    <n v="747.83"/>
    <n v="2990.49"/>
    <n v="287"/>
    <s v="04:44:20"/>
    <n v="19"/>
    <n v="3"/>
    <n v="2025"/>
    <d v="2025-03-19T00:00:00"/>
    <s v="Debit Card"/>
    <s v="M"/>
    <n v="3"/>
    <s v="Mumbai"/>
    <x v="533"/>
  </r>
  <r>
    <n v="1845"/>
    <s v="ValuePlus Market"/>
    <d v="2024-01-12T00:00:00"/>
    <s v="Frozen Foods"/>
    <s v="Milk"/>
    <n v="4"/>
    <n v="1015.09"/>
    <n v="4060.36"/>
    <n v="101.26"/>
    <n v="3959.1"/>
    <n v="489"/>
    <s v="03:21:09"/>
    <n v="12"/>
    <n v="1"/>
    <n v="2024"/>
    <d v="2024-01-12T00:00:00"/>
    <s v="Credit Card"/>
    <s v="F"/>
    <n v="3"/>
    <s v="Jaipur"/>
    <x v="534"/>
  </r>
  <r>
    <n v="5375"/>
    <s v="QuickStop Market"/>
    <d v="2024-10-06T00:00:00"/>
    <s v="Bakery"/>
    <s v="Salmon"/>
    <n v="2"/>
    <n v="2275.86"/>
    <n v="4551.72"/>
    <n v="264.77"/>
    <n v="4286.95"/>
    <n v="360"/>
    <s v="06:18:48"/>
    <n v="6"/>
    <n v="10"/>
    <n v="2024"/>
    <d v="2024-10-06T00:00:00"/>
    <s v="UPI"/>
    <s v="M"/>
    <n v="3"/>
    <s v="Hyderabad"/>
    <x v="535"/>
  </r>
  <r>
    <n v="3146"/>
    <s v="FamilyFood Express"/>
    <d v="2025-07-27T00:00:00"/>
    <s v="Bakery"/>
    <s v="Rice"/>
    <n v="4"/>
    <n v="509.62"/>
    <n v="2038.48"/>
    <n v="407.53"/>
    <n v="1630.95"/>
    <n v="349"/>
    <s v="17:58:55"/>
    <n v="27"/>
    <n v="7"/>
    <n v="2025"/>
    <d v="2025-07-27T00:00:00"/>
    <s v="Debit Card"/>
    <s v="F"/>
    <n v="1"/>
    <s v="Delhi"/>
    <x v="536"/>
  </r>
  <r>
    <n v="5719"/>
    <s v="SuperSave Central"/>
    <d v="2024-07-12T00:00:00"/>
    <s v="Personal Care"/>
    <s v="Chicken Breast"/>
    <n v="4"/>
    <n v="180.11"/>
    <n v="720.44"/>
    <n v="144.41999999999999"/>
    <n v="576.02"/>
    <n v="142"/>
    <s v="20:07:51"/>
    <n v="12"/>
    <n v="7"/>
    <n v="2024"/>
    <d v="2024-07-12T00:00:00"/>
    <s v="Cash"/>
    <s v="F"/>
    <n v="1"/>
    <s v="Pune"/>
    <x v="537"/>
  </r>
  <r>
    <n v="8941"/>
    <s v="SuperSave Central"/>
    <d v="2023-11-09T00:00:00"/>
    <s v="Household Items"/>
    <s v="Pasta"/>
    <n v="1"/>
    <n v="878.14"/>
    <n v="878.14"/>
    <n v="133.63"/>
    <n v="744.51"/>
    <n v="363"/>
    <s v="12:07:51"/>
    <n v="9"/>
    <n v="11"/>
    <n v="2023"/>
    <d v="2023-11-09T00:00:00"/>
    <s v="Credit Card"/>
    <s v="M"/>
    <n v="5"/>
    <s v="Bangalore"/>
    <x v="538"/>
  </r>
  <r>
    <n v="1472"/>
    <s v="MegaMart Westside"/>
    <d v="2024-12-08T00:00:00"/>
    <s v="Household Items"/>
    <s v="Milk"/>
    <n v="5"/>
    <n v="2111.52"/>
    <n v="10557.6"/>
    <n v="265.60000000000002"/>
    <n v="10292"/>
    <n v="154"/>
    <s v="07:14:48"/>
    <n v="8"/>
    <n v="12"/>
    <n v="2024"/>
    <d v="2024-12-08T00:00:00"/>
    <s v="Debit Card"/>
    <s v="M"/>
    <n v="2"/>
    <s v="Pune"/>
    <x v="539"/>
  </r>
  <r>
    <n v="4920"/>
    <s v="GreenGrocer Plaza"/>
    <d v="2025-02-08T00:00:00"/>
    <s v="Canned Goods"/>
    <s v="Carrots"/>
    <n v="2"/>
    <n v="2385.42"/>
    <n v="4770.84"/>
    <n v="136.12"/>
    <n v="4634.72"/>
    <n v="266"/>
    <s v="18:01:26"/>
    <n v="8"/>
    <n v="2"/>
    <n v="2025"/>
    <d v="2025-02-08T00:00:00"/>
    <s v="Credit Card"/>
    <s v="F"/>
    <n v="4"/>
    <s v="Jaipur"/>
    <x v="540"/>
  </r>
  <r>
    <n v="3594"/>
    <s v="ValuePlus Market"/>
    <d v="2024-04-04T00:00:00"/>
    <s v="Personal Care"/>
    <s v="Tomatoes"/>
    <n v="1"/>
    <n v="922.96"/>
    <n v="922.96"/>
    <n v="0"/>
    <n v="922.96"/>
    <n v="452"/>
    <s v="04:56:59"/>
    <n v="4"/>
    <n v="4"/>
    <n v="2024"/>
    <d v="2024-04-04T00:00:00"/>
    <s v="Debit Card"/>
    <s v="F"/>
    <n v="4"/>
    <s v="Jaipur"/>
    <x v="541"/>
  </r>
  <r>
    <n v="1224"/>
    <s v="MegaMart Westside"/>
    <d v="2024-10-08T00:00:00"/>
    <s v="Canned Goods"/>
    <s v="Orange Juice"/>
    <n v="3"/>
    <n v="607.55999999999995"/>
    <n v="1822.68"/>
    <n v="356.07"/>
    <n v="1466.61"/>
    <n v="385"/>
    <s v="04:56:16"/>
    <n v="8"/>
    <n v="10"/>
    <n v="2024"/>
    <d v="2024-10-08T00:00:00"/>
    <s v="Credit Card"/>
    <s v="F"/>
    <n v="1"/>
    <s v="Lucknow"/>
    <x v="542"/>
  </r>
  <r>
    <n v="7684"/>
    <s v="FreshMart Downtown"/>
    <d v="2023-10-18T00:00:00"/>
    <s v="Dairy"/>
    <s v="Orange Juice"/>
    <n v="4"/>
    <n v="660.68"/>
    <n v="2642.72"/>
    <n v="309.58999999999997"/>
    <n v="2333.13"/>
    <n v="328"/>
    <s v="05:40:36"/>
    <n v="18"/>
    <n v="10"/>
    <n v="2023"/>
    <d v="2023-10-18T00:00:00"/>
    <s v="Cash"/>
    <s v="M"/>
    <n v="4"/>
    <s v="Chennai"/>
    <x v="543"/>
  </r>
  <r>
    <n v="4681"/>
    <s v="MegaMart Westside"/>
    <d v="2025-05-21T00:00:00"/>
    <s v="Snacks &amp; Candy"/>
    <s v="Chicken Breast"/>
    <n v="4"/>
    <n v="699.69"/>
    <n v="2798.76"/>
    <n v="385.95"/>
    <n v="2412.81"/>
    <n v="370"/>
    <s v="05:29:54"/>
    <n v="21"/>
    <n v="5"/>
    <n v="2025"/>
    <d v="2025-05-21T00:00:00"/>
    <s v="UPI"/>
    <s v="F"/>
    <n v="1"/>
    <s v="Pune"/>
    <x v="544"/>
  </r>
  <r>
    <n v="2858"/>
    <s v="MegaMart Westside"/>
    <d v="2024-07-30T00:00:00"/>
    <s v="Personal Care"/>
    <s v="Carrots"/>
    <n v="4"/>
    <n v="1254.1300000000001"/>
    <n v="5016.5200000000004"/>
    <n v="752.81"/>
    <n v="4263.71"/>
    <n v="151"/>
    <s v="16:04:44"/>
    <n v="30"/>
    <n v="7"/>
    <n v="2024"/>
    <d v="2024-07-30T00:00:00"/>
    <s v="Cash"/>
    <s v="M"/>
    <n v="5"/>
    <s v="Lucknow"/>
    <x v="545"/>
  </r>
  <r>
    <n v="2924"/>
    <s v="ValuePlus Market"/>
    <d v="2024-12-22T00:00:00"/>
    <s v="Dairy"/>
    <s v="Chicken Breast"/>
    <n v="2"/>
    <n v="2421.11"/>
    <n v="4842.22"/>
    <n v="0"/>
    <n v="4842.22"/>
    <n v="395"/>
    <s v="06:17:18"/>
    <n v="22"/>
    <n v="12"/>
    <n v="2024"/>
    <d v="2024-12-22T00:00:00"/>
    <s v="UPI"/>
    <s v="M"/>
    <n v="2"/>
    <s v="Jaipur"/>
    <x v="546"/>
  </r>
  <r>
    <n v="3522"/>
    <s v="GreenGrocer Plaza"/>
    <d v="2024-08-28T00:00:00"/>
    <s v="Bakery"/>
    <s v="Yogurt"/>
    <n v="4"/>
    <n v="2093.2600000000002"/>
    <n v="8373.0400000000009"/>
    <n v="0"/>
    <n v="8373.0400000000009"/>
    <n v="105"/>
    <s v="07:53:29"/>
    <n v="28"/>
    <n v="8"/>
    <n v="2024"/>
    <d v="2024-08-28T00:00:00"/>
    <s v="Credit Card"/>
    <s v="F"/>
    <n v="5"/>
    <s v="Kolkata"/>
    <x v="547"/>
  </r>
  <r>
    <n v="5781"/>
    <s v="GreenGrocer Plaza"/>
    <d v="2024-09-05T00:00:00"/>
    <s v="Health &amp; Wellness"/>
    <s v="Eggs"/>
    <n v="1"/>
    <n v="1187.73"/>
    <n v="1187.73"/>
    <n v="107.07"/>
    <n v="1080.6600000000001"/>
    <n v="169"/>
    <s v="02:36:01"/>
    <n v="5"/>
    <n v="9"/>
    <n v="2024"/>
    <d v="2024-09-05T00:00:00"/>
    <s v="Debit Card"/>
    <s v="M"/>
    <n v="3"/>
    <s v="Jaipur"/>
    <x v="548"/>
  </r>
  <r>
    <n v="5479"/>
    <s v="SuperSave Central"/>
    <d v="2024-06-24T00:00:00"/>
    <s v="Frozen Foods"/>
    <s v="Onions"/>
    <n v="1"/>
    <n v="1465.78"/>
    <n v="1465.78"/>
    <n v="146.91"/>
    <n v="1318.87"/>
    <n v="116"/>
    <s v="07:48:44"/>
    <n v="24"/>
    <n v="6"/>
    <n v="2024"/>
    <d v="2024-06-24T00:00:00"/>
    <s v="Cash"/>
    <s v="F"/>
    <n v="3"/>
    <s v="Pune"/>
    <x v="549"/>
  </r>
  <r>
    <n v="8905"/>
    <s v="Corner Grocery"/>
    <d v="2024-08-07T00:00:00"/>
    <s v="Beverages"/>
    <s v="Tomatoes"/>
    <n v="4"/>
    <n v="844.11"/>
    <n v="3376.44"/>
    <n v="84.66"/>
    <n v="3291.78"/>
    <n v="199"/>
    <s v="14:30:03"/>
    <n v="7"/>
    <n v="8"/>
    <n v="2024"/>
    <d v="2024-08-07T00:00:00"/>
    <s v="UPI"/>
    <s v="F"/>
    <n v="3"/>
    <s v="Bangalore"/>
    <x v="550"/>
  </r>
  <r>
    <n v="4993"/>
    <s v="GreenGrocer Plaza"/>
    <d v="2024-07-26T00:00:00"/>
    <s v="Household Items"/>
    <s v="Milk"/>
    <n v="1"/>
    <n v="942.88"/>
    <n v="942.88"/>
    <n v="141.1"/>
    <n v="801.78"/>
    <n v="257"/>
    <s v="06:48:14"/>
    <n v="26"/>
    <n v="7"/>
    <n v="2024"/>
    <d v="2024-07-26T00:00:00"/>
    <s v="Cash"/>
    <s v="F"/>
    <n v="5"/>
    <s v="Pune"/>
    <x v="551"/>
  </r>
  <r>
    <n v="3369"/>
    <s v="QuickStop Market"/>
    <d v="2024-05-30T00:00:00"/>
    <s v="Household Items"/>
    <s v="Bread"/>
    <n v="3"/>
    <n v="1923.94"/>
    <n v="5771.82"/>
    <n v="576.85"/>
    <n v="5194.97"/>
    <n v="224"/>
    <s v="00:51:42"/>
    <n v="30"/>
    <n v="5"/>
    <n v="2024"/>
    <d v="2024-05-30T00:00:00"/>
    <s v="UPI"/>
    <s v="F"/>
    <n v="4"/>
    <s v="Pune"/>
    <x v="552"/>
  </r>
  <r>
    <n v="4122"/>
    <s v="FreshMart Downtown"/>
    <d v="2025-07-23T00:00:00"/>
    <s v="Beverages"/>
    <s v="Apples"/>
    <n v="5"/>
    <n v="611.71"/>
    <n v="3058.55"/>
    <n v="180.94"/>
    <n v="2877.61"/>
    <n v="382"/>
    <s v="20:23:26"/>
    <n v="23"/>
    <n v="7"/>
    <n v="2025"/>
    <d v="2025-07-23T00:00:00"/>
    <s v="Cash"/>
    <s v="F"/>
    <n v="2"/>
    <s v="Ahmedabad"/>
    <x v="553"/>
  </r>
  <r>
    <n v="9327"/>
    <s v="SuperSave Central"/>
    <d v="2025-03-08T00:00:00"/>
    <s v="Frozen Foods"/>
    <s v="Orange Juice"/>
    <n v="1"/>
    <n v="1414.32"/>
    <n v="1414.32"/>
    <n v="97.11"/>
    <n v="1317.21"/>
    <n v="284"/>
    <s v="13:38:12"/>
    <n v="8"/>
    <n v="3"/>
    <n v="2025"/>
    <d v="2025-03-08T00:00:00"/>
    <s v="UPI"/>
    <s v="M"/>
    <n v="3"/>
    <s v="Hyderabad"/>
    <x v="554"/>
  </r>
  <r>
    <n v="3236"/>
    <s v="Corner Grocery"/>
    <d v="2025-06-08T00:00:00"/>
    <s v="Personal Care"/>
    <s v="Onions"/>
    <n v="1"/>
    <n v="815.89"/>
    <n v="815.89"/>
    <n v="163.51"/>
    <n v="652.38"/>
    <n v="383"/>
    <s v="08:00:55"/>
    <n v="8"/>
    <n v="6"/>
    <n v="2025"/>
    <d v="2025-06-08T00:00:00"/>
    <s v="UPI"/>
    <s v="M"/>
    <n v="3"/>
    <s v="Ahmedabad"/>
    <x v="555"/>
  </r>
  <r>
    <n v="2143"/>
    <s v="Corner Grocery"/>
    <d v="2024-03-08T00:00:00"/>
    <s v="Health &amp; Wellness"/>
    <s v="Carrots"/>
    <n v="2"/>
    <n v="469.78"/>
    <n v="939.56"/>
    <n v="187.58"/>
    <n v="751.98"/>
    <n v="113"/>
    <s v="16:13:32"/>
    <n v="8"/>
    <n v="3"/>
    <n v="2024"/>
    <d v="2024-03-08T00:00:00"/>
    <s v="Credit Card"/>
    <s v="F"/>
    <n v="3"/>
    <s v="Jaipur"/>
    <x v="556"/>
  </r>
  <r>
    <n v="7798"/>
    <s v="GreenGrocer Plaza"/>
    <d v="2024-04-26T00:00:00"/>
    <s v="Meat &amp; Seafood"/>
    <s v="Milk"/>
    <n v="5"/>
    <n v="1192.71"/>
    <n v="5963.55"/>
    <n v="894.74"/>
    <n v="5068.8100000000004"/>
    <n v="281"/>
    <s v="23:47:41"/>
    <n v="26"/>
    <n v="4"/>
    <n v="2024"/>
    <d v="2024-04-26T00:00:00"/>
    <s v="UPI"/>
    <s v="F"/>
    <n v="2"/>
    <s v="Pune"/>
    <x v="557"/>
  </r>
  <r>
    <n v="9318"/>
    <s v="GreenGrocer Plaza"/>
    <d v="2024-03-01T00:00:00"/>
    <s v="Frozen Foods"/>
    <s v="Chicken Breast"/>
    <n v="2"/>
    <n v="1828.49"/>
    <n v="3656.98"/>
    <n v="548.63"/>
    <n v="3108.35"/>
    <n v="249"/>
    <s v="19:27:38"/>
    <n v="1"/>
    <n v="3"/>
    <n v="2024"/>
    <d v="2024-03-01T00:00:00"/>
    <s v="Credit Card"/>
    <s v="M"/>
    <n v="3"/>
    <s v="Hyderabad"/>
    <x v="558"/>
  </r>
  <r>
    <n v="1042"/>
    <s v="SuperSave Central"/>
    <d v="2024-03-13T00:00:00"/>
    <s v="Health &amp; Wellness"/>
    <s v="Ground Beef"/>
    <n v="1"/>
    <n v="768.58"/>
    <n v="768.58"/>
    <n v="115.37"/>
    <n v="653.21"/>
    <n v="35"/>
    <s v="22:18:03"/>
    <n v="13"/>
    <n v="3"/>
    <n v="2024"/>
    <d v="2024-03-13T00:00:00"/>
    <s v="UPI"/>
    <s v="M"/>
    <n v="2"/>
    <s v="Ahmedabad"/>
    <x v="559"/>
  </r>
  <r>
    <n v="5891"/>
    <s v="City Fresh Store"/>
    <d v="2025-05-18T00:00:00"/>
    <s v="Beverages"/>
    <s v="Cereal"/>
    <n v="5"/>
    <n v="1669.13"/>
    <n v="8345.65"/>
    <n v="271.41000000000003"/>
    <n v="8074.24"/>
    <n v="355"/>
    <s v="21:06:56"/>
    <n v="18"/>
    <n v="5"/>
    <n v="2025"/>
    <d v="2025-05-18T00:00:00"/>
    <s v="Debit Card"/>
    <s v="M"/>
    <n v="3"/>
    <s v="Pune"/>
    <x v="560"/>
  </r>
  <r>
    <n v="9022"/>
    <s v="MegaMart Westside"/>
    <d v="2025-06-09T00:00:00"/>
    <s v="Snacks &amp; Candy"/>
    <s v="Apples"/>
    <n v="1"/>
    <n v="835.81"/>
    <n v="835.81"/>
    <n v="0"/>
    <n v="835.81"/>
    <n v="402"/>
    <s v="12:21:27"/>
    <n v="9"/>
    <n v="6"/>
    <n v="2025"/>
    <d v="2025-06-09T00:00:00"/>
    <s v="Debit Card"/>
    <s v="M"/>
    <n v="5"/>
    <s v="Delhi"/>
    <x v="561"/>
  </r>
  <r>
    <n v="3434"/>
    <s v="Corner Grocery"/>
    <d v="2024-07-18T00:00:00"/>
    <s v="Frozen Foods"/>
    <s v="Orange Juice"/>
    <n v="2"/>
    <n v="1718.1"/>
    <n v="3436.2"/>
    <n v="343.62"/>
    <n v="3092.58"/>
    <n v="169"/>
    <s v="19:01:46"/>
    <n v="18"/>
    <n v="7"/>
    <n v="2024"/>
    <d v="2024-07-18T00:00:00"/>
    <s v="Debit Card"/>
    <s v="F"/>
    <n v="5"/>
    <s v="Ahmedabad"/>
    <x v="562"/>
  </r>
  <r>
    <n v="9824"/>
    <s v="City Fresh Store"/>
    <d v="2024-08-17T00:00:00"/>
    <s v="Canned Goods"/>
    <s v="Rice"/>
    <n v="4"/>
    <n v="1410.17"/>
    <n v="5640.68"/>
    <n v="845.77"/>
    <n v="4794.91"/>
    <n v="89"/>
    <s v="01:48:29"/>
    <n v="17"/>
    <n v="8"/>
    <n v="2024"/>
    <d v="2024-08-17T00:00:00"/>
    <s v="UPI"/>
    <s v="F"/>
    <n v="2"/>
    <s v="Hyderabad"/>
    <x v="563"/>
  </r>
  <r>
    <n v="6654"/>
    <s v="SuperSave Central"/>
    <d v="2024-04-21T00:00:00"/>
    <s v="Personal Care"/>
    <s v="Yogurt"/>
    <n v="3"/>
    <n v="1847.58"/>
    <n v="5542.74"/>
    <n v="0"/>
    <n v="5542.74"/>
    <n v="320"/>
    <s v="05:52:58"/>
    <n v="21"/>
    <n v="4"/>
    <n v="2024"/>
    <d v="2024-04-21T00:00:00"/>
    <s v="Credit Card"/>
    <s v="M"/>
    <n v="5"/>
    <s v="Ahmedabad"/>
    <x v="564"/>
  </r>
  <r>
    <n v="9903"/>
    <s v="GreenGrocer Plaza"/>
    <d v="2024-05-25T00:00:00"/>
    <s v="Produce"/>
    <s v="Carrots"/>
    <n v="1"/>
    <n v="2038.48"/>
    <n v="2038.48"/>
    <n v="153.55000000000001"/>
    <n v="1884.93"/>
    <n v="296"/>
    <s v="10:22:26"/>
    <n v="25"/>
    <n v="5"/>
    <n v="2024"/>
    <d v="2024-05-25T00:00:00"/>
    <s v="Credit Card"/>
    <s v="F"/>
    <n v="2"/>
    <s v="Chennai"/>
    <x v="565"/>
  </r>
  <r>
    <n v="8460"/>
    <s v="FreshMart Downtown"/>
    <d v="2025-07-31T00:00:00"/>
    <s v="Personal Care"/>
    <s v="Pasta"/>
    <n v="5"/>
    <n v="2234.36"/>
    <n v="11171.8"/>
    <n v="0"/>
    <n v="11171.8"/>
    <n v="276"/>
    <s v="18:13:58"/>
    <n v="31"/>
    <n v="7"/>
    <n v="2025"/>
    <d v="2025-07-31T00:00:00"/>
    <s v="UPI"/>
    <s v="M"/>
    <n v="5"/>
    <s v="Chennai"/>
    <x v="566"/>
  </r>
  <r>
    <n v="6272"/>
    <s v="SuperSave Central"/>
    <d v="2025-06-12T00:00:00"/>
    <s v="Canned Goods"/>
    <s v="Tomatoes"/>
    <n v="2"/>
    <n v="2227.7199999999998"/>
    <n v="4455.4399999999996"/>
    <n v="891.42"/>
    <n v="3564.02"/>
    <n v="301"/>
    <s v="10:37:21"/>
    <n v="12"/>
    <n v="6"/>
    <n v="2025"/>
    <d v="2025-06-12T00:00:00"/>
    <s v="Debit Card"/>
    <s v="F"/>
    <n v="5"/>
    <s v="Jaipur"/>
    <x v="567"/>
  </r>
  <r>
    <n v="4090"/>
    <s v="City Fresh Store"/>
    <d v="2025-01-29T00:00:00"/>
    <s v="Personal Care"/>
    <s v="Carrots"/>
    <n v="1"/>
    <n v="1037.5"/>
    <n v="1037.5"/>
    <n v="0"/>
    <n v="1037.5"/>
    <n v="257"/>
    <s v="06:45:00"/>
    <n v="29"/>
    <n v="1"/>
    <n v="2025"/>
    <d v="2025-01-29T00:00:00"/>
    <s v="Debit Card"/>
    <s v="M"/>
    <n v="2"/>
    <s v="Delhi"/>
    <x v="568"/>
  </r>
  <r>
    <n v="4912"/>
    <s v="FamilyFood Express"/>
    <d v="2024-10-24T00:00:00"/>
    <s v="Household Items"/>
    <s v="Apples"/>
    <n v="5"/>
    <n v="419.98"/>
    <n v="2099.9"/>
    <n v="397.57"/>
    <n v="1702.33"/>
    <n v="81"/>
    <s v="05:56:48"/>
    <n v="24"/>
    <n v="10"/>
    <n v="2024"/>
    <d v="2024-10-24T00:00:00"/>
    <s v="Credit Card"/>
    <s v="F"/>
    <n v="4"/>
    <s v="Bangalore"/>
    <x v="569"/>
  </r>
  <r>
    <n v="7274"/>
    <s v="SuperSave Central"/>
    <d v="2024-02-04T00:00:00"/>
    <s v="Beverages"/>
    <s v="Orange Juice"/>
    <n v="1"/>
    <n v="609.22"/>
    <n v="609.22"/>
    <n v="170.98"/>
    <n v="438.24"/>
    <n v="249"/>
    <s v="23:55:34"/>
    <n v="4"/>
    <n v="2"/>
    <n v="2024"/>
    <d v="2024-02-04T00:00:00"/>
    <s v="Debit Card"/>
    <s v="M"/>
    <n v="5"/>
    <s v="Bangalore"/>
    <x v="570"/>
  </r>
  <r>
    <n v="7730"/>
    <s v="FamilyFood Express"/>
    <d v="2023-09-09T00:00:00"/>
    <s v="Produce"/>
    <s v="Yogurt"/>
    <n v="5"/>
    <n v="2266.73"/>
    <n v="11333.65"/>
    <n v="1133.78"/>
    <n v="10199.870000000001"/>
    <n v="184"/>
    <s v="17:49:42"/>
    <n v="9"/>
    <n v="9"/>
    <n v="2023"/>
    <d v="2023-09-09T00:00:00"/>
    <s v="Cash"/>
    <s v="M"/>
    <n v="3"/>
    <s v="Hyderabad"/>
    <x v="571"/>
  </r>
  <r>
    <n v="6213"/>
    <s v="City Fresh Store"/>
    <d v="2025-03-07T00:00:00"/>
    <s v="Produce"/>
    <s v="Milk"/>
    <n v="3"/>
    <n v="330.34"/>
    <n v="991.02"/>
    <n v="0"/>
    <n v="991.02"/>
    <n v="495"/>
    <s v="09:51:58"/>
    <n v="7"/>
    <n v="3"/>
    <n v="2025"/>
    <d v="2025-03-07T00:00:00"/>
    <s v="Credit Card"/>
    <s v="F"/>
    <n v="4"/>
    <s v="Kolkata"/>
    <x v="572"/>
  </r>
  <r>
    <n v="8749"/>
    <s v="QuickStop Market"/>
    <d v="2025-02-04T00:00:00"/>
    <s v="Household Items"/>
    <s v="Onions"/>
    <n v="5"/>
    <n v="500.49"/>
    <n v="2502.4499999999998"/>
    <n v="375.16"/>
    <n v="2127.29"/>
    <n v="334"/>
    <s v="11:14:19"/>
    <n v="4"/>
    <n v="2"/>
    <n v="2025"/>
    <d v="2025-02-04T00:00:00"/>
    <s v="Debit Card"/>
    <s v="M"/>
    <n v="2"/>
    <s v="Bangalore"/>
    <x v="573"/>
  </r>
  <r>
    <n v="7246"/>
    <s v="GreenGrocer Plaza"/>
    <d v="2024-06-01T00:00:00"/>
    <s v="Personal Care"/>
    <s v="Pasta"/>
    <n v="4"/>
    <n v="2423.6"/>
    <n v="9694.4"/>
    <n v="1454.16"/>
    <n v="8240.24"/>
    <n v="114"/>
    <s v="21:56:58"/>
    <n v="1"/>
    <n v="6"/>
    <n v="2024"/>
    <d v="2024-06-01T00:00:00"/>
    <s v="Credit Card"/>
    <s v="F"/>
    <n v="4"/>
    <s v="Hyderabad"/>
    <x v="574"/>
  </r>
  <r>
    <n v="3492"/>
    <s v="MegaMart Westside"/>
    <d v="2024-08-25T00:00:00"/>
    <s v="Beverages"/>
    <s v="Potatoes"/>
    <n v="5"/>
    <n v="97.94"/>
    <n v="489.7"/>
    <n v="48.97"/>
    <n v="440.73"/>
    <n v="451"/>
    <s v="20:16:19"/>
    <n v="25"/>
    <n v="8"/>
    <n v="2024"/>
    <d v="2024-08-25T00:00:00"/>
    <s v="Cash"/>
    <s v="F"/>
    <n v="1"/>
    <s v="Delhi"/>
    <x v="575"/>
  </r>
  <r>
    <n v="1606"/>
    <s v="SuperSave Central"/>
    <d v="2023-11-13T00:00:00"/>
    <s v="Bakery"/>
    <s v="Bread"/>
    <n v="5"/>
    <n v="1630.95"/>
    <n v="8154.75"/>
    <n v="1630.95"/>
    <n v="6523.8"/>
    <n v="108"/>
    <s v="00:30:30"/>
    <n v="13"/>
    <n v="11"/>
    <n v="2023"/>
    <d v="2023-11-13T00:00:00"/>
    <s v="Credit Card"/>
    <s v="M"/>
    <n v="1"/>
    <s v="Kolkata"/>
    <x v="576"/>
  </r>
  <r>
    <n v="9229"/>
    <s v="SuperSave Central"/>
    <d v="2024-11-07T00:00:00"/>
    <s v="Canned Goods"/>
    <s v="Chicken Breast"/>
    <n v="2"/>
    <n v="1079.83"/>
    <n v="2159.66"/>
    <n v="215.8"/>
    <n v="1943.86"/>
    <n v="169"/>
    <s v="00:33:58"/>
    <n v="7"/>
    <n v="11"/>
    <n v="2024"/>
    <d v="2024-11-07T00:00:00"/>
    <s v="Credit Card"/>
    <s v="F"/>
    <n v="5"/>
    <s v="Kolkata"/>
    <x v="577"/>
  </r>
  <r>
    <n v="6439"/>
    <s v="City Fresh Store"/>
    <d v="2025-06-12T00:00:00"/>
    <s v="Beverages"/>
    <s v="Yogurt"/>
    <n v="5"/>
    <n v="470.61"/>
    <n v="2353.0500000000002"/>
    <n v="163.51"/>
    <n v="2189.54"/>
    <n v="426"/>
    <s v="15:35:41"/>
    <n v="12"/>
    <n v="6"/>
    <n v="2025"/>
    <d v="2025-06-12T00:00:00"/>
    <s v="Credit Card"/>
    <s v="F"/>
    <n v="5"/>
    <s v="Chennai"/>
    <x v="578"/>
  </r>
  <r>
    <n v="2644"/>
    <s v="SuperSave Central"/>
    <d v="2025-06-16T00:00:00"/>
    <s v="Household Items"/>
    <s v="Apples"/>
    <n v="2"/>
    <n v="1597.75"/>
    <n v="3195.5"/>
    <n v="138.61000000000001"/>
    <n v="3056.89"/>
    <n v="20"/>
    <s v="20:14:44"/>
    <n v="16"/>
    <n v="6"/>
    <n v="2025"/>
    <d v="2025-06-16T00:00:00"/>
    <s v="Credit Card"/>
    <s v="F"/>
    <n v="3"/>
    <s v="Jaipur"/>
    <x v="579"/>
  </r>
  <r>
    <n v="8213"/>
    <s v="SuperSave Central"/>
    <d v="2023-10-23T00:00:00"/>
    <s v="Personal Care"/>
    <s v="Tomatoes"/>
    <n v="5"/>
    <n v="2415.3000000000002"/>
    <n v="12076.5"/>
    <n v="0"/>
    <n v="12076.5"/>
    <n v="326"/>
    <s v="08:55:16"/>
    <n v="23"/>
    <n v="10"/>
    <n v="2023"/>
    <d v="2023-10-23T00:00:00"/>
    <s v="Cash"/>
    <s v="F"/>
    <n v="4"/>
    <s v="Pune"/>
    <x v="580"/>
  </r>
  <r>
    <n v="9617"/>
    <s v="QuickStop Market"/>
    <d v="2025-07-14T00:00:00"/>
    <s v="Dairy"/>
    <s v="Yogurt"/>
    <n v="4"/>
    <n v="1542.14"/>
    <n v="6168.56"/>
    <n v="1233.3800000000001"/>
    <n v="4935.18"/>
    <n v="241"/>
    <s v="08:47:40"/>
    <n v="14"/>
    <n v="7"/>
    <n v="2025"/>
    <d v="2025-07-14T00:00:00"/>
    <s v="UPI"/>
    <s v="F"/>
    <n v="1"/>
    <s v="Kolkata"/>
    <x v="581"/>
  </r>
  <r>
    <n v="8486"/>
    <s v="FamilyFood Express"/>
    <d v="2023-08-18T00:00:00"/>
    <s v="Snacks &amp; Candy"/>
    <s v="Eggs"/>
    <n v="5"/>
    <n v="2056.7399999999998"/>
    <n v="10283.700000000001"/>
    <n v="2056.7399999999998"/>
    <n v="8226.9599999999991"/>
    <n v="93"/>
    <s v="23:46:42"/>
    <n v="18"/>
    <n v="8"/>
    <n v="2023"/>
    <d v="2023-08-18T00:00:00"/>
    <s v="Credit Card"/>
    <s v="M"/>
    <n v="5"/>
    <s v="Mumbai"/>
    <x v="582"/>
  </r>
  <r>
    <n v="3361"/>
    <s v="MegaMart Westside"/>
    <d v="2024-06-20T00:00:00"/>
    <s v="Beverages"/>
    <s v="Bread"/>
    <n v="2"/>
    <n v="992.68"/>
    <n v="1985.36"/>
    <n v="150.22999999999999"/>
    <n v="1835.13"/>
    <n v="67"/>
    <s v="15:50:43"/>
    <n v="20"/>
    <n v="6"/>
    <n v="2024"/>
    <d v="2024-06-20T00:00:00"/>
    <s v="Credit Card"/>
    <s v="F"/>
    <n v="4"/>
    <s v="Hyderabad"/>
    <x v="583"/>
  </r>
  <r>
    <n v="3529"/>
    <s v="ValuePlus Market"/>
    <d v="2023-10-04T00:00:00"/>
    <s v="Health &amp; Wellness"/>
    <s v="Cheese"/>
    <n v="2"/>
    <n v="1539.65"/>
    <n v="3079.3"/>
    <n v="282.2"/>
    <n v="2797.1"/>
    <n v="90"/>
    <s v="13:50:33"/>
    <n v="4"/>
    <n v="10"/>
    <n v="2023"/>
    <d v="2023-10-04T00:00:00"/>
    <s v="Debit Card"/>
    <s v="F"/>
    <n v="5"/>
    <s v="Kolkata"/>
    <x v="584"/>
  </r>
  <r>
    <n v="8692"/>
    <s v="ValuePlus Market"/>
    <d v="2025-04-05T00:00:00"/>
    <s v="Personal Care"/>
    <s v="Chicken Breast"/>
    <n v="1"/>
    <n v="1242.51"/>
    <n v="1242.51"/>
    <n v="0"/>
    <n v="1242.51"/>
    <n v="66"/>
    <s v="20:21:11"/>
    <n v="5"/>
    <n v="4"/>
    <n v="2025"/>
    <d v="2025-04-05T00:00:00"/>
    <s v="Credit Card"/>
    <s v="F"/>
    <n v="5"/>
    <s v="Kolkata"/>
    <x v="585"/>
  </r>
  <r>
    <n v="5342"/>
    <s v="Corner Grocery"/>
    <d v="2024-04-25T00:00:00"/>
    <s v="Personal Care"/>
    <s v="Cheese"/>
    <n v="3"/>
    <n v="2187.88"/>
    <n v="6563.64"/>
    <n v="1313.06"/>
    <n v="5250.58"/>
    <n v="357"/>
    <s v="01:31:05"/>
    <n v="25"/>
    <n v="4"/>
    <n v="2024"/>
    <d v="2024-04-25T00:00:00"/>
    <s v="Debit Card"/>
    <s v="F"/>
    <n v="1"/>
    <s v="Lucknow"/>
    <x v="586"/>
  </r>
  <r>
    <n v="7512"/>
    <s v="City Fresh Store"/>
    <d v="2024-12-23T00:00:00"/>
    <s v="Snacks &amp; Candy"/>
    <s v="Orange Juice"/>
    <n v="5"/>
    <n v="2018.56"/>
    <n v="10092.799999999999"/>
    <n v="1009.28"/>
    <n v="9083.52"/>
    <n v="464"/>
    <s v="04:59:23"/>
    <n v="23"/>
    <n v="12"/>
    <n v="2024"/>
    <d v="2024-12-23T00:00:00"/>
    <s v="UPI"/>
    <s v="F"/>
    <n v="1"/>
    <s v="Mumbai"/>
    <x v="587"/>
  </r>
  <r>
    <n v="2315"/>
    <s v="SuperSave Central"/>
    <d v="2025-05-29T00:00:00"/>
    <s v="Frozen Foods"/>
    <s v="Potatoes"/>
    <n v="2"/>
    <n v="2272.54"/>
    <n v="4545.08"/>
    <n v="374.33"/>
    <n v="4170.75"/>
    <n v="42"/>
    <s v="12:16:36"/>
    <n v="29"/>
    <n v="5"/>
    <n v="2025"/>
    <d v="2025-05-29T00:00:00"/>
    <s v="Cash"/>
    <s v="M"/>
    <n v="5"/>
    <s v="Lucknow"/>
    <x v="588"/>
  </r>
  <r>
    <n v="6383"/>
    <s v="Corner Grocery"/>
    <d v="2025-05-30T00:00:00"/>
    <s v="Frozen Foods"/>
    <s v="Yogurt"/>
    <n v="1"/>
    <n v="1789.48"/>
    <n v="1789.48"/>
    <n v="256.47000000000003"/>
    <n v="1533.01"/>
    <n v="404"/>
    <s v="19:48:26"/>
    <n v="30"/>
    <n v="5"/>
    <n v="2025"/>
    <d v="2025-05-30T00:00:00"/>
    <s v="Cash"/>
    <s v="F"/>
    <n v="2"/>
    <s v="Kolkata"/>
    <x v="589"/>
  </r>
  <r>
    <n v="9742"/>
    <s v="ValuePlus Market"/>
    <d v="2024-05-28T00:00:00"/>
    <s v="Produce"/>
    <s v="Tomatoes"/>
    <n v="2"/>
    <n v="1738.02"/>
    <n v="3476.04"/>
    <n v="521.24"/>
    <n v="2954.8"/>
    <n v="161"/>
    <s v="15:18:30"/>
    <n v="28"/>
    <n v="5"/>
    <n v="2024"/>
    <d v="2024-05-28T00:00:00"/>
    <s v="UPI"/>
    <s v="M"/>
    <n v="5"/>
    <s v="Pune"/>
    <x v="590"/>
  </r>
  <r>
    <n v="6188"/>
    <s v="GreenGrocer Plaza"/>
    <d v="2024-12-05T00:00:00"/>
    <s v="Meat &amp; Seafood"/>
    <s v="Cheese"/>
    <n v="5"/>
    <n v="693.05"/>
    <n v="3465.25"/>
    <n v="204.18"/>
    <n v="3261.07"/>
    <n v="437"/>
    <s v="06:10:57"/>
    <n v="5"/>
    <n v="12"/>
    <n v="2024"/>
    <d v="2024-12-05T00:00:00"/>
    <s v="Cash"/>
    <s v="M"/>
    <n v="5"/>
    <s v="Mumbai"/>
    <x v="591"/>
  </r>
  <r>
    <n v="8994"/>
    <s v="QuickStop Market"/>
    <d v="2025-06-14T00:00:00"/>
    <s v="Health &amp; Wellness"/>
    <s v="Tomatoes"/>
    <n v="2"/>
    <n v="1076.51"/>
    <n v="2153.02"/>
    <n v="430.77"/>
    <n v="1722.25"/>
    <n v="401"/>
    <s v="11:05:30"/>
    <n v="14"/>
    <n v="6"/>
    <n v="2025"/>
    <d v="2025-06-14T00:00:00"/>
    <s v="UPI"/>
    <s v="M"/>
    <n v="3"/>
    <s v="Chennai"/>
    <x v="592"/>
  </r>
  <r>
    <n v="9864"/>
    <s v="MegaMart Westside"/>
    <d v="2023-09-03T00:00:00"/>
    <s v="Personal Care"/>
    <s v="Onions"/>
    <n v="4"/>
    <n v="693.05"/>
    <n v="2772.2"/>
    <n v="0"/>
    <n v="2772.2"/>
    <n v="157"/>
    <s v="14:19:37"/>
    <n v="3"/>
    <n v="9"/>
    <n v="2023"/>
    <d v="2023-09-03T00:00:00"/>
    <s v="UPI"/>
    <s v="M"/>
    <n v="3"/>
    <s v="Ahmedabad"/>
    <x v="593"/>
  </r>
  <r>
    <n v="2121"/>
    <s v="Corner Grocery"/>
    <d v="2024-02-05T00:00:00"/>
    <s v="Meat &amp; Seafood"/>
    <s v="Chicken Breast"/>
    <n v="2"/>
    <n v="1157.02"/>
    <n v="2314.04"/>
    <n v="154.38"/>
    <n v="2159.66"/>
    <n v="358"/>
    <s v="03:55:14"/>
    <n v="5"/>
    <n v="2"/>
    <n v="2024"/>
    <d v="2024-02-05T00:00:00"/>
    <s v="UPI"/>
    <s v="F"/>
    <n v="3"/>
    <s v="Kolkata"/>
    <x v="594"/>
  </r>
  <r>
    <n v="5708"/>
    <s v="Corner Grocery"/>
    <d v="2024-01-30T00:00:00"/>
    <s v="Canned Goods"/>
    <s v="Onions"/>
    <n v="5"/>
    <n v="1759.6"/>
    <n v="8798"/>
    <n v="1759.6"/>
    <n v="7038.4"/>
    <n v="361"/>
    <s v="16:48:44"/>
    <n v="30"/>
    <n v="1"/>
    <n v="2024"/>
    <d v="2024-01-30T00:00:00"/>
    <s v="Cash"/>
    <s v="M"/>
    <n v="2"/>
    <s v="Kolkata"/>
    <x v="595"/>
  </r>
  <r>
    <n v="2480"/>
    <s v="Corner Grocery"/>
    <d v="2024-07-09T00:00:00"/>
    <s v="Health &amp; Wellness"/>
    <s v="Bananas"/>
    <n v="1"/>
    <n v="2063.38"/>
    <n v="2063.38"/>
    <n v="104.58"/>
    <n v="1958.8"/>
    <n v="241"/>
    <s v="16:38:25"/>
    <n v="9"/>
    <n v="7"/>
    <n v="2024"/>
    <d v="2024-07-09T00:00:00"/>
    <s v="Debit Card"/>
    <s v="M"/>
    <n v="2"/>
    <s v="Jaipur"/>
    <x v="596"/>
  </r>
  <r>
    <n v="2612"/>
    <s v="FamilyFood Express"/>
    <d v="2025-03-19T00:00:00"/>
    <s v="Canned Goods"/>
    <s v="Bread"/>
    <n v="5"/>
    <n v="172.64"/>
    <n v="863.2"/>
    <n v="300.45999999999998"/>
    <n v="562.74"/>
    <n v="196"/>
    <s v="16:04:30"/>
    <n v="19"/>
    <n v="3"/>
    <n v="2025"/>
    <d v="2025-03-19T00:00:00"/>
    <s v="UPI"/>
    <s v="F"/>
    <n v="5"/>
    <s v="Jaipur"/>
    <x v="597"/>
  </r>
  <r>
    <n v="2646"/>
    <s v="QuickStop Market"/>
    <d v="2024-07-16T00:00:00"/>
    <s v="Household Items"/>
    <s v="Milk"/>
    <n v="2"/>
    <n v="1623.48"/>
    <n v="3246.96"/>
    <n v="649.05999999999995"/>
    <n v="2597.9"/>
    <n v="224"/>
    <s v="16:31:03"/>
    <n v="16"/>
    <n v="7"/>
    <n v="2024"/>
    <d v="2024-07-16T00:00:00"/>
    <s v="Credit Card"/>
    <s v="F"/>
    <n v="3"/>
    <s v="Lucknow"/>
    <x v="598"/>
  </r>
  <r>
    <n v="3725"/>
    <s v="ValuePlus Market"/>
    <d v="2025-01-27T00:00:00"/>
    <s v="Frozen Foods"/>
    <s v="Yogurt"/>
    <n v="1"/>
    <n v="1968.76"/>
    <n v="1968.76"/>
    <n v="139.44"/>
    <n v="1829.32"/>
    <n v="261"/>
    <s v="12:52:58"/>
    <n v="27"/>
    <n v="1"/>
    <n v="2025"/>
    <d v="2025-01-27T00:00:00"/>
    <s v="Cash"/>
    <s v="F"/>
    <n v="2"/>
    <s v="Hyderabad"/>
    <x v="599"/>
  </r>
  <r>
    <n v="5906"/>
    <s v="FreshMart Downtown"/>
    <d v="2025-07-08T00:00:00"/>
    <s v="Canned Goods"/>
    <s v="Ground Beef"/>
    <n v="1"/>
    <n v="2430.2399999999998"/>
    <n v="2430.2399999999998"/>
    <n v="243.19"/>
    <n v="2187.0500000000002"/>
    <n v="44"/>
    <s v="18:37:43"/>
    <n v="8"/>
    <n v="7"/>
    <n v="2025"/>
    <d v="2025-07-08T00:00:00"/>
    <s v="UPI"/>
    <s v="M"/>
    <n v="1"/>
    <s v="Pune"/>
    <x v="600"/>
  </r>
  <r>
    <n v="1474"/>
    <s v="MegaMart Westside"/>
    <d v="2023-09-11T00:00:00"/>
    <s v="Health &amp; Wellness"/>
    <s v="Tomatoes"/>
    <n v="4"/>
    <n v="1493.17"/>
    <n v="5972.68"/>
    <n v="0"/>
    <n v="5972.68"/>
    <n v="265"/>
    <s v="16:49:54"/>
    <n v="11"/>
    <n v="9"/>
    <n v="2023"/>
    <d v="2023-09-11T00:00:00"/>
    <s v="UPI"/>
    <s v="F"/>
    <n v="5"/>
    <s v="Hyderabad"/>
    <x v="601"/>
  </r>
  <r>
    <n v="6314"/>
    <s v="GreenGrocer Plaza"/>
    <d v="2025-04-16T00:00:00"/>
    <s v="Dairy"/>
    <s v="Onions"/>
    <n v="3"/>
    <n v="1830.15"/>
    <n v="5490.45"/>
    <n v="823.36"/>
    <n v="4667.09"/>
    <n v="286"/>
    <s v="18:50:15"/>
    <n v="16"/>
    <n v="4"/>
    <n v="2025"/>
    <d v="2025-04-16T00:00:00"/>
    <s v="Credit Card"/>
    <s v="F"/>
    <n v="4"/>
    <s v="Ahmedabad"/>
    <x v="602"/>
  </r>
  <r>
    <n v="1919"/>
    <s v="ValuePlus Market"/>
    <d v="2024-03-21T00:00:00"/>
    <s v="Bakery"/>
    <s v="Yogurt"/>
    <n v="4"/>
    <n v="2319.85"/>
    <n v="9279.4"/>
    <n v="1391.91"/>
    <n v="7887.49"/>
    <n v="294"/>
    <s v="11:42:16"/>
    <n v="21"/>
    <n v="3"/>
    <n v="2024"/>
    <d v="2024-03-21T00:00:00"/>
    <s v="Debit Card"/>
    <s v="M"/>
    <n v="5"/>
    <s v="Kolkata"/>
    <x v="603"/>
  </r>
  <r>
    <n v="6873"/>
    <s v="SuperSave Central"/>
    <d v="2024-05-24T00:00:00"/>
    <s v="Snacks &amp; Candy"/>
    <s v="Carrots"/>
    <n v="1"/>
    <n v="1426.77"/>
    <n v="1426.77"/>
    <n v="214.14"/>
    <n v="1212.6300000000001"/>
    <n v="257"/>
    <s v="21:11:03"/>
    <n v="24"/>
    <n v="5"/>
    <n v="2024"/>
    <d v="2024-05-24T00:00:00"/>
    <s v="Debit Card"/>
    <s v="F"/>
    <n v="4"/>
    <s v="Pune"/>
    <x v="604"/>
  </r>
  <r>
    <n v="8056"/>
    <s v="GreenGrocer Plaza"/>
    <d v="2023-11-28T00:00:00"/>
    <s v="Personal Care"/>
    <s v="Pasta"/>
    <n v="5"/>
    <n v="2039.31"/>
    <n v="10196.549999999999"/>
    <n v="0"/>
    <n v="10196.549999999999"/>
    <n v="294"/>
    <s v="17:41:13"/>
    <n v="28"/>
    <n v="11"/>
    <n v="2023"/>
    <d v="2023-11-28T00:00:00"/>
    <s v="Debit Card"/>
    <s v="F"/>
    <n v="3"/>
    <s v="Mumbai"/>
    <x v="605"/>
  </r>
  <r>
    <n v="5000"/>
    <s v="City Fresh Store"/>
    <d v="2024-09-22T00:00:00"/>
    <s v="Snacks &amp; Candy"/>
    <s v="Potatoes"/>
    <n v="2"/>
    <n v="1905.68"/>
    <n v="3811.36"/>
    <n v="0"/>
    <n v="3811.36"/>
    <n v="492"/>
    <s v="18:32:03"/>
    <n v="22"/>
    <n v="9"/>
    <n v="2024"/>
    <d v="2024-09-22T00:00:00"/>
    <s v="UPI"/>
    <s v="F"/>
    <n v="4"/>
    <s v="Kolkata"/>
    <x v="606"/>
  </r>
  <r>
    <n v="7751"/>
    <s v="City Fresh Store"/>
    <d v="2024-10-19T00:00:00"/>
    <s v="Household Items"/>
    <s v="Bananas"/>
    <n v="4"/>
    <n v="361.88"/>
    <n v="1447.52"/>
    <n v="0"/>
    <n v="1447.52"/>
    <n v="34"/>
    <s v="06:40:48"/>
    <n v="19"/>
    <n v="10"/>
    <n v="2024"/>
    <d v="2024-10-19T00:00:00"/>
    <s v="UPI"/>
    <s v="F"/>
    <n v="3"/>
    <s v="Chennai"/>
    <x v="607"/>
  </r>
  <r>
    <n v="3950"/>
    <s v="FamilyFood Express"/>
    <d v="2023-12-17T00:00:00"/>
    <s v="Health &amp; Wellness"/>
    <s v="Ground Beef"/>
    <n v="3"/>
    <n v="1074.8499999999999"/>
    <n v="3224.55"/>
    <n v="0"/>
    <n v="3224.55"/>
    <n v="180"/>
    <s v="19:23:31"/>
    <n v="17"/>
    <n v="12"/>
    <n v="2023"/>
    <d v="2023-12-17T00:00:00"/>
    <s v="UPI"/>
    <s v="M"/>
    <n v="1"/>
    <s v="Kolkata"/>
    <x v="608"/>
  </r>
  <r>
    <n v="3868"/>
    <s v="QuickStop Market"/>
    <d v="2023-10-07T00:00:00"/>
    <s v="Bakery"/>
    <s v="Rice"/>
    <n v="1"/>
    <n v="1042.48"/>
    <n v="1042.48"/>
    <n v="267.26"/>
    <n v="775.22"/>
    <n v="383"/>
    <s v="17:20:15"/>
    <n v="7"/>
    <n v="10"/>
    <n v="2023"/>
    <d v="2023-10-07T00:00:00"/>
    <s v="Cash"/>
    <s v="F"/>
    <n v="4"/>
    <s v="Bangalore"/>
    <x v="609"/>
  </r>
  <r>
    <n v="7267"/>
    <s v="SuperSave Central"/>
    <d v="2024-11-30T00:00:00"/>
    <s v="Beverages"/>
    <s v="Cereal"/>
    <n v="3"/>
    <n v="608.39"/>
    <n v="1825.17"/>
    <n v="365.2"/>
    <n v="1459.97"/>
    <n v="293"/>
    <s v="00:24:10"/>
    <n v="30"/>
    <n v="11"/>
    <n v="2024"/>
    <d v="2024-11-30T00:00:00"/>
    <s v="Credit Card"/>
    <s v="F"/>
    <n v="5"/>
    <s v="Pune"/>
    <x v="610"/>
  </r>
  <r>
    <n v="4945"/>
    <s v="FamilyFood Express"/>
    <d v="2024-08-27T00:00:00"/>
    <s v="Beverages"/>
    <s v="Yogurt"/>
    <n v="2"/>
    <n v="1852.56"/>
    <n v="3705.12"/>
    <n v="741.19"/>
    <n v="2963.93"/>
    <n v="446"/>
    <s v="02:53:23"/>
    <n v="27"/>
    <n v="8"/>
    <n v="2024"/>
    <d v="2024-08-27T00:00:00"/>
    <s v="UPI"/>
    <s v="M"/>
    <n v="3"/>
    <s v="Bangalore"/>
    <x v="611"/>
  </r>
  <r>
    <n v="3344"/>
    <s v="FamilyFood Express"/>
    <d v="2024-02-03T00:00:00"/>
    <s v="Bakery"/>
    <s v="Ground Beef"/>
    <n v="5"/>
    <n v="938.73"/>
    <n v="4693.6499999999996"/>
    <n v="388.44"/>
    <n v="4305.21"/>
    <n v="398"/>
    <s v="23:42:02"/>
    <n v="3"/>
    <n v="2"/>
    <n v="2024"/>
    <d v="2024-02-03T00:00:00"/>
    <s v="Credit Card"/>
    <s v="F"/>
    <n v="5"/>
    <s v="Lucknow"/>
    <x v="612"/>
  </r>
  <r>
    <n v="8555"/>
    <s v="City Fresh Store"/>
    <d v="2024-12-14T00:00:00"/>
    <s v="Household Items"/>
    <s v="Bananas"/>
    <n v="5"/>
    <n v="2387.91"/>
    <n v="11939.55"/>
    <n v="1791.14"/>
    <n v="10148.41"/>
    <n v="434"/>
    <s v="12:39:59"/>
    <n v="14"/>
    <n v="12"/>
    <n v="2024"/>
    <d v="2024-12-14T00:00:00"/>
    <s v="Credit Card"/>
    <s v="M"/>
    <n v="2"/>
    <s v="Jaipur"/>
    <x v="613"/>
  </r>
  <r>
    <n v="5161"/>
    <s v="MegaMart Westside"/>
    <d v="2024-07-28T00:00:00"/>
    <s v="Beverages"/>
    <s v="Pasta"/>
    <n v="4"/>
    <n v="522.07000000000005"/>
    <n v="2088.2800000000002"/>
    <n v="209.16"/>
    <n v="1879.12"/>
    <n v="391"/>
    <s v="14:16:51"/>
    <n v="28"/>
    <n v="7"/>
    <n v="2024"/>
    <d v="2024-07-28T00:00:00"/>
    <s v="Debit Card"/>
    <s v="F"/>
    <n v="3"/>
    <s v="Mumbai"/>
    <x v="614"/>
  </r>
  <r>
    <n v="5183"/>
    <s v="FamilyFood Express"/>
    <d v="2025-01-05T00:00:00"/>
    <s v="Household Items"/>
    <s v="Eggs"/>
    <n v="1"/>
    <n v="1347.92"/>
    <n v="1347.92"/>
    <n v="93.79"/>
    <n v="1254.1300000000001"/>
    <n v="216"/>
    <s v="14:01:38"/>
    <n v="5"/>
    <n v="1"/>
    <n v="2025"/>
    <d v="2025-01-05T00:00:00"/>
    <s v="Cash"/>
    <s v="M"/>
    <n v="4"/>
    <s v="Kolkata"/>
    <x v="615"/>
  </r>
  <r>
    <n v="1153"/>
    <s v="MegaMart Westside"/>
    <d v="2025-07-05T00:00:00"/>
    <s v="Snacks &amp; Candy"/>
    <s v="Apples"/>
    <n v="4"/>
    <n v="2432.73"/>
    <n v="9730.92"/>
    <n v="1459.97"/>
    <n v="8270.9500000000007"/>
    <n v="357"/>
    <s v="15:23:54"/>
    <n v="5"/>
    <n v="7"/>
    <n v="2025"/>
    <d v="2025-07-05T00:00:00"/>
    <s v="UPI"/>
    <s v="M"/>
    <n v="3"/>
    <s v="Lucknow"/>
    <x v="616"/>
  </r>
  <r>
    <n v="8622"/>
    <s v="FreshMart Downtown"/>
    <d v="2025-07-06T00:00:00"/>
    <s v="Produce"/>
    <s v="Yogurt"/>
    <n v="4"/>
    <n v="1480.72"/>
    <n v="5922.88"/>
    <n v="369.35"/>
    <n v="5553.53"/>
    <n v="166"/>
    <s v="06:48:20"/>
    <n v="6"/>
    <n v="7"/>
    <n v="2025"/>
    <d v="2025-07-06T00:00:00"/>
    <s v="Debit Card"/>
    <s v="M"/>
    <n v="5"/>
    <s v="Lucknow"/>
    <x v="617"/>
  </r>
  <r>
    <n v="5712"/>
    <s v="SuperSave Central"/>
    <d v="2025-01-14T00:00:00"/>
    <s v="Personal Care"/>
    <s v="Pasta"/>
    <n v="2"/>
    <n v="730.4"/>
    <n v="1460.8"/>
    <n v="219.12"/>
    <n v="1241.68"/>
    <n v="490"/>
    <s v="07:50:45"/>
    <n v="14"/>
    <n v="1"/>
    <n v="2025"/>
    <d v="2025-01-14T00:00:00"/>
    <s v="Debit Card"/>
    <s v="M"/>
    <n v="1"/>
    <s v="Mumbai"/>
    <x v="618"/>
  </r>
  <r>
    <n v="9955"/>
    <s v="SuperSave Central"/>
    <d v="2023-12-07T00:00:00"/>
    <s v="Beverages"/>
    <s v="Cheese"/>
    <n v="2"/>
    <n v="1090.6199999999999"/>
    <n v="2181.2399999999998"/>
    <n v="327.02"/>
    <n v="1854.22"/>
    <n v="385"/>
    <s v="05:31:34"/>
    <n v="7"/>
    <n v="12"/>
    <n v="2023"/>
    <d v="2023-12-07T00:00:00"/>
    <s v="UPI"/>
    <s v="F"/>
    <n v="3"/>
    <s v="Delhi"/>
    <x v="619"/>
  </r>
  <r>
    <n v="2210"/>
    <s v="Corner Grocery"/>
    <d v="2024-07-15T00:00:00"/>
    <s v="Frozen Foods"/>
    <s v="Salmon"/>
    <n v="2"/>
    <n v="1457.48"/>
    <n v="2914.96"/>
    <n v="322.04000000000002"/>
    <n v="2592.92"/>
    <n v="294"/>
    <s v="07:07:31"/>
    <n v="15"/>
    <n v="7"/>
    <n v="2024"/>
    <d v="2024-07-15T00:00:00"/>
    <s v="Credit Card"/>
    <s v="M"/>
    <n v="4"/>
    <s v="Kolkata"/>
    <x v="620"/>
  </r>
  <r>
    <n v="6661"/>
    <s v="FamilyFood Express"/>
    <d v="2024-11-05T00:00:00"/>
    <s v="Personal Care"/>
    <s v="Cheese"/>
    <n v="4"/>
    <n v="554.44000000000005"/>
    <n v="2217.7600000000002"/>
    <n v="221.61"/>
    <n v="1996.15"/>
    <n v="409"/>
    <s v="08:14:25"/>
    <n v="5"/>
    <n v="11"/>
    <n v="2024"/>
    <d v="2024-11-05T00:00:00"/>
    <s v="Debit Card"/>
    <s v="F"/>
    <n v="2"/>
    <s v="Bangalore"/>
    <x v="621"/>
  </r>
  <r>
    <n v="5901"/>
    <s v="FreshMart Downtown"/>
    <d v="2024-12-15T00:00:00"/>
    <s v="Meat &amp; Seafood"/>
    <s v="Cheese"/>
    <n v="4"/>
    <n v="405.87"/>
    <n v="1623.48"/>
    <n v="162.68"/>
    <n v="1460.8"/>
    <n v="457"/>
    <s v="22:49:27"/>
    <n v="15"/>
    <n v="12"/>
    <n v="2024"/>
    <d v="2024-12-15T00:00:00"/>
    <s v="Credit Card"/>
    <s v="M"/>
    <n v="1"/>
    <s v="Pune"/>
    <x v="622"/>
  </r>
  <r>
    <n v="7951"/>
    <s v="QuickStop Market"/>
    <d v="2025-01-24T00:00:00"/>
    <s v="Frozen Foods"/>
    <s v="Onions"/>
    <n v="5"/>
    <n v="196.71"/>
    <n v="983.55"/>
    <n v="154.38"/>
    <n v="829.17"/>
    <n v="50"/>
    <s v="10:35:51"/>
    <n v="24"/>
    <n v="1"/>
    <n v="2025"/>
    <d v="2025-01-24T00:00:00"/>
    <s v="Cash"/>
    <s v="M"/>
    <n v="2"/>
    <s v="Bangalore"/>
    <x v="623"/>
  </r>
  <r>
    <n v="5097"/>
    <s v="QuickStop Market"/>
    <d v="2024-07-26T00:00:00"/>
    <s v="Beverages"/>
    <s v="Chicken Breast"/>
    <n v="4"/>
    <n v="1874.14"/>
    <n v="7496.56"/>
    <n v="1124.6500000000001"/>
    <n v="6371.91"/>
    <n v="133"/>
    <s v="09:23:48"/>
    <n v="26"/>
    <n v="7"/>
    <n v="2024"/>
    <d v="2024-07-26T00:00:00"/>
    <s v="Credit Card"/>
    <s v="M"/>
    <n v="3"/>
    <s v="Mumbai"/>
    <x v="624"/>
  </r>
  <r>
    <n v="5949"/>
    <s v="ValuePlus Market"/>
    <d v="2024-01-08T00:00:00"/>
    <s v="Personal Care"/>
    <s v="Pasta"/>
    <n v="3"/>
    <n v="130.31"/>
    <n v="390.93"/>
    <n v="0"/>
    <n v="390.93"/>
    <n v="62"/>
    <s v="00:19:45"/>
    <n v="8"/>
    <n v="1"/>
    <n v="2024"/>
    <d v="2024-01-08T00:00:00"/>
    <s v="Cash"/>
    <s v="F"/>
    <n v="5"/>
    <s v="Ahmedabad"/>
    <x v="625"/>
  </r>
  <r>
    <n v="7302"/>
    <s v="FamilyFood Express"/>
    <d v="2025-05-30T00:00:00"/>
    <s v="Household Items"/>
    <s v="Onions"/>
    <n v="2"/>
    <n v="2439.37"/>
    <n v="4878.74"/>
    <n v="732.06"/>
    <n v="4146.68"/>
    <n v="145"/>
    <s v="15:22:39"/>
    <n v="30"/>
    <n v="5"/>
    <n v="2025"/>
    <d v="2025-05-30T00:00:00"/>
    <s v="Credit Card"/>
    <s v="M"/>
    <n v="5"/>
    <s v="Kolkata"/>
    <x v="626"/>
  </r>
  <r>
    <n v="8916"/>
    <s v="ValuePlus Market"/>
    <d v="2023-10-28T00:00:00"/>
    <s v="Beverages"/>
    <s v="Salmon"/>
    <n v="1"/>
    <n v="999.32"/>
    <n v="999.32"/>
    <n v="0"/>
    <n v="999.32"/>
    <n v="146"/>
    <s v="19:21:29"/>
    <n v="28"/>
    <n v="10"/>
    <n v="2023"/>
    <d v="2023-10-28T00:00:00"/>
    <s v="Debit Card"/>
    <s v="F"/>
    <n v="4"/>
    <s v="Chennai"/>
    <x v="627"/>
  </r>
  <r>
    <n v="4886"/>
    <s v="SuperSave Central"/>
    <d v="2024-05-29T00:00:00"/>
    <s v="Meat &amp; Seafood"/>
    <s v="Cereal"/>
    <n v="4"/>
    <n v="1601.9"/>
    <n v="6407.6"/>
    <n v="109.56"/>
    <n v="6298.04"/>
    <n v="292"/>
    <s v="13:07:32"/>
    <n v="29"/>
    <n v="5"/>
    <n v="2024"/>
    <d v="2024-05-29T00:00:00"/>
    <s v="Debit Card"/>
    <s v="F"/>
    <n v="5"/>
    <s v="Hyderabad"/>
    <x v="628"/>
  </r>
  <r>
    <n v="6881"/>
    <s v="MegaMart Westside"/>
    <d v="2024-10-26T00:00:00"/>
    <s v="Bakery"/>
    <s v="Cereal"/>
    <n v="3"/>
    <n v="1654.19"/>
    <n v="4962.57"/>
    <n v="297.14"/>
    <n v="4665.43"/>
    <n v="363"/>
    <s v="18:05:37"/>
    <n v="26"/>
    <n v="10"/>
    <n v="2024"/>
    <d v="2024-10-26T00:00:00"/>
    <s v="Cash"/>
    <s v="F"/>
    <n v="1"/>
    <s v="Pune"/>
    <x v="629"/>
  </r>
  <r>
    <n v="5847"/>
    <s v="QuickStop Market"/>
    <d v="2025-01-31T00:00:00"/>
    <s v="Beverages"/>
    <s v="Orange Juice"/>
    <n v="5"/>
    <n v="1336.3"/>
    <n v="6681.5"/>
    <n v="1336.3"/>
    <n v="5345.2"/>
    <n v="230"/>
    <s v="06:55:37"/>
    <n v="31"/>
    <n v="1"/>
    <n v="2025"/>
    <d v="2025-01-31T00:00:00"/>
    <s v="UPI"/>
    <s v="F"/>
    <n v="5"/>
    <s v="Chennai"/>
    <x v="630"/>
  </r>
  <r>
    <n v="5837"/>
    <s v="SuperSave Central"/>
    <d v="2023-08-24T00:00:00"/>
    <s v="Produce"/>
    <s v="Eggs"/>
    <n v="2"/>
    <n v="1675.77"/>
    <n v="3351.54"/>
    <n v="670.64"/>
    <n v="2680.9"/>
    <n v="481"/>
    <s v="01:48:32"/>
    <n v="24"/>
    <n v="8"/>
    <n v="2023"/>
    <d v="2023-08-24T00:00:00"/>
    <s v="Cash"/>
    <s v="F"/>
    <n v="4"/>
    <s v="Chennai"/>
    <x v="631"/>
  </r>
  <r>
    <n v="7484"/>
    <s v="SuperSave Central"/>
    <d v="2024-03-07T00:00:00"/>
    <s v="Snacks &amp; Candy"/>
    <s v="Chicken Breast"/>
    <n v="1"/>
    <n v="235.72"/>
    <n v="235.72"/>
    <n v="101.26"/>
    <n v="134.46"/>
    <n v="449"/>
    <s v="13:21:33"/>
    <n v="7"/>
    <n v="3"/>
    <n v="2024"/>
    <d v="2024-03-07T00:00:00"/>
    <s v="Cash"/>
    <s v="F"/>
    <n v="3"/>
    <s v="Kolkata"/>
    <x v="632"/>
  </r>
  <r>
    <n v="1132"/>
    <s v="Corner Grocery"/>
    <d v="2024-10-19T00:00:00"/>
    <s v="Personal Care"/>
    <s v="Bread"/>
    <n v="1"/>
    <n v="713.8"/>
    <n v="713.8"/>
    <n v="0"/>
    <n v="713.8"/>
    <n v="79"/>
    <s v="13:49:22"/>
    <n v="19"/>
    <n v="10"/>
    <n v="2024"/>
    <d v="2024-10-19T00:00:00"/>
    <s v="Credit Card"/>
    <s v="F"/>
    <n v="3"/>
    <s v="Ahmedabad"/>
    <x v="633"/>
  </r>
  <r>
    <n v="1803"/>
    <s v="Corner Grocery"/>
    <d v="2025-07-14T00:00:00"/>
    <s v="Frozen Foods"/>
    <s v="Ground Beef"/>
    <n v="2"/>
    <n v="1857.54"/>
    <n v="3715.08"/>
    <n v="742.85"/>
    <n v="2972.23"/>
    <n v="226"/>
    <s v="16:04:09"/>
    <n v="14"/>
    <n v="7"/>
    <n v="2025"/>
    <d v="2025-07-14T00:00:00"/>
    <s v="Credit Card"/>
    <s v="F"/>
    <n v="5"/>
    <s v="Kolkata"/>
    <x v="634"/>
  </r>
  <r>
    <n v="9138"/>
    <s v="ValuePlus Market"/>
    <d v="2025-05-14T00:00:00"/>
    <s v="Meat &amp; Seafood"/>
    <s v="Bananas"/>
    <n v="1"/>
    <n v="1679.09"/>
    <n v="1679.09"/>
    <n v="167.66"/>
    <n v="1511.43"/>
    <n v="440"/>
    <s v="18:51:09"/>
    <n v="14"/>
    <n v="5"/>
    <n v="2025"/>
    <d v="2025-05-14T00:00:00"/>
    <s v="Cash"/>
    <s v="F"/>
    <n v="2"/>
    <s v="Ahmedabad"/>
    <x v="635"/>
  </r>
  <r>
    <n v="5689"/>
    <s v="City Fresh Store"/>
    <d v="2025-03-31T00:00:00"/>
    <s v="Personal Care"/>
    <s v="Pasta"/>
    <n v="5"/>
    <n v="1152.8699999999999"/>
    <n v="5764.35"/>
    <n v="281.37"/>
    <n v="5482.98"/>
    <n v="496"/>
    <s v="05:40:44"/>
    <n v="31"/>
    <n v="3"/>
    <n v="2025"/>
    <d v="2025-03-31T00:00:00"/>
    <s v="Debit Card"/>
    <s v="M"/>
    <n v="3"/>
    <s v="Delhi"/>
    <x v="636"/>
  </r>
  <r>
    <n v="4770"/>
    <s v="Corner Grocery"/>
    <d v="2024-11-20T00:00:00"/>
    <s v="Personal Care"/>
    <s v="Onions"/>
    <n v="3"/>
    <n v="2270.0500000000002"/>
    <n v="6810.15"/>
    <n v="229.91"/>
    <n v="6580.24"/>
    <n v="246"/>
    <s v="17:01:22"/>
    <n v="20"/>
    <n v="11"/>
    <n v="2024"/>
    <d v="2024-11-20T00:00:00"/>
    <s v="Credit Card"/>
    <s v="M"/>
    <n v="5"/>
    <s v="Pune"/>
    <x v="637"/>
  </r>
  <r>
    <n v="6772"/>
    <s v="MegaMart Westside"/>
    <d v="2024-01-24T00:00:00"/>
    <s v="Snacks &amp; Candy"/>
    <s v="Pasta"/>
    <n v="2"/>
    <n v="812.57"/>
    <n v="1625.14"/>
    <n v="244.02"/>
    <n v="1381.12"/>
    <n v="0"/>
    <s v="19:01:44"/>
    <n v="24"/>
    <n v="1"/>
    <n v="2024"/>
    <d v="2024-01-24T00:00:00"/>
    <s v="UPI"/>
    <s v="M"/>
    <n v="4"/>
    <s v="Mumbai"/>
    <x v="638"/>
  </r>
  <r>
    <n v="4115"/>
    <s v="QuickStop Market"/>
    <d v="2024-12-01T00:00:00"/>
    <s v="Beverages"/>
    <s v="Onions"/>
    <n v="1"/>
    <n v="1738.02"/>
    <n v="1738.02"/>
    <n v="260.62"/>
    <n v="1477.4"/>
    <n v="251"/>
    <s v="09:07:50"/>
    <n v="1"/>
    <n v="12"/>
    <n v="2024"/>
    <d v="2024-12-01T00:00:00"/>
    <s v="Credit Card"/>
    <s v="M"/>
    <n v="5"/>
    <s v="Jaipur"/>
    <x v="639"/>
  </r>
  <r>
    <n v="5106"/>
    <s v="FreshMart Downtown"/>
    <d v="2025-01-14T00:00:00"/>
    <s v="Snacks &amp; Candy"/>
    <s v="Rice"/>
    <n v="5"/>
    <n v="639.1"/>
    <n v="3195.5"/>
    <n v="639.1"/>
    <n v="2556.4"/>
    <n v="3"/>
    <s v="07:14:02"/>
    <n v="14"/>
    <n v="1"/>
    <n v="2025"/>
    <d v="2025-01-14T00:00:00"/>
    <s v="Credit Card"/>
    <s v="M"/>
    <n v="3"/>
    <s v="Mumbai"/>
    <x v="640"/>
  </r>
  <r>
    <n v="3240"/>
    <s v="Corner Grocery"/>
    <d v="2024-12-06T00:00:00"/>
    <s v="Personal Care"/>
    <s v="Cheese"/>
    <n v="4"/>
    <n v="683.92"/>
    <n v="2735.68"/>
    <n v="273.89999999999998"/>
    <n v="2461.7800000000002"/>
    <n v="366"/>
    <s v="00:15:27"/>
    <n v="6"/>
    <n v="12"/>
    <n v="2024"/>
    <d v="2024-12-06T00:00:00"/>
    <s v="UPI"/>
    <s v="F"/>
    <n v="4"/>
    <s v="Chennai"/>
    <x v="641"/>
  </r>
  <r>
    <n v="2591"/>
    <s v="FamilyFood Express"/>
    <d v="2025-07-08T00:00:00"/>
    <s v="Frozen Foods"/>
    <s v="Bread"/>
    <n v="4"/>
    <n v="1586.96"/>
    <n v="6347.84"/>
    <n v="952.01"/>
    <n v="5395.83"/>
    <n v="264"/>
    <s v="04:33:51"/>
    <n v="8"/>
    <n v="7"/>
    <n v="2025"/>
    <d v="2025-07-08T00:00:00"/>
    <s v="Cash"/>
    <s v="F"/>
    <n v="5"/>
    <s v="Hyderabad"/>
    <x v="642"/>
  </r>
  <r>
    <n v="1645"/>
    <s v="ValuePlus Market"/>
    <d v="2024-04-02T00:00:00"/>
    <s v="Frozen Foods"/>
    <s v="Cheese"/>
    <n v="2"/>
    <n v="2136.42"/>
    <n v="4272.84"/>
    <n v="640.76"/>
    <n v="3632.08"/>
    <n v="93"/>
    <s v="01:26:41"/>
    <n v="2"/>
    <n v="4"/>
    <n v="2024"/>
    <d v="2024-04-02T00:00:00"/>
    <s v="UPI"/>
    <s v="F"/>
    <n v="1"/>
    <s v="Delhi"/>
    <x v="643"/>
  </r>
  <r>
    <n v="8222"/>
    <s v="GreenGrocer Plaza"/>
    <d v="2023-09-01T00:00:00"/>
    <s v="Health &amp; Wellness"/>
    <s v="Salmon"/>
    <n v="5"/>
    <n v="1171.96"/>
    <n v="5859.8"/>
    <n v="1171.96"/>
    <n v="4687.84"/>
    <n v="358"/>
    <s v="20:55:26"/>
    <n v="1"/>
    <n v="9"/>
    <n v="2023"/>
    <d v="2023-09-01T00:00:00"/>
    <s v="Cash"/>
    <s v="F"/>
    <n v="4"/>
    <s v="Mumbai"/>
    <x v="644"/>
  </r>
  <r>
    <n v="6977"/>
    <s v="MegaMart Westside"/>
    <d v="2025-02-25T00:00:00"/>
    <s v="Produce"/>
    <s v="Eggs"/>
    <n v="1"/>
    <n v="2416.13"/>
    <n v="2416.13"/>
    <n v="176.79"/>
    <n v="2239.34"/>
    <n v="11"/>
    <s v="08:46:29"/>
    <n v="25"/>
    <n v="2"/>
    <n v="2025"/>
    <d v="2025-02-25T00:00:00"/>
    <s v="Cash"/>
    <s v="F"/>
    <n v="1"/>
    <s v="Mumbai"/>
    <x v="645"/>
  </r>
  <r>
    <n v="3153"/>
    <s v="SuperSave Central"/>
    <d v="2023-10-16T00:00:00"/>
    <s v="Beverages"/>
    <s v="Bananas"/>
    <n v="2"/>
    <n v="299.63"/>
    <n v="599.26"/>
    <n v="119.52"/>
    <n v="479.74"/>
    <n v="7"/>
    <s v="01:41:56"/>
    <n v="16"/>
    <n v="10"/>
    <n v="2023"/>
    <d v="2023-10-16T00:00:00"/>
    <s v="Cash"/>
    <s v="F"/>
    <n v="2"/>
    <s v="Hyderabad"/>
    <x v="646"/>
  </r>
  <r>
    <n v="5835"/>
    <s v="MegaMart Westside"/>
    <d v="2024-04-16T00:00:00"/>
    <s v="Snacks &amp; Candy"/>
    <s v="Rice"/>
    <n v="4"/>
    <n v="2484.19"/>
    <n v="9936.76"/>
    <n v="1490.68"/>
    <n v="8446.08"/>
    <n v="237"/>
    <s v="00:27:13"/>
    <n v="16"/>
    <n v="4"/>
    <n v="2024"/>
    <d v="2024-04-16T00:00:00"/>
    <s v="UPI"/>
    <s v="F"/>
    <n v="4"/>
    <s v="Hyderabad"/>
    <x v="647"/>
  </r>
  <r>
    <n v="7807"/>
    <s v="GreenGrocer Plaza"/>
    <d v="2023-12-21T00:00:00"/>
    <s v="Meat &amp; Seafood"/>
    <s v="Milk"/>
    <n v="3"/>
    <n v="1948.84"/>
    <n v="5846.52"/>
    <n v="1169.47"/>
    <n v="4677.05"/>
    <n v="36"/>
    <s v="01:07:52"/>
    <n v="21"/>
    <n v="12"/>
    <n v="2023"/>
    <d v="2023-12-21T00:00:00"/>
    <s v="Cash"/>
    <s v="M"/>
    <n v="1"/>
    <s v="Mumbai"/>
    <x v="648"/>
  </r>
  <r>
    <n v="4289"/>
    <s v="FamilyFood Express"/>
    <d v="2023-11-17T00:00:00"/>
    <s v="Frozen Foods"/>
    <s v="Tomatoes"/>
    <n v="1"/>
    <n v="375.99"/>
    <n v="375.99"/>
    <n v="37.35"/>
    <n v="338.64"/>
    <n v="393"/>
    <s v="16:14:19"/>
    <n v="17"/>
    <n v="11"/>
    <n v="2023"/>
    <d v="2023-11-17T00:00:00"/>
    <s v="Debit Card"/>
    <s v="M"/>
    <n v="3"/>
    <s v="Lucknow"/>
    <x v="649"/>
  </r>
  <r>
    <n v="9837"/>
    <s v="City Fresh Store"/>
    <d v="2025-06-17T00:00:00"/>
    <s v="Bakery"/>
    <s v="Milk"/>
    <n v="2"/>
    <n v="1191.05"/>
    <n v="2382.1"/>
    <n v="303.77999999999997"/>
    <n v="2078.3200000000002"/>
    <n v="394"/>
    <s v="16:29:21"/>
    <n v="17"/>
    <n v="6"/>
    <n v="2025"/>
    <d v="2025-06-17T00:00:00"/>
    <s v="UPI"/>
    <s v="M"/>
    <n v="3"/>
    <s v="Bangalore"/>
    <x v="650"/>
  </r>
  <r>
    <n v="6994"/>
    <s v="FamilyFood Express"/>
    <d v="2024-09-22T00:00:00"/>
    <s v="Beverages"/>
    <s v="Tomatoes"/>
    <n v="3"/>
    <n v="2335.62"/>
    <n v="7006.86"/>
    <n v="0"/>
    <n v="7006.86"/>
    <n v="81"/>
    <s v="22:29:59"/>
    <n v="22"/>
    <n v="9"/>
    <n v="2024"/>
    <d v="2024-09-22T00:00:00"/>
    <s v="Debit Card"/>
    <s v="M"/>
    <n v="2"/>
    <s v="Hyderabad"/>
    <x v="651"/>
  </r>
  <r>
    <n v="9221"/>
    <s v="ValuePlus Market"/>
    <d v="2025-07-16T00:00:00"/>
    <s v="Personal Care"/>
    <s v="Chicken Breast"/>
    <n v="3"/>
    <n v="1240.8499999999999"/>
    <n v="3722.55"/>
    <n v="558.59"/>
    <n v="3163.96"/>
    <n v="152"/>
    <s v="23:33:04"/>
    <n v="16"/>
    <n v="7"/>
    <n v="2025"/>
    <d v="2025-07-16T00:00:00"/>
    <s v="Cash"/>
    <s v="F"/>
    <n v="4"/>
    <s v="Bangalore"/>
    <x v="652"/>
  </r>
  <r>
    <n v="5465"/>
    <s v="FreshMart Downtown"/>
    <d v="2025-05-13T00:00:00"/>
    <s v="Health &amp; Wellness"/>
    <s v="Yogurt"/>
    <n v="1"/>
    <n v="649.89"/>
    <n v="649.89"/>
    <n v="138.61000000000001"/>
    <n v="511.28"/>
    <n v="222"/>
    <s v="12:02:07"/>
    <n v="13"/>
    <n v="5"/>
    <n v="2025"/>
    <d v="2025-05-13T00:00:00"/>
    <s v="Credit Card"/>
    <s v="F"/>
    <n v="4"/>
    <s v="Pune"/>
    <x v="653"/>
  </r>
  <r>
    <n v="3695"/>
    <s v="QuickStop Market"/>
    <d v="2024-02-22T00:00:00"/>
    <s v="Household Items"/>
    <s v="Chicken Breast"/>
    <n v="4"/>
    <n v="1982.04"/>
    <n v="7928.16"/>
    <n v="342.79"/>
    <n v="7585.37"/>
    <n v="4"/>
    <s v="05:02:28"/>
    <n v="22"/>
    <n v="2"/>
    <n v="2024"/>
    <d v="2024-02-22T00:00:00"/>
    <s v="Cash"/>
    <s v="F"/>
    <n v="4"/>
    <s v="Delhi"/>
    <x v="654"/>
  </r>
  <r>
    <n v="8894"/>
    <s v="City Fresh Store"/>
    <d v="2025-04-24T00:00:00"/>
    <s v="Household Items"/>
    <s v="Eggs"/>
    <n v="3"/>
    <n v="1937.22"/>
    <n v="5811.66"/>
    <n v="581"/>
    <n v="5230.66"/>
    <n v="127"/>
    <s v="19:17:57"/>
    <n v="24"/>
    <n v="4"/>
    <n v="2025"/>
    <d v="2025-04-24T00:00:00"/>
    <s v="Debit Card"/>
    <s v="M"/>
    <n v="2"/>
    <s v="Lucknow"/>
    <x v="655"/>
  </r>
  <r>
    <n v="5835"/>
    <s v="Corner Grocery"/>
    <d v="2025-03-08T00:00:00"/>
    <s v="Health &amp; Wellness"/>
    <s v="Cereal"/>
    <n v="1"/>
    <n v="225.76"/>
    <n v="225.76"/>
    <n v="0"/>
    <n v="225.76"/>
    <n v="330"/>
    <s v="06:38:00"/>
    <n v="8"/>
    <n v="3"/>
    <n v="2025"/>
    <d v="2025-03-08T00:00:00"/>
    <s v="Debit Card"/>
    <s v="F"/>
    <n v="4"/>
    <s v="Hyderabad"/>
    <x v="656"/>
  </r>
  <r>
    <n v="6549"/>
    <s v="ValuePlus Market"/>
    <d v="2025-04-22T00:00:00"/>
    <s v="Dairy"/>
    <s v="Eggs"/>
    <n v="4"/>
    <n v="642.41999999999996"/>
    <n v="2569.6799999999998"/>
    <n v="257.3"/>
    <n v="2312.38"/>
    <n v="285"/>
    <s v="07:52:30"/>
    <n v="22"/>
    <n v="4"/>
    <n v="2025"/>
    <d v="2025-04-22T00:00:00"/>
    <s v="UPI"/>
    <s v="F"/>
    <n v="3"/>
    <s v="Pune"/>
    <x v="657"/>
  </r>
  <r>
    <n v="2886"/>
    <s v="FamilyFood Express"/>
    <d v="2024-08-04T00:00:00"/>
    <s v="Produce"/>
    <s v="Tomatoes"/>
    <n v="3"/>
    <n v="1826"/>
    <n v="5478"/>
    <n v="547.79999999999995"/>
    <n v="4930.2"/>
    <n v="128"/>
    <s v="05:03:56"/>
    <n v="4"/>
    <n v="8"/>
    <n v="2024"/>
    <d v="2024-08-04T00:00:00"/>
    <s v="Credit Card"/>
    <s v="F"/>
    <n v="1"/>
    <s v="Ahmedabad"/>
    <x v="658"/>
  </r>
  <r>
    <n v="2233"/>
    <s v="City Fresh Store"/>
    <d v="2023-11-24T00:00:00"/>
    <s v="Personal Care"/>
    <s v="Rice"/>
    <n v="5"/>
    <n v="1759.6"/>
    <n v="8798"/>
    <n v="198.37"/>
    <n v="8599.6299999999992"/>
    <n v="97"/>
    <s v="11:23:40"/>
    <n v="24"/>
    <n v="11"/>
    <n v="2023"/>
    <d v="2023-11-24T00:00:00"/>
    <s v="UPI"/>
    <s v="M"/>
    <n v="3"/>
    <s v="Chennai"/>
    <x v="659"/>
  </r>
  <r>
    <n v="4696"/>
    <s v="City Fresh Store"/>
    <d v="2025-06-05T00:00:00"/>
    <s v="Frozen Foods"/>
    <s v="Onions"/>
    <n v="2"/>
    <n v="248.17"/>
    <n v="496.34"/>
    <n v="74.7"/>
    <n v="421.64"/>
    <n v="79"/>
    <s v="13:45:51"/>
    <n v="5"/>
    <n v="6"/>
    <n v="2025"/>
    <d v="2025-06-05T00:00:00"/>
    <s v="Debit Card"/>
    <s v="F"/>
    <n v="3"/>
    <s v="Bangalore"/>
    <x v="660"/>
  </r>
  <r>
    <n v="7511"/>
    <s v="QuickStop Market"/>
    <d v="2025-05-24T00:00:00"/>
    <s v="Personal Care"/>
    <s v="Orange Juice"/>
    <n v="4"/>
    <n v="83.83"/>
    <n v="335.32"/>
    <n v="0"/>
    <n v="335.32"/>
    <n v="326"/>
    <s v="14:18:17"/>
    <n v="24"/>
    <n v="5"/>
    <n v="2025"/>
    <d v="2025-05-24T00:00:00"/>
    <s v="Cash"/>
    <s v="M"/>
    <n v="1"/>
    <s v="Lucknow"/>
    <x v="661"/>
  </r>
  <r>
    <n v="6992"/>
    <s v="SuperSave Central"/>
    <d v="2023-10-16T00:00:00"/>
    <s v="Produce"/>
    <s v="Orange Juice"/>
    <n v="5"/>
    <n v="656.53"/>
    <n v="3282.65"/>
    <n v="0"/>
    <n v="3282.65"/>
    <n v="369"/>
    <s v="21:05:50"/>
    <n v="16"/>
    <n v="10"/>
    <n v="2023"/>
    <d v="2023-10-16T00:00:00"/>
    <s v="Credit Card"/>
    <s v="M"/>
    <n v="3"/>
    <s v="Lucknow"/>
    <x v="662"/>
  </r>
  <r>
    <n v="7464"/>
    <s v="ValuePlus Market"/>
    <d v="2023-08-17T00:00:00"/>
    <s v="Snacks &amp; Candy"/>
    <s v="Yogurt"/>
    <n v="5"/>
    <n v="1726.4"/>
    <n v="8632"/>
    <n v="176.79"/>
    <n v="8455.2099999999991"/>
    <n v="392"/>
    <s v="02:56:57"/>
    <n v="17"/>
    <n v="8"/>
    <n v="2023"/>
    <d v="2023-08-17T00:00:00"/>
    <s v="Cash"/>
    <s v="M"/>
    <n v="2"/>
    <s v="Delhi"/>
    <x v="663"/>
  </r>
  <r>
    <n v="5332"/>
    <s v="Corner Grocery"/>
    <d v="2024-09-26T00:00:00"/>
    <s v="Health &amp; Wellness"/>
    <s v="Cereal"/>
    <n v="1"/>
    <n v="313.74"/>
    <n v="313.74"/>
    <n v="360.22"/>
    <n v="-46.48"/>
    <n v="337"/>
    <s v="19:52:23"/>
    <n v="26"/>
    <n v="9"/>
    <n v="2024"/>
    <d v="2024-09-26T00:00:00"/>
    <s v="Cash"/>
    <s v="M"/>
    <n v="1"/>
    <s v="Bangalore"/>
    <x v="664"/>
  </r>
  <r>
    <n v="3024"/>
    <s v="SuperSave Central"/>
    <d v="2024-07-25T00:00:00"/>
    <s v="Meat &amp; Seafood"/>
    <s v="Milk"/>
    <n v="2"/>
    <n v="339.47"/>
    <n v="678.94"/>
    <n v="272.24"/>
    <n v="406.7"/>
    <n v="98"/>
    <s v="19:12:09"/>
    <n v="25"/>
    <n v="7"/>
    <n v="2024"/>
    <d v="2024-07-25T00:00:00"/>
    <s v="Credit Card"/>
    <s v="F"/>
    <n v="3"/>
    <s v="Ahmedabad"/>
    <x v="665"/>
  </r>
  <r>
    <n v="7038"/>
    <s v="Corner Grocery"/>
    <d v="2025-01-10T00:00:00"/>
    <s v="Health &amp; Wellness"/>
    <s v="Potatoes"/>
    <n v="5"/>
    <n v="1584.47"/>
    <n v="7922.35"/>
    <n v="205.01"/>
    <n v="7717.34"/>
    <n v="302"/>
    <s v="10:59:42"/>
    <n v="10"/>
    <n v="1"/>
    <n v="2025"/>
    <d v="2025-01-10T00:00:00"/>
    <s v="UPI"/>
    <s v="M"/>
    <n v="5"/>
    <s v="Delhi"/>
    <x v="666"/>
  </r>
  <r>
    <n v="5295"/>
    <s v="GreenGrocer Plaza"/>
    <d v="2024-11-03T00:00:00"/>
    <s v="Produce"/>
    <s v="Yogurt"/>
    <n v="4"/>
    <n v="2316.5300000000002"/>
    <n v="9266.1200000000008"/>
    <n v="926.28"/>
    <n v="8339.84"/>
    <n v="426"/>
    <s v="20:12:13"/>
    <n v="3"/>
    <n v="11"/>
    <n v="2024"/>
    <d v="2024-11-03T00:00:00"/>
    <s v="Cash"/>
    <s v="M"/>
    <n v="3"/>
    <s v="Lucknow"/>
    <x v="667"/>
  </r>
  <r>
    <n v="7242"/>
    <s v="FreshMart Downtown"/>
    <d v="2025-05-06T00:00:00"/>
    <s v="Canned Goods"/>
    <s v="Onions"/>
    <n v="4"/>
    <n v="2060.89"/>
    <n v="8243.56"/>
    <n v="170.98"/>
    <n v="8072.58"/>
    <n v="406"/>
    <s v="09:40:29"/>
    <n v="6"/>
    <n v="5"/>
    <n v="2025"/>
    <d v="2025-05-06T00:00:00"/>
    <s v="Debit Card"/>
    <s v="F"/>
    <n v="2"/>
    <s v="Mumbai"/>
    <x v="668"/>
  </r>
  <r>
    <n v="7086"/>
    <s v="FreshMart Downtown"/>
    <d v="2023-10-30T00:00:00"/>
    <s v="Dairy"/>
    <s v="Rice"/>
    <n v="1"/>
    <n v="2355.54"/>
    <n v="2355.54"/>
    <n v="323.7"/>
    <n v="2031.84"/>
    <n v="491"/>
    <s v="01:45:41"/>
    <n v="30"/>
    <n v="10"/>
    <n v="2023"/>
    <d v="2023-10-30T00:00:00"/>
    <s v="Cash"/>
    <s v="F"/>
    <n v="4"/>
    <s v="Ahmedabad"/>
    <x v="669"/>
  </r>
  <r>
    <n v="4830"/>
    <s v="ValuePlus Market"/>
    <d v="2024-08-07T00:00:00"/>
    <s v="Snacks &amp; Candy"/>
    <s v="Yogurt"/>
    <n v="2"/>
    <n v="1348.75"/>
    <n v="2697.5"/>
    <n v="332"/>
    <n v="2365.5"/>
    <n v="127"/>
    <s v="22:30:29"/>
    <n v="7"/>
    <n v="8"/>
    <n v="2024"/>
    <d v="2024-08-07T00:00:00"/>
    <s v="Credit Card"/>
    <s v="M"/>
    <n v="3"/>
    <s v="Lucknow"/>
    <x v="670"/>
  </r>
  <r>
    <n v="1410"/>
    <s v="Corner Grocery"/>
    <d v="2024-11-30T00:00:00"/>
    <s v="Dairy"/>
    <s v="Orange Juice"/>
    <n v="4"/>
    <n v="1772.88"/>
    <n v="7091.52"/>
    <n v="1418.47"/>
    <n v="5673.05"/>
    <n v="218"/>
    <s v="12:39:38"/>
    <n v="30"/>
    <n v="11"/>
    <n v="2024"/>
    <d v="2024-11-30T00:00:00"/>
    <s v="Credit Card"/>
    <s v="F"/>
    <n v="4"/>
    <s v="Kolkata"/>
    <x v="671"/>
  </r>
  <r>
    <n v="6374"/>
    <s v="SuperSave Central"/>
    <d v="2025-07-17T00:00:00"/>
    <s v="Personal Care"/>
    <s v="Tomatoes"/>
    <n v="5"/>
    <n v="894.74"/>
    <n v="4473.7"/>
    <n v="670.64"/>
    <n v="3803.06"/>
    <n v="80"/>
    <s v="05:31:40"/>
    <n v="17"/>
    <n v="7"/>
    <n v="2025"/>
    <d v="2025-07-17T00:00:00"/>
    <s v="Credit Card"/>
    <s v="M"/>
    <n v="5"/>
    <s v="Kolkata"/>
    <x v="672"/>
  </r>
  <r>
    <n v="4626"/>
    <s v="MegaMart Westside"/>
    <d v="2024-12-22T00:00:00"/>
    <s v="Personal Care"/>
    <s v="Cereal"/>
    <n v="3"/>
    <n v="1074.8499999999999"/>
    <n v="3224.55"/>
    <n v="0"/>
    <n v="3224.55"/>
    <n v="324"/>
    <s v="10:08:44"/>
    <n v="22"/>
    <n v="12"/>
    <n v="2024"/>
    <d v="2024-12-22T00:00:00"/>
    <s v="UPI"/>
    <s v="M"/>
    <n v="3"/>
    <s v="Hyderabad"/>
    <x v="673"/>
  </r>
  <r>
    <n v="2035"/>
    <s v="MegaMart Westside"/>
    <d v="2024-12-12T00:00:00"/>
    <s v="Household Items"/>
    <s v="Ground Beef"/>
    <n v="5"/>
    <n v="1395.23"/>
    <n v="6976.15"/>
    <n v="1046.6300000000001"/>
    <n v="5929.52"/>
    <n v="192"/>
    <s v="00:22:51"/>
    <n v="12"/>
    <n v="12"/>
    <n v="2024"/>
    <d v="2024-12-12T00:00:00"/>
    <s v="Cash"/>
    <s v="M"/>
    <n v="1"/>
    <s v="Delhi"/>
    <x v="674"/>
  </r>
  <r>
    <n v="8606"/>
    <s v="City Fresh Store"/>
    <d v="2025-07-13T00:00:00"/>
    <s v="Beverages"/>
    <s v="Tomatoes"/>
    <n v="1"/>
    <n v="1830.15"/>
    <n v="1830.15"/>
    <n v="127.82"/>
    <n v="1702.33"/>
    <n v="145"/>
    <s v="13:43:07"/>
    <n v="13"/>
    <n v="7"/>
    <n v="2025"/>
    <d v="2025-07-13T00:00:00"/>
    <s v="UPI"/>
    <s v="M"/>
    <n v="4"/>
    <s v="Lucknow"/>
    <x v="675"/>
  </r>
  <r>
    <n v="5951"/>
    <s v="QuickStop Market"/>
    <d v="2024-12-23T00:00:00"/>
    <s v="Produce"/>
    <s v="Rice"/>
    <n v="2"/>
    <n v="599.26"/>
    <n v="1198.52"/>
    <n v="0"/>
    <n v="1198.52"/>
    <n v="161"/>
    <s v="04:59:30"/>
    <n v="23"/>
    <n v="12"/>
    <n v="2024"/>
    <d v="2024-12-23T00:00:00"/>
    <s v="UPI"/>
    <s v="F"/>
    <n v="5"/>
    <s v="Hyderabad"/>
    <x v="676"/>
  </r>
  <r>
    <n v="7689"/>
    <s v="QuickStop Market"/>
    <d v="2023-11-05T00:00:00"/>
    <s v="Personal Care"/>
    <s v="Carrots"/>
    <n v="5"/>
    <n v="1455.82"/>
    <n v="7279.1"/>
    <n v="95.45"/>
    <n v="7183.65"/>
    <n v="292"/>
    <s v="12:53:33"/>
    <n v="5"/>
    <n v="11"/>
    <n v="2023"/>
    <d v="2023-11-05T00:00:00"/>
    <s v="Credit Card"/>
    <s v="M"/>
    <n v="1"/>
    <s v="Delhi"/>
    <x v="677"/>
  </r>
  <r>
    <n v="3290"/>
    <s v="MegaMart Westside"/>
    <d v="2023-09-11T00:00:00"/>
    <s v="Meat &amp; Seafood"/>
    <s v="Eggs"/>
    <n v="3"/>
    <n v="966.12"/>
    <n v="2898.36"/>
    <n v="579.34"/>
    <n v="2319.02"/>
    <n v="298"/>
    <s v="19:42:04"/>
    <n v="11"/>
    <n v="9"/>
    <n v="2023"/>
    <d v="2023-09-11T00:00:00"/>
    <s v="Credit Card"/>
    <s v="F"/>
    <n v="1"/>
    <s v="Ahmedabad"/>
    <x v="678"/>
  </r>
  <r>
    <n v="1609"/>
    <s v="QuickStop Market"/>
    <d v="2024-03-30T00:00:00"/>
    <s v="Frozen Foods"/>
    <s v="Bread"/>
    <n v="5"/>
    <n v="1044.1400000000001"/>
    <n v="5220.7"/>
    <n v="0"/>
    <n v="5220.7"/>
    <n v="469"/>
    <s v="17:22:41"/>
    <n v="30"/>
    <n v="3"/>
    <n v="2024"/>
    <d v="2024-03-30T00:00:00"/>
    <s v="UPI"/>
    <s v="F"/>
    <n v="1"/>
    <s v="Lucknow"/>
    <x v="679"/>
  </r>
  <r>
    <n v="9071"/>
    <s v="GreenGrocer Plaza"/>
    <d v="2023-11-05T00:00:00"/>
    <s v="Canned Goods"/>
    <s v="Potatoes"/>
    <n v="2"/>
    <n v="1257.45"/>
    <n v="2514.9"/>
    <n v="296.31"/>
    <n v="2218.59"/>
    <n v="460"/>
    <s v="03:32:30"/>
    <n v="5"/>
    <n v="11"/>
    <n v="2023"/>
    <d v="2023-11-05T00:00:00"/>
    <s v="Cash"/>
    <s v="F"/>
    <n v="1"/>
    <s v="Delhi"/>
    <x v="680"/>
  </r>
  <r>
    <n v="2592"/>
    <s v="FreshMart Downtown"/>
    <d v="2024-02-05T00:00:00"/>
    <s v="Household Items"/>
    <s v="Tomatoes"/>
    <n v="1"/>
    <n v="1959.63"/>
    <n v="1959.63"/>
    <n v="293.82"/>
    <n v="1665.81"/>
    <n v="471"/>
    <s v="06:33:44"/>
    <n v="5"/>
    <n v="2"/>
    <n v="2024"/>
    <d v="2024-02-05T00:00:00"/>
    <s v="Debit Card"/>
    <s v="F"/>
    <n v="3"/>
    <s v="Lucknow"/>
    <x v="681"/>
  </r>
  <r>
    <n v="9807"/>
    <s v="Corner Grocery"/>
    <d v="2023-11-20T00:00:00"/>
    <s v="Snacks &amp; Candy"/>
    <s v="Chicken Breast"/>
    <n v="2"/>
    <n v="1881.61"/>
    <n v="3763.22"/>
    <n v="0"/>
    <n v="3763.22"/>
    <n v="434"/>
    <s v="14:58:17"/>
    <n v="20"/>
    <n v="11"/>
    <n v="2023"/>
    <d v="2023-11-20T00:00:00"/>
    <s v="UPI"/>
    <s v="M"/>
    <n v="3"/>
    <s v="Mumbai"/>
    <x v="682"/>
  </r>
  <r>
    <n v="7367"/>
    <s v="Corner Grocery"/>
    <d v="2024-07-24T00:00:00"/>
    <s v="Produce"/>
    <s v="Rice"/>
    <n v="5"/>
    <n v="180.94"/>
    <n v="904.7"/>
    <n v="136.12"/>
    <n v="768.58"/>
    <n v="276"/>
    <s v="15:34:50"/>
    <n v="24"/>
    <n v="7"/>
    <n v="2024"/>
    <d v="2024-07-24T00:00:00"/>
    <s v="Cash"/>
    <s v="F"/>
    <n v="3"/>
    <s v="Chennai"/>
    <x v="683"/>
  </r>
  <r>
    <n v="7078"/>
    <s v="ValuePlus Market"/>
    <d v="2025-01-08T00:00:00"/>
    <s v="Bakery"/>
    <s v="Eggs"/>
    <n v="1"/>
    <n v="1703.99"/>
    <n v="1703.99"/>
    <n v="273.89999999999998"/>
    <n v="1430.09"/>
    <n v="201"/>
    <s v="03:12:38"/>
    <n v="8"/>
    <n v="1"/>
    <n v="2025"/>
    <d v="2025-01-08T00:00:00"/>
    <s v="Credit Card"/>
    <s v="M"/>
    <n v="5"/>
    <s v="Jaipur"/>
    <x v="684"/>
  </r>
  <r>
    <n v="9850"/>
    <s v="GreenGrocer Plaza"/>
    <d v="2024-06-27T00:00:00"/>
    <s v="Bakery"/>
    <s v="Cheese"/>
    <n v="3"/>
    <n v="1974.57"/>
    <n v="5923.71"/>
    <n v="888.93"/>
    <n v="5034.78"/>
    <n v="75"/>
    <s v="16:10:37"/>
    <n v="27"/>
    <n v="6"/>
    <n v="2024"/>
    <d v="2024-06-27T00:00:00"/>
    <s v="Credit Card"/>
    <s v="F"/>
    <n v="5"/>
    <s v="Kolkata"/>
    <x v="685"/>
  </r>
  <r>
    <n v="3531"/>
    <s v="GreenGrocer Plaza"/>
    <d v="2025-06-24T00:00:00"/>
    <s v="Beverages"/>
    <s v="Milk"/>
    <n v="5"/>
    <n v="1043.31"/>
    <n v="5216.55"/>
    <n v="227.42"/>
    <n v="4989.13"/>
    <n v="43"/>
    <s v="08:43:07"/>
    <n v="24"/>
    <n v="6"/>
    <n v="2025"/>
    <d v="2025-06-24T00:00:00"/>
    <s v="Cash"/>
    <s v="F"/>
    <n v="5"/>
    <s v="Chennai"/>
    <x v="686"/>
  </r>
  <r>
    <n v="7797"/>
    <s v="SuperSave Central"/>
    <d v="2024-12-27T00:00:00"/>
    <s v="Meat &amp; Seafood"/>
    <s v="Potatoes"/>
    <n v="5"/>
    <n v="559.41999999999996"/>
    <n v="2797.1"/>
    <n v="287.18"/>
    <n v="2509.92"/>
    <n v="202"/>
    <s v="12:08:09"/>
    <n v="27"/>
    <n v="12"/>
    <n v="2024"/>
    <d v="2024-12-27T00:00:00"/>
    <s v="Debit Card"/>
    <s v="M"/>
    <n v="2"/>
    <s v="Delhi"/>
    <x v="687"/>
  </r>
  <r>
    <n v="2622"/>
    <s v="ValuePlus Market"/>
    <d v="2025-05-15T00:00:00"/>
    <s v="Bakery"/>
    <s v="Ground Beef"/>
    <n v="1"/>
    <n v="722.93"/>
    <n v="722.93"/>
    <n v="0"/>
    <n v="722.93"/>
    <n v="220"/>
    <s v="21:17:30"/>
    <n v="15"/>
    <n v="5"/>
    <n v="2025"/>
    <d v="2025-05-15T00:00:00"/>
    <s v="Credit Card"/>
    <s v="M"/>
    <n v="5"/>
    <s v="Jaipur"/>
    <x v="688"/>
  </r>
  <r>
    <n v="9017"/>
    <s v="GreenGrocer Plaza"/>
    <d v="2024-11-27T00:00:00"/>
    <s v="Dairy"/>
    <s v="Cheese"/>
    <n v="4"/>
    <n v="961.14"/>
    <n v="3844.56"/>
    <n v="576.85"/>
    <n v="3267.71"/>
    <n v="97"/>
    <s v="02:45:26"/>
    <n v="27"/>
    <n v="11"/>
    <n v="2024"/>
    <d v="2024-11-27T00:00:00"/>
    <s v="Credit Card"/>
    <s v="M"/>
    <n v="3"/>
    <s v="Chennai"/>
    <x v="689"/>
  </r>
  <r>
    <n v="7686"/>
    <s v="FreshMart Downtown"/>
    <d v="2025-08-05T00:00:00"/>
    <s v="Frozen Foods"/>
    <s v="Apples"/>
    <n v="3"/>
    <n v="1565.38"/>
    <n v="4696.1400000000003"/>
    <n v="131.13999999999999"/>
    <n v="4565"/>
    <n v="411"/>
    <s v="06:04:49"/>
    <n v="5"/>
    <n v="8"/>
    <n v="2025"/>
    <d v="2025-08-05T00:00:00"/>
    <s v="Credit Card"/>
    <s v="F"/>
    <n v="3"/>
    <s v="Mumbai"/>
    <x v="690"/>
  </r>
  <r>
    <n v="5583"/>
    <s v="FreshMart Downtown"/>
    <d v="2023-09-01T00:00:00"/>
    <s v="Bakery"/>
    <s v="Yogurt"/>
    <n v="3"/>
    <n v="457.33"/>
    <n v="1371.99"/>
    <n v="328.68"/>
    <n v="1043.31"/>
    <n v="372"/>
    <s v="07:45:47"/>
    <n v="1"/>
    <n v="9"/>
    <n v="2023"/>
    <d v="2023-09-01T00:00:00"/>
    <s v="Cash"/>
    <s v="F"/>
    <n v="2"/>
    <s v="Kolkata"/>
    <x v="691"/>
  </r>
  <r>
    <n v="7070"/>
    <s v="FamilyFood Express"/>
    <d v="2024-01-22T00:00:00"/>
    <s v="Household Items"/>
    <s v="Eggs"/>
    <n v="3"/>
    <n v="115.37"/>
    <n v="346.11"/>
    <n v="52.29"/>
    <n v="293.82"/>
    <n v="355"/>
    <s v="15:11:39"/>
    <n v="22"/>
    <n v="1"/>
    <n v="2024"/>
    <d v="2024-01-22T00:00:00"/>
    <s v="UPI"/>
    <s v="M"/>
    <n v="2"/>
    <s v="Pune"/>
    <x v="692"/>
  </r>
  <r>
    <n v="8264"/>
    <s v="City Fresh Store"/>
    <d v="2024-07-17T00:00:00"/>
    <s v="Beverages"/>
    <s v="Bananas"/>
    <n v="3"/>
    <n v="585.15"/>
    <n v="1755.45"/>
    <n v="351.09"/>
    <n v="1404.36"/>
    <n v="275"/>
    <s v="16:26:14"/>
    <n v="17"/>
    <n v="7"/>
    <n v="2024"/>
    <d v="2024-07-17T00:00:00"/>
    <s v="Credit Card"/>
    <s v="M"/>
    <n v="5"/>
    <s v="Delhi"/>
    <x v="693"/>
  </r>
  <r>
    <n v="4868"/>
    <s v="ValuePlus Market"/>
    <d v="2025-06-01T00:00:00"/>
    <s v="Personal Care"/>
    <s v="Pasta"/>
    <n v="5"/>
    <n v="1245"/>
    <n v="6225"/>
    <n v="0"/>
    <n v="6225"/>
    <n v="373"/>
    <s v="05:17:29"/>
    <n v="1"/>
    <n v="6"/>
    <n v="2025"/>
    <d v="2025-06-01T00:00:00"/>
    <s v="UPI"/>
    <s v="M"/>
    <n v="4"/>
    <s v="Kolkata"/>
    <x v="694"/>
  </r>
  <r>
    <n v="6942"/>
    <s v="FreshMart Downtown"/>
    <d v="2023-10-23T00:00:00"/>
    <s v="Snacks &amp; Candy"/>
    <s v="Carrots"/>
    <n v="1"/>
    <n v="697.2"/>
    <n v="697.2"/>
    <n v="139.44"/>
    <n v="557.76"/>
    <n v="30"/>
    <s v="05:38:00"/>
    <n v="23"/>
    <n v="10"/>
    <n v="2023"/>
    <d v="2023-10-23T00:00:00"/>
    <s v="Debit Card"/>
    <s v="M"/>
    <n v="2"/>
    <s v="Chennai"/>
    <x v="695"/>
  </r>
  <r>
    <n v="7018"/>
    <s v="QuickStop Market"/>
    <d v="2024-10-02T00:00:00"/>
    <s v="Produce"/>
    <s v="Salmon"/>
    <n v="1"/>
    <n v="242.36"/>
    <n v="242.36"/>
    <n v="0"/>
    <n v="242.36"/>
    <n v="338"/>
    <s v="20:11:36"/>
    <n v="2"/>
    <n v="10"/>
    <n v="2024"/>
    <d v="2024-10-02T00:00:00"/>
    <s v="Credit Card"/>
    <s v="F"/>
    <n v="1"/>
    <s v="Pune"/>
    <x v="696"/>
  </r>
  <r>
    <n v="6876"/>
    <s v="MegaMart Westside"/>
    <d v="2023-09-23T00:00:00"/>
    <s v="Dairy"/>
    <s v="Bananas"/>
    <n v="3"/>
    <n v="2169.62"/>
    <n v="6508.86"/>
    <n v="1301.44"/>
    <n v="5207.42"/>
    <n v="332"/>
    <s v="01:55:55"/>
    <n v="23"/>
    <n v="9"/>
    <n v="2023"/>
    <d v="2023-09-23T00:00:00"/>
    <s v="Credit Card"/>
    <s v="M"/>
    <n v="3"/>
    <s v="Bangalore"/>
    <x v="697"/>
  </r>
  <r>
    <n v="7523"/>
    <s v="Corner Grocery"/>
    <d v="2024-03-08T00:00:00"/>
    <s v="Personal Care"/>
    <s v="Chicken Breast"/>
    <n v="3"/>
    <n v="1249.1500000000001"/>
    <n v="3747.45"/>
    <n v="749.49"/>
    <n v="2997.96"/>
    <n v="305"/>
    <s v="05:25:32"/>
    <n v="8"/>
    <n v="3"/>
    <n v="2024"/>
    <d v="2024-03-08T00:00:00"/>
    <s v="Debit Card"/>
    <s v="M"/>
    <n v="1"/>
    <s v="Kolkata"/>
    <x v="698"/>
  </r>
  <r>
    <n v="4109"/>
    <s v="FamilyFood Express"/>
    <d v="2023-11-09T00:00:00"/>
    <s v="Personal Care"/>
    <s v="Salmon"/>
    <n v="5"/>
    <n v="2311.5500000000002"/>
    <n v="11557.75"/>
    <n v="2311.5500000000002"/>
    <n v="9246.2000000000007"/>
    <n v="11"/>
    <s v="00:16:16"/>
    <n v="9"/>
    <n v="11"/>
    <n v="2023"/>
    <d v="2023-11-09T00:00:00"/>
    <s v="Credit Card"/>
    <s v="M"/>
    <n v="3"/>
    <s v="Bangalore"/>
    <x v="699"/>
  </r>
  <r>
    <n v="8450"/>
    <s v="ValuePlus Market"/>
    <d v="2023-10-17T00:00:00"/>
    <s v="Frozen Foods"/>
    <s v="Cereal"/>
    <n v="4"/>
    <n v="1029.2"/>
    <n v="4116.8"/>
    <n v="617.52"/>
    <n v="3499.28"/>
    <n v="80"/>
    <s v="12:30:38"/>
    <n v="17"/>
    <n v="10"/>
    <n v="2023"/>
    <d v="2023-10-17T00:00:00"/>
    <s v="UPI"/>
    <s v="M"/>
    <n v="3"/>
    <s v="Jaipur"/>
    <x v="700"/>
  </r>
  <r>
    <n v="4475"/>
    <s v="MegaMart Westside"/>
    <d v="2024-12-17T00:00:00"/>
    <s v="Canned Goods"/>
    <s v="Rice"/>
    <n v="2"/>
    <n v="2479.21"/>
    <n v="4958.42"/>
    <n v="290.5"/>
    <n v="4667.92"/>
    <n v="256"/>
    <s v="03:20:04"/>
    <n v="17"/>
    <n v="12"/>
    <n v="2024"/>
    <d v="2024-12-17T00:00:00"/>
    <s v="Cash"/>
    <s v="F"/>
    <n v="2"/>
    <s v="Ahmedabad"/>
    <x v="701"/>
  </r>
  <r>
    <n v="1349"/>
    <s v="Corner Grocery"/>
    <d v="2023-09-15T00:00:00"/>
    <s v="Produce"/>
    <s v="Onions"/>
    <n v="3"/>
    <n v="624.99"/>
    <n v="1874.97"/>
    <n v="0"/>
    <n v="1874.97"/>
    <n v="174"/>
    <s v="15:26:49"/>
    <n v="15"/>
    <n v="9"/>
    <n v="2023"/>
    <d v="2023-09-15T00:00:00"/>
    <s v="UPI"/>
    <s v="M"/>
    <n v="2"/>
    <s v="Lucknow"/>
    <x v="702"/>
  </r>
  <r>
    <n v="6464"/>
    <s v="SuperSave Central"/>
    <d v="2024-02-12T00:00:00"/>
    <s v="Dairy"/>
    <s v="Tomatoes"/>
    <n v="5"/>
    <n v="2394.5500000000002"/>
    <n v="11972.75"/>
    <n v="1197.69"/>
    <n v="10775.06"/>
    <n v="313"/>
    <s v="03:52:40"/>
    <n v="12"/>
    <n v="2"/>
    <n v="2024"/>
    <d v="2024-02-12T00:00:00"/>
    <s v="Cash"/>
    <s v="F"/>
    <n v="1"/>
    <s v="Jaipur"/>
    <x v="703"/>
  </r>
  <r>
    <n v="3063"/>
    <s v="FamilyFood Express"/>
    <d v="2025-04-09T00:00:00"/>
    <s v="Household Items"/>
    <s v="Eggs"/>
    <n v="4"/>
    <n v="2418.62"/>
    <n v="9674.48"/>
    <n v="967.78"/>
    <n v="8706.7000000000007"/>
    <n v="465"/>
    <s v="19:19:34"/>
    <n v="9"/>
    <n v="4"/>
    <n v="2025"/>
    <d v="2025-04-09T00:00:00"/>
    <s v="Cash"/>
    <s v="M"/>
    <n v="3"/>
    <s v="Pune"/>
    <x v="704"/>
  </r>
  <r>
    <n v="4362"/>
    <s v="ValuePlus Market"/>
    <d v="2023-09-29T00:00:00"/>
    <s v="Meat &amp; Seafood"/>
    <s v="Yogurt"/>
    <n v="2"/>
    <n v="1480.72"/>
    <n v="2961.44"/>
    <n v="592.62"/>
    <n v="2368.8200000000002"/>
    <n v="350"/>
    <s v="19:18:47"/>
    <n v="29"/>
    <n v="9"/>
    <n v="2023"/>
    <d v="2023-09-29T00:00:00"/>
    <s v="UPI"/>
    <s v="M"/>
    <n v="1"/>
    <s v="Pune"/>
    <x v="705"/>
  </r>
  <r>
    <n v="4394"/>
    <s v="QuickStop Market"/>
    <d v="2024-11-04T00:00:00"/>
    <s v="Personal Care"/>
    <s v="Eggs"/>
    <n v="4"/>
    <n v="2478.38"/>
    <n v="9913.52"/>
    <n v="0"/>
    <n v="9913.52"/>
    <n v="499"/>
    <s v="14:21:40"/>
    <n v="4"/>
    <n v="11"/>
    <n v="2024"/>
    <d v="2024-11-04T00:00:00"/>
    <s v="UPI"/>
    <s v="F"/>
    <n v="4"/>
    <s v="Kolkata"/>
    <x v="706"/>
  </r>
  <r>
    <n v="4538"/>
    <s v="SuperSave Central"/>
    <d v="2025-04-29T00:00:00"/>
    <s v="Canned Goods"/>
    <s v="Bread"/>
    <n v="5"/>
    <n v="1365.35"/>
    <n v="6826.75"/>
    <n v="1365.35"/>
    <n v="5461.4"/>
    <n v="368"/>
    <s v="14:09:17"/>
    <n v="29"/>
    <n v="4"/>
    <n v="2025"/>
    <d v="2025-04-29T00:00:00"/>
    <s v="UPI"/>
    <s v="M"/>
    <n v="1"/>
    <s v="Lucknow"/>
    <x v="707"/>
  </r>
  <r>
    <n v="4817"/>
    <s v="MegaMart Westside"/>
    <d v="2024-04-18T00:00:00"/>
    <s v="Meat &amp; Seafood"/>
    <s v="Bananas"/>
    <n v="3"/>
    <n v="2200.33"/>
    <n v="6600.99"/>
    <n v="990.19"/>
    <n v="5610.8"/>
    <n v="211"/>
    <s v="10:26:57"/>
    <n v="18"/>
    <n v="4"/>
    <n v="2024"/>
    <d v="2024-04-18T00:00:00"/>
    <s v="UPI"/>
    <s v="F"/>
    <n v="5"/>
    <s v="Ahmedabad"/>
    <x v="708"/>
  </r>
  <r>
    <n v="3417"/>
    <s v="City Fresh Store"/>
    <d v="2025-04-10T00:00:00"/>
    <s v="Health &amp; Wellness"/>
    <s v="Pasta"/>
    <n v="2"/>
    <n v="1957.14"/>
    <n v="3914.28"/>
    <n v="782.69"/>
    <n v="3131.59"/>
    <n v="54"/>
    <s v="10:10:37"/>
    <n v="10"/>
    <n v="4"/>
    <n v="2025"/>
    <d v="2025-04-10T00:00:00"/>
    <s v="Debit Card"/>
    <s v="F"/>
    <n v="1"/>
    <s v="Chennai"/>
    <x v="709"/>
  </r>
  <r>
    <n v="1046"/>
    <s v="FreshMart Downtown"/>
    <d v="2024-03-09T00:00:00"/>
    <s v="Household Items"/>
    <s v="Pasta"/>
    <n v="5"/>
    <n v="1446.69"/>
    <n v="7233.45"/>
    <n v="1446.69"/>
    <n v="5786.76"/>
    <n v="118"/>
    <s v="04:31:10"/>
    <n v="9"/>
    <n v="3"/>
    <n v="2024"/>
    <d v="2024-03-09T00:00:00"/>
    <s v="Credit Card"/>
    <s v="M"/>
    <n v="5"/>
    <s v="Hyderabad"/>
    <x v="710"/>
  </r>
  <r>
    <n v="3370"/>
    <s v="FreshMart Downtown"/>
    <d v="2023-11-15T00:00:00"/>
    <s v="Canned Goods"/>
    <s v="Bread"/>
    <n v="4"/>
    <n v="405.04"/>
    <n v="1620.16"/>
    <n v="0"/>
    <n v="1620.16"/>
    <n v="433"/>
    <s v="21:32:02"/>
    <n v="15"/>
    <n v="11"/>
    <n v="2023"/>
    <d v="2023-11-15T00:00:00"/>
    <s v="Cash"/>
    <s v="F"/>
    <n v="5"/>
    <s v="Delhi"/>
    <x v="711"/>
  </r>
  <r>
    <n v="9850"/>
    <s v="MegaMart Westside"/>
    <d v="2024-02-17T00:00:00"/>
    <s v="Meat &amp; Seafood"/>
    <s v="Tomatoes"/>
    <n v="4"/>
    <n v="1222.5899999999999"/>
    <n v="4890.3599999999997"/>
    <n v="977.74"/>
    <n v="3912.62"/>
    <n v="83"/>
    <s v="04:45:05"/>
    <n v="17"/>
    <n v="2"/>
    <n v="2024"/>
    <d v="2024-02-17T00:00:00"/>
    <s v="UPI"/>
    <s v="F"/>
    <n v="5"/>
    <s v="Ahmedabad"/>
    <x v="712"/>
  </r>
  <r>
    <n v="3858"/>
    <s v="FreshMart Downtown"/>
    <d v="2023-10-31T00:00:00"/>
    <s v="Snacks &amp; Candy"/>
    <s v="Bananas"/>
    <n v="3"/>
    <n v="2369.65"/>
    <n v="7108.95"/>
    <n v="1421.79"/>
    <n v="5687.16"/>
    <n v="113"/>
    <s v="10:24:49"/>
    <n v="31"/>
    <n v="10"/>
    <n v="2023"/>
    <d v="2023-10-31T00:00:00"/>
    <s v="UPI"/>
    <s v="F"/>
    <n v="4"/>
    <s v="Pune"/>
    <x v="713"/>
  </r>
  <r>
    <n v="1422"/>
    <s v="GreenGrocer Plaza"/>
    <d v="2023-11-17T00:00:00"/>
    <s v="Meat &amp; Seafood"/>
    <s v="Salmon"/>
    <n v="5"/>
    <n v="1261.5999999999999"/>
    <n v="6308"/>
    <n v="1261.5999999999999"/>
    <n v="5046.3999999999996"/>
    <n v="166"/>
    <s v="17:59:54"/>
    <n v="17"/>
    <n v="11"/>
    <n v="2023"/>
    <d v="2023-11-17T00:00:00"/>
    <s v="UPI"/>
    <s v="F"/>
    <n v="1"/>
    <s v="Hyderabad"/>
    <x v="714"/>
  </r>
  <r>
    <n v="1243"/>
    <s v="Corner Grocery"/>
    <d v="2024-05-11T00:00:00"/>
    <s v="Snacks &amp; Candy"/>
    <s v="Milk"/>
    <n v="5"/>
    <n v="1851.73"/>
    <n v="9258.65"/>
    <n v="926.28"/>
    <n v="8332.3700000000008"/>
    <n v="194"/>
    <s v="06:17:14"/>
    <n v="11"/>
    <n v="5"/>
    <n v="2024"/>
    <d v="2024-05-11T00:00:00"/>
    <s v="Debit Card"/>
    <s v="F"/>
    <n v="1"/>
    <s v="Pune"/>
    <x v="715"/>
  </r>
  <r>
    <n v="4898"/>
    <s v="ValuePlus Market"/>
    <d v="2024-11-06T00:00:00"/>
    <s v="Personal Care"/>
    <s v="Milk"/>
    <n v="5"/>
    <n v="345.28"/>
    <n v="1726.4"/>
    <n v="345.28"/>
    <n v="1381.12"/>
    <n v="233"/>
    <s v="17:14:34"/>
    <n v="6"/>
    <n v="11"/>
    <n v="2024"/>
    <d v="2024-11-06T00:00:00"/>
    <s v="UPI"/>
    <s v="F"/>
    <n v="4"/>
    <s v="Lucknow"/>
    <x v="716"/>
  </r>
  <r>
    <n v="6304"/>
    <s v="ValuePlus Market"/>
    <d v="2023-08-19T00:00:00"/>
    <s v="Personal Care"/>
    <s v="Tomatoes"/>
    <n v="1"/>
    <n v="1424.28"/>
    <n v="1424.28"/>
    <n v="284.69"/>
    <n v="1139.5899999999999"/>
    <n v="264"/>
    <s v="19:57:12"/>
    <n v="19"/>
    <n v="8"/>
    <n v="2023"/>
    <d v="2023-08-19T00:00:00"/>
    <s v="UPI"/>
    <s v="F"/>
    <n v="3"/>
    <s v="Lucknow"/>
    <x v="717"/>
  </r>
  <r>
    <n v="3854"/>
    <s v="QuickStop Market"/>
    <d v="2024-02-29T00:00:00"/>
    <s v="Beverages"/>
    <s v="Tomatoes"/>
    <n v="3"/>
    <n v="1944.69"/>
    <n v="5834.07"/>
    <n v="1166.98"/>
    <n v="4667.09"/>
    <n v="146"/>
    <s v="07:26:18"/>
    <n v="29"/>
    <n v="2"/>
    <n v="2024"/>
    <d v="2024-02-29T00:00:00"/>
    <s v="UPI"/>
    <s v="F"/>
    <n v="2"/>
    <s v="Kolkata"/>
    <x v="718"/>
  </r>
  <r>
    <n v="1858"/>
    <s v="Corner Grocery"/>
    <d v="2023-11-13T00:00:00"/>
    <s v="Frozen Foods"/>
    <s v="Milk"/>
    <n v="5"/>
    <n v="2257.6"/>
    <n v="11288"/>
    <n v="322.87"/>
    <n v="10965.13"/>
    <n v="237"/>
    <s v="13:46:52"/>
    <n v="13"/>
    <n v="11"/>
    <n v="2023"/>
    <d v="2023-11-13T00:00:00"/>
    <s v="Credit Card"/>
    <s v="M"/>
    <n v="1"/>
    <s v="Chennai"/>
    <x v="719"/>
  </r>
  <r>
    <n v="7897"/>
    <s v="GreenGrocer Plaza"/>
    <d v="2024-09-18T00:00:00"/>
    <s v="Meat &amp; Seafood"/>
    <s v="Onions"/>
    <n v="2"/>
    <n v="1028.3699999999999"/>
    <n v="2056.7399999999998"/>
    <n v="142.76"/>
    <n v="1913.98"/>
    <n v="165"/>
    <s v="23:56:03"/>
    <n v="18"/>
    <n v="9"/>
    <n v="2024"/>
    <d v="2024-09-18T00:00:00"/>
    <s v="Debit Card"/>
    <s v="M"/>
    <n v="2"/>
    <s v="Mumbai"/>
    <x v="720"/>
  </r>
  <r>
    <n v="2862"/>
    <s v="FamilyFood Express"/>
    <d v="2025-03-08T00:00:00"/>
    <s v="Beverages"/>
    <s v="Bread"/>
    <n v="3"/>
    <n v="862.37"/>
    <n v="2587.11"/>
    <n v="0"/>
    <n v="2587.11"/>
    <n v="332"/>
    <s v="21:31:07"/>
    <n v="8"/>
    <n v="3"/>
    <n v="2025"/>
    <d v="2025-03-08T00:00:00"/>
    <s v="UPI"/>
    <s v="F"/>
    <n v="4"/>
    <s v="Pune"/>
    <x v="721"/>
  </r>
  <r>
    <n v="2041"/>
    <s v="GreenGrocer Plaza"/>
    <d v="2024-08-10T00:00:00"/>
    <s v="Dairy"/>
    <s v="Chicken Breast"/>
    <n v="4"/>
    <n v="1608.54"/>
    <n v="6434.16"/>
    <n v="0"/>
    <n v="6434.16"/>
    <n v="43"/>
    <s v="03:25:29"/>
    <n v="10"/>
    <n v="8"/>
    <n v="2024"/>
    <d v="2024-08-10T00:00:00"/>
    <s v="Cash"/>
    <s v="M"/>
    <n v="3"/>
    <s v="Chennai"/>
    <x v="722"/>
  </r>
  <r>
    <n v="8344"/>
    <s v="ValuePlus Market"/>
    <d v="2025-04-02T00:00:00"/>
    <s v="Household Items"/>
    <s v="Apples"/>
    <n v="4"/>
    <n v="1406.85"/>
    <n v="5627.4"/>
    <n v="844.11"/>
    <n v="4783.29"/>
    <n v="22"/>
    <s v="07:00:08"/>
    <n v="2"/>
    <n v="4"/>
    <n v="2025"/>
    <d v="2025-04-02T00:00:00"/>
    <s v="Cash"/>
    <s v="F"/>
    <n v="3"/>
    <s v="Bangalore"/>
    <x v="723"/>
  </r>
  <r>
    <n v="6931"/>
    <s v="SuperSave Central"/>
    <d v="2024-09-08T00:00:00"/>
    <s v="Meat &amp; Seafood"/>
    <s v="Eggs"/>
    <n v="2"/>
    <n v="1933.9"/>
    <n v="3867.8"/>
    <n v="580.16999999999996"/>
    <n v="3287.63"/>
    <n v="26"/>
    <s v="07:30:22"/>
    <n v="8"/>
    <n v="9"/>
    <n v="2024"/>
    <d v="2024-09-08T00:00:00"/>
    <s v="Cash"/>
    <s v="F"/>
    <n v="3"/>
    <s v="Pune"/>
    <x v="724"/>
  </r>
  <r>
    <n v="2786"/>
    <s v="QuickStop Market"/>
    <d v="2024-07-23T00:00:00"/>
    <s v="Beverages"/>
    <s v="Rice"/>
    <n v="2"/>
    <n v="365.2"/>
    <n v="730.4"/>
    <n v="289.67"/>
    <n v="440.73"/>
    <n v="67"/>
    <s v="23:27:32"/>
    <n v="23"/>
    <n v="7"/>
    <n v="2024"/>
    <d v="2024-07-23T00:00:00"/>
    <s v="Debit Card"/>
    <s v="M"/>
    <n v="4"/>
    <s v="Hyderabad"/>
    <x v="725"/>
  </r>
  <r>
    <n v="9254"/>
    <s v="QuickStop Market"/>
    <d v="2024-01-26T00:00:00"/>
    <s v="Produce"/>
    <s v="Salmon"/>
    <n v="4"/>
    <n v="2141.4"/>
    <n v="8565.6"/>
    <n v="375.99"/>
    <n v="8189.61"/>
    <n v="278"/>
    <s v="19:11:23"/>
    <n v="26"/>
    <n v="1"/>
    <n v="2024"/>
    <d v="2024-01-26T00:00:00"/>
    <s v="Debit Card"/>
    <s v="F"/>
    <n v="5"/>
    <s v="Chennai"/>
    <x v="726"/>
  </r>
  <r>
    <n v="1710"/>
    <s v="FamilyFood Express"/>
    <d v="2025-02-21T00:00:00"/>
    <s v="Bakery"/>
    <s v="Potatoes"/>
    <n v="4"/>
    <n v="1069.04"/>
    <n v="4276.16"/>
    <n v="854.9"/>
    <n v="3421.26"/>
    <n v="40"/>
    <s v="02:03:48"/>
    <n v="21"/>
    <n v="2"/>
    <n v="2025"/>
    <d v="2025-02-21T00:00:00"/>
    <s v="Cash"/>
    <s v="F"/>
    <n v="5"/>
    <s v="Ahmedabad"/>
    <x v="727"/>
  </r>
  <r>
    <n v="9543"/>
    <s v="ValuePlus Market"/>
    <d v="2024-03-28T00:00:00"/>
    <s v="Frozen Foods"/>
    <s v="Onions"/>
    <n v="2"/>
    <n v="200.03"/>
    <n v="400.06"/>
    <n v="0"/>
    <n v="400.06"/>
    <n v="75"/>
    <s v="19:52:47"/>
    <n v="28"/>
    <n v="3"/>
    <n v="2024"/>
    <d v="2024-03-28T00:00:00"/>
    <s v="UPI"/>
    <s v="F"/>
    <n v="2"/>
    <s v="Chennai"/>
    <x v="728"/>
  </r>
  <r>
    <n v="8504"/>
    <s v="MegaMart Westside"/>
    <d v="2024-12-18T00:00:00"/>
    <s v="Produce"/>
    <s v="Eggs"/>
    <n v="1"/>
    <n v="1687.39"/>
    <n v="1687.39"/>
    <n v="253.15"/>
    <n v="1434.24"/>
    <n v="429"/>
    <s v="04:12:33"/>
    <n v="18"/>
    <n v="12"/>
    <n v="2024"/>
    <d v="2024-12-18T00:00:00"/>
    <s v="Debit Card"/>
    <s v="F"/>
    <n v="5"/>
    <s v="Ahmedabad"/>
    <x v="729"/>
  </r>
  <r>
    <n v="1510"/>
    <s v="GreenGrocer Plaza"/>
    <d v="2023-09-23T00:00:00"/>
    <s v="Produce"/>
    <s v="Chicken Breast"/>
    <n v="4"/>
    <n v="2474.23"/>
    <n v="9896.92"/>
    <n v="302.12"/>
    <n v="9594.7999999999993"/>
    <n v="82"/>
    <s v="06:54:57"/>
    <n v="23"/>
    <n v="9"/>
    <n v="2023"/>
    <d v="2023-09-23T00:00:00"/>
    <s v="Cash"/>
    <s v="M"/>
    <n v="5"/>
    <s v="Lucknow"/>
    <x v="730"/>
  </r>
  <r>
    <n v="8847"/>
    <s v="ValuePlus Market"/>
    <d v="2025-05-26T00:00:00"/>
    <s v="Meat &amp; Seafood"/>
    <s v="Salmon"/>
    <n v="5"/>
    <n v="949.52"/>
    <n v="4747.6000000000004"/>
    <n v="712.14"/>
    <n v="4035.46"/>
    <n v="18"/>
    <s v="08:30:10"/>
    <n v="26"/>
    <n v="5"/>
    <n v="2025"/>
    <d v="2025-05-26T00:00:00"/>
    <s v="Cash"/>
    <s v="F"/>
    <n v="3"/>
    <s v="Ahmedabad"/>
    <x v="731"/>
  </r>
  <r>
    <n v="7580"/>
    <s v="MegaMart Westside"/>
    <d v="2024-07-03T00:00:00"/>
    <s v="Canned Goods"/>
    <s v="Tomatoes"/>
    <n v="1"/>
    <n v="1907.34"/>
    <n v="1907.34"/>
    <n v="286.35000000000002"/>
    <n v="1620.99"/>
    <n v="431"/>
    <s v="20:00:43"/>
    <n v="3"/>
    <n v="7"/>
    <n v="2024"/>
    <d v="2024-07-03T00:00:00"/>
    <s v="UPI"/>
    <s v="F"/>
    <n v="3"/>
    <s v="Jaipur"/>
    <x v="732"/>
  </r>
  <r>
    <n v="2768"/>
    <s v="City Fresh Store"/>
    <d v="2024-08-21T00:00:00"/>
    <s v="Meat &amp; Seafood"/>
    <s v="Chicken Breast"/>
    <n v="3"/>
    <n v="874.82"/>
    <n v="2624.46"/>
    <n v="0"/>
    <n v="2624.46"/>
    <n v="211"/>
    <s v="21:33:02"/>
    <n v="21"/>
    <n v="8"/>
    <n v="2024"/>
    <d v="2024-08-21T00:00:00"/>
    <s v="Credit Card"/>
    <s v="F"/>
    <n v="2"/>
    <s v="Mumbai"/>
    <x v="733"/>
  </r>
  <r>
    <n v="8267"/>
    <s v="FamilyFood Express"/>
    <d v="2023-10-03T00:00:00"/>
    <s v="Household Items"/>
    <s v="Milk"/>
    <n v="1"/>
    <n v="1457.48"/>
    <n v="1457.48"/>
    <n v="146.08000000000001"/>
    <n v="1311.4"/>
    <n v="322"/>
    <s v="05:38:01"/>
    <n v="3"/>
    <n v="10"/>
    <n v="2023"/>
    <d v="2023-10-03T00:00:00"/>
    <s v="Debit Card"/>
    <s v="M"/>
    <n v="1"/>
    <s v="Jaipur"/>
    <x v="734"/>
  </r>
  <r>
    <n v="2323"/>
    <s v="QuickStop Market"/>
    <d v="2024-04-13T00:00:00"/>
    <s v="Snacks &amp; Candy"/>
    <s v="Cereal"/>
    <n v="3"/>
    <n v="1347.09"/>
    <n v="4041.27"/>
    <n v="808.42"/>
    <n v="3232.85"/>
    <n v="319"/>
    <s v="18:26:05"/>
    <n v="13"/>
    <n v="4"/>
    <n v="2024"/>
    <d v="2024-04-13T00:00:00"/>
    <s v="UPI"/>
    <s v="F"/>
    <n v="2"/>
    <s v="Hyderabad"/>
    <x v="735"/>
  </r>
  <r>
    <n v="3430"/>
    <s v="City Fresh Store"/>
    <d v="2023-09-27T00:00:00"/>
    <s v="Personal Care"/>
    <s v="Potatoes"/>
    <n v="4"/>
    <n v="2026.86"/>
    <n v="8107.44"/>
    <n v="0"/>
    <n v="8107.44"/>
    <n v="452"/>
    <s v="10:07:14"/>
    <n v="27"/>
    <n v="9"/>
    <n v="2023"/>
    <d v="2023-09-27T00:00:00"/>
    <s v="Cash"/>
    <s v="M"/>
    <n v="2"/>
    <s v="Delhi"/>
    <x v="736"/>
  </r>
  <r>
    <n v="3067"/>
    <s v="QuickStop Market"/>
    <d v="2024-03-07T00:00:00"/>
    <s v="Bakery"/>
    <s v="Bananas"/>
    <n v="1"/>
    <n v="140.27000000000001"/>
    <n v="140.27000000000001"/>
    <n v="0"/>
    <n v="140.27000000000001"/>
    <n v="320"/>
    <s v="19:38:48"/>
    <n v="7"/>
    <n v="3"/>
    <n v="2024"/>
    <d v="2024-03-07T00:00:00"/>
    <s v="Cash"/>
    <s v="M"/>
    <n v="4"/>
    <s v="Hyderabad"/>
    <x v="737"/>
  </r>
  <r>
    <n v="9984"/>
    <s v="FamilyFood Express"/>
    <d v="2025-02-10T00:00:00"/>
    <s v="Household Items"/>
    <s v="Cheese"/>
    <n v="4"/>
    <n v="191.73"/>
    <n v="766.92"/>
    <n v="295.48"/>
    <n v="471.44"/>
    <n v="179"/>
    <s v="22:55:44"/>
    <n v="10"/>
    <n v="2"/>
    <n v="2025"/>
    <d v="2025-02-10T00:00:00"/>
    <s v="UPI"/>
    <s v="F"/>
    <n v="4"/>
    <s v="Kolkata"/>
    <x v="738"/>
  </r>
  <r>
    <n v="6327"/>
    <s v="Corner Grocery"/>
    <d v="2024-05-28T00:00:00"/>
    <s v="Frozen Foods"/>
    <s v="Bread"/>
    <n v="3"/>
    <n v="805.1"/>
    <n v="2415.3000000000002"/>
    <n v="121.18"/>
    <n v="2294.12"/>
    <n v="281"/>
    <s v="18:02:55"/>
    <n v="28"/>
    <n v="5"/>
    <n v="2024"/>
    <d v="2024-05-28T00:00:00"/>
    <s v="Debit Card"/>
    <s v="F"/>
    <n v="2"/>
    <s v="Pune"/>
    <x v="739"/>
  </r>
  <r>
    <n v="9692"/>
    <s v="MegaMart Westside"/>
    <d v="2024-03-23T00:00:00"/>
    <s v="Canned Goods"/>
    <s v="Tomatoes"/>
    <n v="5"/>
    <n v="1564.55"/>
    <n v="7822.75"/>
    <n v="1564.55"/>
    <n v="6258.2"/>
    <n v="14"/>
    <s v="12:15:15"/>
    <n v="23"/>
    <n v="3"/>
    <n v="2024"/>
    <d v="2024-03-23T00:00:00"/>
    <s v="Credit Card"/>
    <s v="M"/>
    <n v="2"/>
    <s v="Jaipur"/>
    <x v="740"/>
  </r>
  <r>
    <n v="8433"/>
    <s v="MegaMart Westside"/>
    <d v="2024-09-02T00:00:00"/>
    <s v="Canned Goods"/>
    <s v="Potatoes"/>
    <n v="4"/>
    <n v="2001.13"/>
    <n v="8004.52"/>
    <n v="800.12"/>
    <n v="7204.4"/>
    <n v="330"/>
    <s v="10:10:24"/>
    <n v="2"/>
    <n v="9"/>
    <n v="2024"/>
    <d v="2024-09-02T00:00:00"/>
    <s v="Credit Card"/>
    <s v="F"/>
    <n v="2"/>
    <s v="Hyderabad"/>
    <x v="741"/>
  </r>
  <r>
    <n v="8048"/>
    <s v="SuperSave Central"/>
    <d v="2023-10-23T00:00:00"/>
    <s v="Health &amp; Wellness"/>
    <s v="Salmon"/>
    <n v="5"/>
    <n v="2238.5100000000002"/>
    <n v="11192.55"/>
    <n v="0"/>
    <n v="11192.55"/>
    <n v="236"/>
    <s v="09:26:39"/>
    <n v="23"/>
    <n v="10"/>
    <n v="2023"/>
    <d v="2023-10-23T00:00:00"/>
    <s v="Cash"/>
    <s v="M"/>
    <n v="5"/>
    <s v="Pune"/>
    <x v="742"/>
  </r>
  <r>
    <n v="2874"/>
    <s v="FreshMart Downtown"/>
    <d v="2025-05-30T00:00:00"/>
    <s v="Personal Care"/>
    <s v="Rice"/>
    <n v="5"/>
    <n v="1826.83"/>
    <n v="9134.15"/>
    <n v="1826.83"/>
    <n v="7307.32"/>
    <n v="161"/>
    <s v="08:28:29"/>
    <n v="30"/>
    <n v="5"/>
    <n v="2025"/>
    <d v="2025-05-30T00:00:00"/>
    <s v="Debit Card"/>
    <s v="M"/>
    <n v="4"/>
    <s v="Pune"/>
    <x v="743"/>
  </r>
  <r>
    <n v="4522"/>
    <s v="MegaMart Westside"/>
    <d v="2024-07-06T00:00:00"/>
    <s v="Canned Goods"/>
    <s v="Bread"/>
    <n v="2"/>
    <n v="756.96"/>
    <n v="1513.92"/>
    <n v="151.06"/>
    <n v="1362.86"/>
    <n v="15"/>
    <s v="02:20:15"/>
    <n v="6"/>
    <n v="7"/>
    <n v="2024"/>
    <d v="2024-07-06T00:00:00"/>
    <s v="Credit Card"/>
    <s v="F"/>
    <n v="2"/>
    <s v="Pune"/>
    <x v="744"/>
  </r>
  <r>
    <n v="8398"/>
    <s v="ValuePlus Market"/>
    <d v="2025-06-26T00:00:00"/>
    <s v="Meat &amp; Seafood"/>
    <s v="Tomatoes"/>
    <n v="2"/>
    <n v="1514.75"/>
    <n v="3029.5"/>
    <n v="0"/>
    <n v="3029.5"/>
    <n v="442"/>
    <s v="06:33:39"/>
    <n v="26"/>
    <n v="6"/>
    <n v="2025"/>
    <d v="2025-06-26T00:00:00"/>
    <s v="Debit Card"/>
    <s v="F"/>
    <n v="3"/>
    <s v="Mumbai"/>
    <x v="745"/>
  </r>
  <r>
    <n v="4743"/>
    <s v="MegaMart Westside"/>
    <d v="2024-06-23T00:00:00"/>
    <s v="Produce"/>
    <s v="Pasta"/>
    <n v="4"/>
    <n v="291.33"/>
    <n v="1165.32"/>
    <n v="175.13"/>
    <n v="990.19"/>
    <n v="449"/>
    <s v="13:48:54"/>
    <n v="23"/>
    <n v="6"/>
    <n v="2024"/>
    <d v="2024-06-23T00:00:00"/>
    <s v="Debit Card"/>
    <s v="M"/>
    <n v="3"/>
    <s v="Delhi"/>
    <x v="746"/>
  </r>
  <r>
    <n v="6553"/>
    <s v="City Fresh Store"/>
    <d v="2025-05-10T00:00:00"/>
    <s v="Frozen Foods"/>
    <s v="Yogurt"/>
    <n v="5"/>
    <n v="810.08"/>
    <n v="4050.4"/>
    <n v="341.13"/>
    <n v="3709.27"/>
    <n v="57"/>
    <s v="02:00:13"/>
    <n v="10"/>
    <n v="5"/>
    <n v="2025"/>
    <d v="2025-05-10T00:00:00"/>
    <s v="Cash"/>
    <s v="M"/>
    <n v="5"/>
    <s v="Ahmedabad"/>
    <x v="747"/>
  </r>
  <r>
    <n v="8430"/>
    <s v="GreenGrocer Plaza"/>
    <d v="2024-06-11T00:00:00"/>
    <s v="Beverages"/>
    <s v="Carrots"/>
    <n v="1"/>
    <n v="2005.28"/>
    <n v="2005.28"/>
    <n v="400.89"/>
    <n v="1604.39"/>
    <n v="463"/>
    <s v="21:13:00"/>
    <n v="11"/>
    <n v="6"/>
    <n v="2024"/>
    <d v="2024-06-11T00:00:00"/>
    <s v="Credit Card"/>
    <s v="M"/>
    <n v="5"/>
    <s v="Hyderabad"/>
    <x v="748"/>
  </r>
  <r>
    <n v="7815"/>
    <s v="MegaMart Westside"/>
    <d v="2025-02-23T00:00:00"/>
    <s v="Beverages"/>
    <s v="Carrots"/>
    <n v="3"/>
    <n v="1948.84"/>
    <n v="5846.52"/>
    <n v="307.93"/>
    <n v="5538.59"/>
    <n v="73"/>
    <s v="19:16:28"/>
    <n v="23"/>
    <n v="2"/>
    <n v="2025"/>
    <d v="2025-02-23T00:00:00"/>
    <s v="UPI"/>
    <s v="M"/>
    <n v="1"/>
    <s v="Kolkata"/>
    <x v="749"/>
  </r>
  <r>
    <n v="2557"/>
    <s v="SuperSave Central"/>
    <d v="2024-04-05T00:00:00"/>
    <s v="Bakery"/>
    <s v="Milk"/>
    <n v="4"/>
    <n v="1015.09"/>
    <n v="4060.36"/>
    <n v="185.92"/>
    <n v="3874.44"/>
    <n v="442"/>
    <s v="10:33:43"/>
    <n v="5"/>
    <n v="4"/>
    <n v="2024"/>
    <d v="2024-04-05T00:00:00"/>
    <s v="Cash"/>
    <s v="F"/>
    <n v="1"/>
    <s v="Hyderabad"/>
    <x v="750"/>
  </r>
  <r>
    <n v="7992"/>
    <s v="FreshMart Downtown"/>
    <d v="2024-04-05T00:00:00"/>
    <s v="Health &amp; Wellness"/>
    <s v="Bread"/>
    <n v="3"/>
    <n v="1205.99"/>
    <n v="3617.97"/>
    <n v="336.98"/>
    <n v="3280.99"/>
    <n v="23"/>
    <s v="01:15:45"/>
    <n v="5"/>
    <n v="4"/>
    <n v="2024"/>
    <d v="2024-04-05T00:00:00"/>
    <s v="Credit Card"/>
    <s v="F"/>
    <n v="1"/>
    <s v="Ahmedabad"/>
    <x v="751"/>
  </r>
  <r>
    <n v="5176"/>
    <s v="QuickStop Market"/>
    <d v="2024-05-23T00:00:00"/>
    <s v="Produce"/>
    <s v="Rice"/>
    <n v="2"/>
    <n v="854.9"/>
    <n v="1709.8"/>
    <n v="256.47000000000003"/>
    <n v="1453.33"/>
    <n v="98"/>
    <s v="22:32:13"/>
    <n v="23"/>
    <n v="5"/>
    <n v="2024"/>
    <d v="2024-05-23T00:00:00"/>
    <s v="Credit Card"/>
    <s v="F"/>
    <n v="5"/>
    <s v="Lucknow"/>
    <x v="752"/>
  </r>
  <r>
    <n v="3500"/>
    <s v="ValuePlus Market"/>
    <d v="2025-01-21T00:00:00"/>
    <s v="Canned Goods"/>
    <s v="Salmon"/>
    <n v="1"/>
    <n v="738.7"/>
    <n v="738.7"/>
    <n v="87.98"/>
    <n v="650.72"/>
    <n v="80"/>
    <s v="07:38:08"/>
    <n v="21"/>
    <n v="1"/>
    <n v="2025"/>
    <d v="2025-01-21T00:00:00"/>
    <s v="Credit Card"/>
    <s v="F"/>
    <n v="5"/>
    <s v="Chennai"/>
    <x v="753"/>
  </r>
  <r>
    <n v="8770"/>
    <s v="ValuePlus Market"/>
    <d v="2023-09-28T00:00:00"/>
    <s v="Personal Care"/>
    <s v="Chicken Breast"/>
    <n v="2"/>
    <n v="1387.76"/>
    <n v="2775.52"/>
    <n v="416.66"/>
    <n v="2358.86"/>
    <n v="281"/>
    <s v="19:25:03"/>
    <n v="28"/>
    <n v="9"/>
    <n v="2023"/>
    <d v="2023-09-28T00:00:00"/>
    <s v="Credit Card"/>
    <s v="F"/>
    <n v="5"/>
    <s v="Pune"/>
    <x v="754"/>
  </r>
  <r>
    <n v="2494"/>
    <s v="SuperSave Central"/>
    <d v="2025-05-14T00:00:00"/>
    <s v="Frozen Foods"/>
    <s v="Ground Beef"/>
    <n v="2"/>
    <n v="253.98"/>
    <n v="507.96"/>
    <n v="229.91"/>
    <n v="278.05"/>
    <n v="313"/>
    <s v="02:49:25"/>
    <n v="14"/>
    <n v="5"/>
    <n v="2025"/>
    <d v="2025-05-14T00:00:00"/>
    <s v="Credit Card"/>
    <s v="M"/>
    <n v="3"/>
    <s v="Jaipur"/>
    <x v="755"/>
  </r>
  <r>
    <n v="2398"/>
    <s v="SuperSave Central"/>
    <d v="2023-10-18T00:00:00"/>
    <s v="Produce"/>
    <s v="Potatoes"/>
    <n v="1"/>
    <n v="336.98"/>
    <n v="336.98"/>
    <n v="34.03"/>
    <n v="302.95"/>
    <n v="27"/>
    <s v="11:55:23"/>
    <n v="18"/>
    <n v="10"/>
    <n v="2023"/>
    <d v="2023-10-18T00:00:00"/>
    <s v="Debit Card"/>
    <s v="F"/>
    <n v="5"/>
    <s v="Jaipur"/>
    <x v="756"/>
  </r>
  <r>
    <n v="8075"/>
    <s v="Corner Grocery"/>
    <d v="2023-10-21T00:00:00"/>
    <s v="Meat &amp; Seafood"/>
    <s v="Salmon"/>
    <n v="5"/>
    <n v="937.9"/>
    <n v="4689.5"/>
    <n v="0"/>
    <n v="4689.5"/>
    <n v="170"/>
    <s v="21:41:00"/>
    <n v="21"/>
    <n v="10"/>
    <n v="2023"/>
    <d v="2023-10-21T00:00:00"/>
    <s v="Cash"/>
    <s v="F"/>
    <n v="3"/>
    <s v="Chennai"/>
    <x v="757"/>
  </r>
  <r>
    <n v="7105"/>
    <s v="ValuePlus Market"/>
    <d v="2025-04-28T00:00:00"/>
    <s v="Dairy"/>
    <s v="Salmon"/>
    <n v="5"/>
    <n v="399.23"/>
    <n v="1996.15"/>
    <n v="234.06"/>
    <n v="1762.09"/>
    <n v="416"/>
    <s v="21:57:53"/>
    <n v="28"/>
    <n v="4"/>
    <n v="2025"/>
    <d v="2025-04-28T00:00:00"/>
    <s v="Debit Card"/>
    <s v="F"/>
    <n v="1"/>
    <s v="Kolkata"/>
    <x v="758"/>
  </r>
  <r>
    <n v="3131"/>
    <s v="City Fresh Store"/>
    <d v="2024-10-12T00:00:00"/>
    <s v="Beverages"/>
    <s v="Ground Beef"/>
    <n v="2"/>
    <n v="428.28"/>
    <n v="856.56"/>
    <n v="128.65"/>
    <n v="727.91"/>
    <n v="458"/>
    <s v="13:35:03"/>
    <n v="12"/>
    <n v="10"/>
    <n v="2024"/>
    <d v="2024-10-12T00:00:00"/>
    <s v="UPI"/>
    <s v="F"/>
    <n v="1"/>
    <s v="Jaipur"/>
    <x v="759"/>
  </r>
  <r>
    <n v="1982"/>
    <s v="Corner Grocery"/>
    <d v="2024-11-04T00:00:00"/>
    <s v="Meat &amp; Seafood"/>
    <s v="Cereal"/>
    <n v="3"/>
    <n v="1173.6199999999999"/>
    <n v="3520.86"/>
    <n v="351.92"/>
    <n v="3168.94"/>
    <n v="15"/>
    <s v="05:54:28"/>
    <n v="4"/>
    <n v="11"/>
    <n v="2024"/>
    <d v="2024-11-04T00:00:00"/>
    <s v="Credit Card"/>
    <s v="F"/>
    <n v="1"/>
    <s v="Chennai"/>
    <x v="760"/>
  </r>
  <r>
    <n v="6400"/>
    <s v="GreenGrocer Plaza"/>
    <d v="2025-01-08T00:00:00"/>
    <s v="Canned Goods"/>
    <s v="Potatoes"/>
    <n v="4"/>
    <n v="2118.16"/>
    <n v="8472.64"/>
    <n v="273.89999999999998"/>
    <n v="8198.74"/>
    <n v="144"/>
    <s v="19:50:02"/>
    <n v="8"/>
    <n v="1"/>
    <n v="2025"/>
    <d v="2025-01-08T00:00:00"/>
    <s v="Cash"/>
    <s v="M"/>
    <n v="2"/>
    <s v="Chennai"/>
    <x v="761"/>
  </r>
  <r>
    <n v="3002"/>
    <s v="ValuePlus Market"/>
    <d v="2024-06-21T00:00:00"/>
    <s v="Dairy"/>
    <s v="Tomatoes"/>
    <n v="1"/>
    <n v="866.52"/>
    <n v="866.52"/>
    <n v="130.31"/>
    <n v="736.21"/>
    <n v="332"/>
    <s v="18:59:18"/>
    <n v="21"/>
    <n v="6"/>
    <n v="2024"/>
    <d v="2024-06-21T00:00:00"/>
    <s v="Credit Card"/>
    <s v="M"/>
    <n v="2"/>
    <s v="Pune"/>
    <x v="762"/>
  </r>
  <r>
    <n v="6793"/>
    <s v="ValuePlus Market"/>
    <d v="2025-06-15T00:00:00"/>
    <s v="Beverages"/>
    <s v="Tomatoes"/>
    <n v="5"/>
    <n v="1077.3399999999999"/>
    <n v="5386.7"/>
    <n v="136.12"/>
    <n v="5250.58"/>
    <n v="317"/>
    <s v="10:24:44"/>
    <n v="15"/>
    <n v="6"/>
    <n v="2025"/>
    <d v="2025-06-15T00:00:00"/>
    <s v="Cash"/>
    <s v="M"/>
    <n v="4"/>
    <s v="Ahmedabad"/>
    <x v="763"/>
  </r>
  <r>
    <n v="7929"/>
    <s v="City Fresh Store"/>
    <d v="2025-06-11T00:00:00"/>
    <s v="Snacks &amp; Candy"/>
    <s v="Bread"/>
    <n v="3"/>
    <n v="583.49"/>
    <n v="1750.47"/>
    <n v="175.13"/>
    <n v="1575.34"/>
    <n v="355"/>
    <s v="16:44:02"/>
    <n v="11"/>
    <n v="6"/>
    <n v="2025"/>
    <d v="2025-06-11T00:00:00"/>
    <s v="Debit Card"/>
    <s v="F"/>
    <n v="4"/>
    <s v="Ahmedabad"/>
    <x v="764"/>
  </r>
  <r>
    <n v="1842"/>
    <s v="MegaMart Westside"/>
    <d v="2024-03-17T00:00:00"/>
    <s v="Personal Care"/>
    <s v="Ground Beef"/>
    <n v="2"/>
    <n v="1677.43"/>
    <n v="3354.86"/>
    <n v="279.70999999999998"/>
    <n v="3075.15"/>
    <n v="39"/>
    <s v="01:49:43"/>
    <n v="17"/>
    <n v="3"/>
    <n v="2024"/>
    <d v="2024-03-17T00:00:00"/>
    <s v="Cash"/>
    <s v="M"/>
    <n v="4"/>
    <s v="Ahmedabad"/>
    <x v="765"/>
  </r>
  <r>
    <n v="6119"/>
    <s v="City Fresh Store"/>
    <d v="2024-05-06T00:00:00"/>
    <s v="Canned Goods"/>
    <s v="Onions"/>
    <n v="1"/>
    <n v="2060.89"/>
    <n v="2060.89"/>
    <n v="205.84"/>
    <n v="1855.05"/>
    <n v="90"/>
    <s v="10:40:24"/>
    <n v="6"/>
    <n v="5"/>
    <n v="2024"/>
    <d v="2024-05-06T00:00:00"/>
    <s v="UPI"/>
    <s v="M"/>
    <n v="2"/>
    <s v="Hyderabad"/>
    <x v="766"/>
  </r>
  <r>
    <n v="2697"/>
    <s v="GreenGrocer Plaza"/>
    <d v="2024-10-28T00:00:00"/>
    <s v="Household Items"/>
    <s v="Chicken Breast"/>
    <n v="5"/>
    <n v="1938.88"/>
    <n v="9694.4"/>
    <n v="969.44"/>
    <n v="8724.9599999999991"/>
    <n v="194"/>
    <s v="19:06:34"/>
    <n v="28"/>
    <n v="10"/>
    <n v="2024"/>
    <d v="2024-10-28T00:00:00"/>
    <s v="UPI"/>
    <s v="F"/>
    <n v="2"/>
    <s v="Delhi"/>
    <x v="767"/>
  </r>
  <r>
    <n v="9313"/>
    <s v="FreshMart Downtown"/>
    <d v="2024-01-19T00:00:00"/>
    <s v="Dairy"/>
    <s v="Yogurt"/>
    <n v="2"/>
    <n v="2217.7600000000002"/>
    <n v="4435.5200000000004"/>
    <n v="887.27"/>
    <n v="3548.25"/>
    <n v="462"/>
    <s v="14:52:07"/>
    <n v="19"/>
    <n v="1"/>
    <n v="2024"/>
    <d v="2024-01-19T00:00:00"/>
    <s v="Cash"/>
    <s v="F"/>
    <n v="4"/>
    <s v="Hyderabad"/>
    <x v="768"/>
  </r>
  <r>
    <n v="3535"/>
    <s v="SuperSave Central"/>
    <d v="2024-12-29T00:00:00"/>
    <s v="Beverages"/>
    <s v="Onions"/>
    <n v="3"/>
    <n v="1020.9"/>
    <n v="3062.7"/>
    <n v="612.54"/>
    <n v="2450.16"/>
    <n v="295"/>
    <s v="04:55:54"/>
    <n v="29"/>
    <n v="12"/>
    <n v="2024"/>
    <d v="2024-12-29T00:00:00"/>
    <s v="Cash"/>
    <s v="F"/>
    <n v="4"/>
    <s v="Chennai"/>
    <x v="769"/>
  </r>
  <r>
    <n v="8900"/>
    <s v="FamilyFood Express"/>
    <d v="2024-01-28T00:00:00"/>
    <s v="Health &amp; Wellness"/>
    <s v="Cereal"/>
    <n v="3"/>
    <n v="1454.99"/>
    <n v="4364.97"/>
    <n v="436.58"/>
    <n v="3928.39"/>
    <n v="467"/>
    <s v="14:50:57"/>
    <n v="28"/>
    <n v="1"/>
    <n v="2024"/>
    <d v="2024-01-28T00:00:00"/>
    <s v="Cash"/>
    <s v="M"/>
    <n v="5"/>
    <s v="Delhi"/>
    <x v="770"/>
  </r>
  <r>
    <n v="2773"/>
    <s v="MegaMart Westside"/>
    <d v="2024-05-04T00:00:00"/>
    <s v="Dairy"/>
    <s v="Bananas"/>
    <n v="5"/>
    <n v="2456.8000000000002"/>
    <n v="12284"/>
    <n v="1842.6"/>
    <n v="10441.4"/>
    <n v="206"/>
    <s v="00:06:40"/>
    <n v="4"/>
    <n v="5"/>
    <n v="2024"/>
    <d v="2024-05-04T00:00:00"/>
    <s v="Cash"/>
    <s v="M"/>
    <n v="4"/>
    <s v="Jaipur"/>
    <x v="771"/>
  </r>
  <r>
    <n v="7022"/>
    <s v="FreshMart Downtown"/>
    <d v="2023-11-04T00:00:00"/>
    <s v="Canned Goods"/>
    <s v="Onions"/>
    <n v="1"/>
    <n v="83.83"/>
    <n v="83.83"/>
    <n v="368.52"/>
    <n v="-284.69"/>
    <n v="286"/>
    <s v="17:55:50"/>
    <n v="4"/>
    <n v="11"/>
    <n v="2023"/>
    <d v="2023-11-04T00:00:00"/>
    <s v="UPI"/>
    <s v="F"/>
    <n v="5"/>
    <s v="Bangalore"/>
    <x v="772"/>
  </r>
  <r>
    <n v="5564"/>
    <s v="FreshMart Downtown"/>
    <d v="2024-10-25T00:00:00"/>
    <s v="Bakery"/>
    <s v="Cheese"/>
    <n v="5"/>
    <n v="1030.8599999999999"/>
    <n v="5154.3"/>
    <n v="515.42999999999995"/>
    <n v="4638.87"/>
    <n v="162"/>
    <s v="09:08:16"/>
    <n v="25"/>
    <n v="10"/>
    <n v="2024"/>
    <d v="2024-10-25T00:00:00"/>
    <s v="Credit Card"/>
    <s v="F"/>
    <n v="3"/>
    <s v="Hyderabad"/>
    <x v="773"/>
  </r>
  <r>
    <n v="4705"/>
    <s v="Corner Grocery"/>
    <d v="2025-04-24T00:00:00"/>
    <s v="Snacks &amp; Candy"/>
    <s v="Onions"/>
    <n v="2"/>
    <n v="1676.6"/>
    <n v="3353.2"/>
    <n v="670.64"/>
    <n v="2682.56"/>
    <n v="243"/>
    <s v="03:09:33"/>
    <n v="24"/>
    <n v="4"/>
    <n v="2025"/>
    <d v="2025-04-24T00:00:00"/>
    <s v="Cash"/>
    <s v="M"/>
    <n v="2"/>
    <s v="Hyderabad"/>
    <x v="774"/>
  </r>
  <r>
    <n v="8030"/>
    <s v="ValuePlus Market"/>
    <d v="2025-05-24T00:00:00"/>
    <s v="Snacks &amp; Candy"/>
    <s v="Orange Juice"/>
    <n v="4"/>
    <n v="453.18"/>
    <n v="1812.72"/>
    <n v="362.71"/>
    <n v="1450.01"/>
    <n v="446"/>
    <s v="06:39:10"/>
    <n v="24"/>
    <n v="5"/>
    <n v="2025"/>
    <d v="2025-05-24T00:00:00"/>
    <s v="Cash"/>
    <s v="M"/>
    <n v="4"/>
    <s v="Pune"/>
    <x v="775"/>
  </r>
  <r>
    <n v="1430"/>
    <s v="FreshMart Downtown"/>
    <d v="2024-11-22T00:00:00"/>
    <s v="Dairy"/>
    <s v="Bananas"/>
    <n v="2"/>
    <n v="1818.53"/>
    <n v="3637.06"/>
    <n v="727.08"/>
    <n v="2909.98"/>
    <n v="249"/>
    <s v="09:43:16"/>
    <n v="22"/>
    <n v="11"/>
    <n v="2024"/>
    <d v="2024-11-22T00:00:00"/>
    <s v="UPI"/>
    <s v="F"/>
    <n v="2"/>
    <s v="Ahmedabad"/>
    <x v="776"/>
  </r>
  <r>
    <n v="5381"/>
    <s v="GreenGrocer Plaza"/>
    <d v="2023-08-29T00:00:00"/>
    <s v="Meat &amp; Seafood"/>
    <s v="Cheese"/>
    <n v="4"/>
    <n v="2232.6999999999998"/>
    <n v="8930.7999999999993"/>
    <n v="142.76"/>
    <n v="8788.0400000000009"/>
    <n v="356"/>
    <s v="22:16:48"/>
    <n v="29"/>
    <n v="8"/>
    <n v="2023"/>
    <d v="2023-08-29T00:00:00"/>
    <s v="UPI"/>
    <s v="F"/>
    <n v="2"/>
    <s v="Lucknow"/>
    <x v="777"/>
  </r>
  <r>
    <n v="3955"/>
    <s v="ValuePlus Market"/>
    <d v="2024-03-06T00:00:00"/>
    <s v="Snacks &amp; Candy"/>
    <s v="Onions"/>
    <n v="4"/>
    <n v="1008.45"/>
    <n v="4033.8"/>
    <n v="403.38"/>
    <n v="3630.42"/>
    <n v="115"/>
    <s v="05:33:39"/>
    <n v="6"/>
    <n v="3"/>
    <n v="2024"/>
    <d v="2024-03-06T00:00:00"/>
    <s v="Debit Card"/>
    <s v="M"/>
    <n v="2"/>
    <s v="Jaipur"/>
    <x v="778"/>
  </r>
  <r>
    <n v="6062"/>
    <s v="FreshMart Downtown"/>
    <d v="2025-07-22T00:00:00"/>
    <s v="Household Items"/>
    <s v="Potatoes"/>
    <n v="2"/>
    <n v="1796.12"/>
    <n v="3592.24"/>
    <n v="274.73"/>
    <n v="3317.51"/>
    <n v="137"/>
    <s v="01:44:49"/>
    <n v="22"/>
    <n v="7"/>
    <n v="2025"/>
    <d v="2025-07-22T00:00:00"/>
    <s v="Cash"/>
    <s v="F"/>
    <n v="3"/>
    <s v="Lucknow"/>
    <x v="779"/>
  </r>
  <r>
    <n v="6567"/>
    <s v="FreshMart Downtown"/>
    <d v="2024-05-05T00:00:00"/>
    <s v="Produce"/>
    <s v="Potatoes"/>
    <n v="3"/>
    <n v="354.41"/>
    <n v="1063.23"/>
    <n v="212.48"/>
    <n v="850.75"/>
    <n v="246"/>
    <s v="18:23:25"/>
    <n v="5"/>
    <n v="5"/>
    <n v="2024"/>
    <d v="2024-05-05T00:00:00"/>
    <s v="Debit Card"/>
    <s v="M"/>
    <n v="1"/>
    <s v="Ahmedabad"/>
    <x v="780"/>
  </r>
  <r>
    <n v="1100"/>
    <s v="ValuePlus Market"/>
    <d v="2023-12-25T00:00:00"/>
    <s v="Frozen Foods"/>
    <s v="Salmon"/>
    <n v="5"/>
    <n v="270.58"/>
    <n v="1352.9"/>
    <n v="270.58"/>
    <n v="1082.32"/>
    <n v="455"/>
    <s v="00:13:25"/>
    <n v="25"/>
    <n v="12"/>
    <n v="2023"/>
    <d v="2023-12-25T00:00:00"/>
    <s v="UPI"/>
    <s v="M"/>
    <n v="4"/>
    <s v="Delhi"/>
    <x v="781"/>
  </r>
  <r>
    <n v="3347"/>
    <s v="City Fresh Store"/>
    <d v="2024-10-19T00:00:00"/>
    <s v="Health &amp; Wellness"/>
    <s v="Bread"/>
    <n v="5"/>
    <n v="2002.79"/>
    <n v="10013.950000000001"/>
    <n v="1502.3"/>
    <n v="8511.65"/>
    <n v="159"/>
    <s v="10:51:20"/>
    <n v="19"/>
    <n v="10"/>
    <n v="2024"/>
    <d v="2024-10-19T00:00:00"/>
    <s v="UPI"/>
    <s v="M"/>
    <n v="1"/>
    <s v="Hyderabad"/>
    <x v="782"/>
  </r>
  <r>
    <n v="7566"/>
    <s v="ValuePlus Market"/>
    <d v="2023-09-30T00:00:00"/>
    <s v="Produce"/>
    <s v="Potatoes"/>
    <n v="4"/>
    <n v="1316.38"/>
    <n v="5265.52"/>
    <n v="526.22"/>
    <n v="4739.3"/>
    <n v="240"/>
    <s v="05:39:04"/>
    <n v="30"/>
    <n v="9"/>
    <n v="2023"/>
    <d v="2023-09-30T00:00:00"/>
    <s v="Credit Card"/>
    <s v="M"/>
    <n v="1"/>
    <s v="Ahmedabad"/>
    <x v="783"/>
  </r>
  <r>
    <n v="3324"/>
    <s v="MegaMart Westside"/>
    <d v="2025-03-04T00:00:00"/>
    <s v="Frozen Foods"/>
    <s v="Rice"/>
    <n v="2"/>
    <n v="166.83"/>
    <n v="333.66"/>
    <n v="0"/>
    <n v="333.66"/>
    <n v="472"/>
    <s v="18:55:26"/>
    <n v="4"/>
    <n v="3"/>
    <n v="2025"/>
    <d v="2025-03-04T00:00:00"/>
    <s v="Cash"/>
    <s v="F"/>
    <n v="1"/>
    <s v="Hyderabad"/>
    <x v="784"/>
  </r>
  <r>
    <n v="1502"/>
    <s v="QuickStop Market"/>
    <d v="2023-10-17T00:00:00"/>
    <s v="Produce"/>
    <s v="Potatoes"/>
    <n v="5"/>
    <n v="488.87"/>
    <n v="2444.35"/>
    <n v="0"/>
    <n v="2444.35"/>
    <n v="26"/>
    <s v="06:55:37"/>
    <n v="17"/>
    <n v="10"/>
    <n v="2023"/>
    <d v="2023-10-17T00:00:00"/>
    <s v="Debit Card"/>
    <s v="F"/>
    <n v="2"/>
    <s v="Chennai"/>
    <x v="630"/>
  </r>
  <r>
    <n v="9691"/>
    <s v="FreshMart Downtown"/>
    <d v="2024-01-21T00:00:00"/>
    <s v="Frozen Foods"/>
    <s v="Potatoes"/>
    <n v="1"/>
    <n v="387.61"/>
    <n v="387.61"/>
    <n v="58.1"/>
    <n v="329.51"/>
    <n v="39"/>
    <s v="00:14:00"/>
    <n v="21"/>
    <n v="1"/>
    <n v="2024"/>
    <d v="2024-01-21T00:00:00"/>
    <s v="UPI"/>
    <s v="M"/>
    <n v="5"/>
    <s v="Bangalore"/>
    <x v="785"/>
  </r>
  <r>
    <n v="7163"/>
    <s v="SuperSave Central"/>
    <d v="2024-06-28T00:00:00"/>
    <s v="Household Items"/>
    <s v="Pasta"/>
    <n v="3"/>
    <n v="2147.21"/>
    <n v="6441.63"/>
    <n v="141.1"/>
    <n v="6300.53"/>
    <n v="7"/>
    <s v="23:24:04"/>
    <n v="28"/>
    <n v="6"/>
    <n v="2024"/>
    <d v="2024-06-28T00:00:00"/>
    <s v="UPI"/>
    <s v="M"/>
    <n v="2"/>
    <s v="Ahmedabad"/>
    <x v="786"/>
  </r>
  <r>
    <n v="8432"/>
    <s v="SuperSave Central"/>
    <d v="2024-04-27T00:00:00"/>
    <s v="Health &amp; Wellness"/>
    <s v="Salmon"/>
    <n v="3"/>
    <n v="2026.86"/>
    <n v="6080.58"/>
    <n v="608.39"/>
    <n v="5472.19"/>
    <n v="133"/>
    <s v="10:33:50"/>
    <n v="27"/>
    <n v="4"/>
    <n v="2024"/>
    <d v="2024-04-27T00:00:00"/>
    <s v="Debit Card"/>
    <s v="M"/>
    <n v="2"/>
    <s v="Mumbai"/>
    <x v="787"/>
  </r>
  <r>
    <n v="3578"/>
    <s v="SuperSave Central"/>
    <d v="2024-05-20T00:00:00"/>
    <s v="Personal Care"/>
    <s v="Milk"/>
    <n v="3"/>
    <n v="2450.9899999999998"/>
    <n v="7352.97"/>
    <n v="393.42"/>
    <n v="6959.55"/>
    <n v="495"/>
    <s v="21:13:12"/>
    <n v="20"/>
    <n v="5"/>
    <n v="2024"/>
    <d v="2024-05-20T00:00:00"/>
    <s v="Credit Card"/>
    <s v="M"/>
    <n v="1"/>
    <s v="Jaipur"/>
    <x v="788"/>
  </r>
  <r>
    <n v="6105"/>
    <s v="SuperSave Central"/>
    <d v="2025-02-17T00:00:00"/>
    <s v="Beverages"/>
    <s v="Cheese"/>
    <n v="4"/>
    <n v="654.87"/>
    <n v="2619.48"/>
    <n v="523.73"/>
    <n v="2095.75"/>
    <n v="225"/>
    <s v="20:27:00"/>
    <n v="17"/>
    <n v="2"/>
    <n v="2025"/>
    <d v="2025-02-17T00:00:00"/>
    <s v="UPI"/>
    <s v="M"/>
    <n v="2"/>
    <s v="Bangalore"/>
    <x v="789"/>
  </r>
  <r>
    <n v="6314"/>
    <s v="MegaMart Westside"/>
    <d v="2025-04-01T00:00:00"/>
    <s v="Produce"/>
    <s v="Pasta"/>
    <n v="1"/>
    <n v="208.33"/>
    <n v="208.33"/>
    <n v="20.75"/>
    <n v="187.58"/>
    <n v="237"/>
    <s v="00:32:29"/>
    <n v="1"/>
    <n v="4"/>
    <n v="2025"/>
    <d v="2025-04-01T00:00:00"/>
    <s v="Cash"/>
    <s v="F"/>
    <n v="1"/>
    <s v="Ahmedabad"/>
    <x v="790"/>
  </r>
  <r>
    <n v="2391"/>
    <s v="QuickStop Market"/>
    <d v="2025-06-23T00:00:00"/>
    <s v="Beverages"/>
    <s v="Onions"/>
    <n v="2"/>
    <n v="996"/>
    <n v="1992"/>
    <n v="199.2"/>
    <n v="1792.8"/>
    <n v="361"/>
    <s v="20:38:55"/>
    <n v="23"/>
    <n v="6"/>
    <n v="2025"/>
    <d v="2025-06-23T00:00:00"/>
    <s v="UPI"/>
    <s v="F"/>
    <n v="5"/>
    <s v="Mumbai"/>
    <x v="791"/>
  </r>
  <r>
    <n v="1861"/>
    <s v="QuickStop Market"/>
    <d v="2023-12-05T00:00:00"/>
    <s v="Meat &amp; Seafood"/>
    <s v="Carrots"/>
    <n v="4"/>
    <n v="110.39"/>
    <n v="441.56"/>
    <n v="43.99"/>
    <n v="397.57"/>
    <n v="474"/>
    <s v="23:26:37"/>
    <n v="5"/>
    <n v="12"/>
    <n v="2023"/>
    <d v="2023-12-05T00:00:00"/>
    <s v="Cash"/>
    <s v="F"/>
    <n v="4"/>
    <s v="Mumbai"/>
    <x v="792"/>
  </r>
  <r>
    <n v="3579"/>
    <s v="MegaMart Westside"/>
    <d v="2025-03-14T00:00:00"/>
    <s v="Personal Care"/>
    <s v="Milk"/>
    <n v="1"/>
    <n v="2290.8000000000002"/>
    <n v="2290.8000000000002"/>
    <n v="229.08"/>
    <n v="2061.7199999999998"/>
    <n v="326"/>
    <s v="11:23:39"/>
    <n v="14"/>
    <n v="3"/>
    <n v="2025"/>
    <d v="2025-03-14T00:00:00"/>
    <s v="Debit Card"/>
    <s v="F"/>
    <n v="1"/>
    <s v="Jaipur"/>
    <x v="793"/>
  </r>
  <r>
    <n v="1815"/>
    <s v="QuickStop Market"/>
    <d v="2025-01-11T00:00:00"/>
    <s v="Canned Goods"/>
    <s v="Pasta"/>
    <n v="3"/>
    <n v="2013.58"/>
    <n v="6040.74"/>
    <n v="604.24"/>
    <n v="5436.5"/>
    <n v="130"/>
    <s v="12:21:08"/>
    <n v="11"/>
    <n v="1"/>
    <n v="2025"/>
    <d v="2025-01-11T00:00:00"/>
    <s v="Cash"/>
    <s v="M"/>
    <n v="5"/>
    <s v="Ahmedabad"/>
    <x v="794"/>
  </r>
  <r>
    <n v="2336"/>
    <s v="FamilyFood Express"/>
    <d v="2024-03-05T00:00:00"/>
    <s v="Health &amp; Wellness"/>
    <s v="Yogurt"/>
    <n v="5"/>
    <n v="893.91"/>
    <n v="4469.55"/>
    <n v="670.64"/>
    <n v="3798.91"/>
    <n v="353"/>
    <s v="10:22:52"/>
    <n v="5"/>
    <n v="3"/>
    <n v="2024"/>
    <d v="2024-03-05T00:00:00"/>
    <s v="Debit Card"/>
    <s v="M"/>
    <n v="4"/>
    <s v="Bangalore"/>
    <x v="795"/>
  </r>
  <r>
    <n v="8259"/>
    <s v="ValuePlus Market"/>
    <d v="2025-01-02T00:00:00"/>
    <s v="Produce"/>
    <s v="Bananas"/>
    <n v="1"/>
    <n v="111.22"/>
    <n v="111.22"/>
    <n v="0"/>
    <n v="111.22"/>
    <n v="50"/>
    <s v="10:06:20"/>
    <n v="2"/>
    <n v="1"/>
    <n v="2025"/>
    <d v="2025-01-02T00:00:00"/>
    <s v="Cash"/>
    <s v="M"/>
    <n v="3"/>
    <s v="Pune"/>
    <x v="796"/>
  </r>
  <r>
    <n v="7947"/>
    <s v="City Fresh Store"/>
    <d v="2024-08-18T00:00:00"/>
    <s v="Canned Goods"/>
    <s v="Ground Beef"/>
    <n v="3"/>
    <n v="688.07"/>
    <n v="2064.21"/>
    <n v="113.71"/>
    <n v="1950.5"/>
    <n v="17"/>
    <s v="00:54:56"/>
    <n v="18"/>
    <n v="8"/>
    <n v="2024"/>
    <d v="2024-08-18T00:00:00"/>
    <s v="Debit Card"/>
    <s v="M"/>
    <n v="1"/>
    <s v="Delhi"/>
    <x v="797"/>
  </r>
  <r>
    <n v="8242"/>
    <s v="FamilyFood Express"/>
    <d v="2024-06-23T00:00:00"/>
    <s v="Household Items"/>
    <s v="Chicken Breast"/>
    <n v="1"/>
    <n v="290.5"/>
    <n v="290.5"/>
    <n v="29.05"/>
    <n v="261.45"/>
    <n v="309"/>
    <s v="03:07:38"/>
    <n v="23"/>
    <n v="6"/>
    <n v="2024"/>
    <d v="2024-06-23T00:00:00"/>
    <s v="Cash"/>
    <s v="M"/>
    <n v="1"/>
    <s v="Mumbai"/>
    <x v="798"/>
  </r>
  <r>
    <n v="5475"/>
    <s v="SuperSave Central"/>
    <d v="2024-01-21T00:00:00"/>
    <s v="Dairy"/>
    <s v="Apples"/>
    <n v="3"/>
    <n v="790.99"/>
    <n v="2372.9699999999998"/>
    <n v="0"/>
    <n v="2372.9699999999998"/>
    <n v="338"/>
    <s v="09:03:44"/>
    <n v="21"/>
    <n v="1"/>
    <n v="2024"/>
    <d v="2024-01-21T00:00:00"/>
    <s v="Credit Card"/>
    <s v="F"/>
    <n v="3"/>
    <s v="Lucknow"/>
    <x v="799"/>
  </r>
  <r>
    <n v="9394"/>
    <s v="City Fresh Store"/>
    <d v="2023-11-03T00:00:00"/>
    <s v="Frozen Foods"/>
    <s v="Cheese"/>
    <n v="3"/>
    <n v="701.35"/>
    <n v="2104.0500000000002"/>
    <n v="315.39999999999998"/>
    <n v="1788.65"/>
    <n v="399"/>
    <s v="09:11:23"/>
    <n v="3"/>
    <n v="11"/>
    <n v="2023"/>
    <d v="2023-11-03T00:00:00"/>
    <s v="Cash"/>
    <s v="M"/>
    <n v="3"/>
    <s v="Ahmedabad"/>
    <x v="800"/>
  </r>
  <r>
    <n v="6655"/>
    <s v="FreshMart Downtown"/>
    <d v="2024-07-05T00:00:00"/>
    <s v="Snacks &amp; Candy"/>
    <s v="Tomatoes"/>
    <n v="3"/>
    <n v="2479.21"/>
    <n v="7437.63"/>
    <n v="1487.36"/>
    <n v="5950.27"/>
    <n v="132"/>
    <s v="05:52:52"/>
    <n v="5"/>
    <n v="7"/>
    <n v="2024"/>
    <d v="2024-07-05T00:00:00"/>
    <s v="Cash"/>
    <s v="F"/>
    <n v="1"/>
    <s v="Pune"/>
    <x v="801"/>
  </r>
  <r>
    <n v="2816"/>
    <s v="City Fresh Store"/>
    <d v="2024-03-14T00:00:00"/>
    <s v="Dairy"/>
    <s v="Potatoes"/>
    <n v="2"/>
    <n v="1551.27"/>
    <n v="3102.54"/>
    <n v="131.13999999999999"/>
    <n v="2971.4"/>
    <n v="91"/>
    <s v="22:57:01"/>
    <n v="14"/>
    <n v="3"/>
    <n v="2024"/>
    <d v="2024-03-14T00:00:00"/>
    <s v="Credit Card"/>
    <s v="F"/>
    <n v="3"/>
    <s v="Pune"/>
    <x v="802"/>
  </r>
  <r>
    <n v="8972"/>
    <s v="Corner Grocery"/>
    <d v="2024-09-19T00:00:00"/>
    <s v="Bakery"/>
    <s v="Chicken Breast"/>
    <n v="4"/>
    <n v="1804.42"/>
    <n v="7217.68"/>
    <n v="106.24"/>
    <n v="7111.44"/>
    <n v="52"/>
    <s v="02:23:52"/>
    <n v="19"/>
    <n v="9"/>
    <n v="2024"/>
    <d v="2024-09-19T00:00:00"/>
    <s v="UPI"/>
    <s v="F"/>
    <n v="2"/>
    <s v="Pune"/>
    <x v="803"/>
  </r>
  <r>
    <n v="6053"/>
    <s v="QuickStop Market"/>
    <d v="2023-09-11T00:00:00"/>
    <s v="Beverages"/>
    <s v="Bananas"/>
    <n v="4"/>
    <n v="440.73"/>
    <n v="1762.92"/>
    <n v="303.77999999999997"/>
    <n v="1459.14"/>
    <n v="327"/>
    <s v="22:08:25"/>
    <n v="11"/>
    <n v="9"/>
    <n v="2023"/>
    <d v="2023-09-11T00:00:00"/>
    <s v="UPI"/>
    <s v="F"/>
    <n v="4"/>
    <s v="Chennai"/>
    <x v="804"/>
  </r>
  <r>
    <n v="4612"/>
    <s v="QuickStop Market"/>
    <d v="2024-06-09T00:00:00"/>
    <s v="Meat &amp; Seafood"/>
    <s v="Cereal"/>
    <n v="4"/>
    <n v="1464.95"/>
    <n v="5859.8"/>
    <n v="585.98"/>
    <n v="5273.82"/>
    <n v="263"/>
    <s v="07:07:38"/>
    <n v="9"/>
    <n v="6"/>
    <n v="2024"/>
    <d v="2024-06-09T00:00:00"/>
    <s v="Cash"/>
    <s v="M"/>
    <n v="4"/>
    <s v="Bangalore"/>
    <x v="805"/>
  </r>
  <r>
    <n v="1897"/>
    <s v="Corner Grocery"/>
    <d v="2023-08-12T00:00:00"/>
    <s v="Snacks &amp; Candy"/>
    <s v="Bread"/>
    <n v="5"/>
    <n v="625.82000000000005"/>
    <n v="3129.1"/>
    <n v="271.41000000000003"/>
    <n v="2857.69"/>
    <n v="196"/>
    <s v="08:40:28"/>
    <n v="12"/>
    <n v="8"/>
    <n v="2023"/>
    <d v="2023-08-12T00:00:00"/>
    <s v="Credit Card"/>
    <s v="F"/>
    <n v="4"/>
    <s v="Mumbai"/>
    <x v="806"/>
  </r>
  <r>
    <n v="4349"/>
    <s v="MegaMart Westside"/>
    <d v="2024-03-28T00:00:00"/>
    <s v="Canned Goods"/>
    <s v="Rice"/>
    <n v="4"/>
    <n v="214.97"/>
    <n v="859.88"/>
    <n v="128.65"/>
    <n v="731.23"/>
    <n v="490"/>
    <s v="08:15:41"/>
    <n v="28"/>
    <n v="3"/>
    <n v="2024"/>
    <d v="2024-03-28T00:00:00"/>
    <s v="Cash"/>
    <s v="F"/>
    <n v="2"/>
    <s v="Ahmedabad"/>
    <x v="807"/>
  </r>
  <r>
    <n v="4460"/>
    <s v="ValuePlus Market"/>
    <d v="2025-03-25T00:00:00"/>
    <s v="Canned Goods"/>
    <s v="Bread"/>
    <n v="4"/>
    <n v="1912.32"/>
    <n v="7649.28"/>
    <n v="1529.69"/>
    <n v="6119.59"/>
    <n v="148"/>
    <s v="22:05:17"/>
    <n v="25"/>
    <n v="3"/>
    <n v="2025"/>
    <d v="2025-03-25T00:00:00"/>
    <s v="Debit Card"/>
    <s v="F"/>
    <n v="3"/>
    <s v="Pune"/>
    <x v="808"/>
  </r>
  <r>
    <n v="3248"/>
    <s v="ValuePlus Market"/>
    <d v="2025-03-22T00:00:00"/>
    <s v="Produce"/>
    <s v="Tomatoes"/>
    <n v="2"/>
    <n v="801.78"/>
    <n v="1603.56"/>
    <n v="0"/>
    <n v="1603.56"/>
    <n v="199"/>
    <s v="06:49:34"/>
    <n v="22"/>
    <n v="3"/>
    <n v="2025"/>
    <d v="2025-03-22T00:00:00"/>
    <s v="Debit Card"/>
    <s v="M"/>
    <n v="5"/>
    <s v="Delhi"/>
    <x v="809"/>
  </r>
  <r>
    <n v="5186"/>
    <s v="MegaMart Westside"/>
    <d v="2024-03-18T00:00:00"/>
    <s v="Beverages"/>
    <s v="Bread"/>
    <n v="4"/>
    <n v="1851.73"/>
    <n v="7406.92"/>
    <n v="1481.55"/>
    <n v="5925.37"/>
    <n v="71"/>
    <s v="15:59:33"/>
    <n v="18"/>
    <n v="3"/>
    <n v="2024"/>
    <d v="2024-03-18T00:00:00"/>
    <s v="Cash"/>
    <s v="M"/>
    <n v="3"/>
    <s v="Delhi"/>
    <x v="810"/>
  </r>
  <r>
    <n v="6375"/>
    <s v="FreshMart Downtown"/>
    <d v="2023-11-08T00:00:00"/>
    <s v="Household Items"/>
    <s v="Ground Beef"/>
    <n v="4"/>
    <n v="1017.58"/>
    <n v="4070.32"/>
    <n v="406.7"/>
    <n v="3663.62"/>
    <n v="405"/>
    <s v="22:01:15"/>
    <n v="8"/>
    <n v="11"/>
    <n v="2023"/>
    <d v="2023-11-08T00:00:00"/>
    <s v="UPI"/>
    <s v="M"/>
    <n v="1"/>
    <s v="Kolkata"/>
    <x v="811"/>
  </r>
  <r>
    <n v="1126"/>
    <s v="ValuePlus Market"/>
    <d v="2024-08-27T00:00:00"/>
    <s v="Beverages"/>
    <s v="Bananas"/>
    <n v="1"/>
    <n v="898.89"/>
    <n v="898.89"/>
    <n v="89.64"/>
    <n v="809.25"/>
    <n v="172"/>
    <s v="23:33:36"/>
    <n v="27"/>
    <n v="8"/>
    <n v="2024"/>
    <d v="2024-08-27T00:00:00"/>
    <s v="UPI"/>
    <s v="F"/>
    <n v="4"/>
    <s v="Pune"/>
    <x v="812"/>
  </r>
  <r>
    <n v="8055"/>
    <s v="GreenGrocer Plaza"/>
    <d v="2023-12-21T00:00:00"/>
    <s v="Bakery"/>
    <s v="Carrots"/>
    <n v="4"/>
    <n v="2344.75"/>
    <n v="9379"/>
    <n v="0"/>
    <n v="9379"/>
    <n v="445"/>
    <s v="22:36:38"/>
    <n v="21"/>
    <n v="12"/>
    <n v="2023"/>
    <d v="2023-12-21T00:00:00"/>
    <s v="Cash"/>
    <s v="F"/>
    <n v="3"/>
    <s v="Delhi"/>
    <x v="813"/>
  </r>
  <r>
    <n v="3116"/>
    <s v="FamilyFood Express"/>
    <d v="2024-05-28T00:00:00"/>
    <s v="Dairy"/>
    <s v="Milk"/>
    <n v="2"/>
    <n v="1259.1099999999999"/>
    <n v="2518.2199999999998"/>
    <n v="97.94"/>
    <n v="2420.2800000000002"/>
    <n v="9"/>
    <s v="17:04:06"/>
    <n v="28"/>
    <n v="5"/>
    <n v="2024"/>
    <d v="2024-05-28T00:00:00"/>
    <s v="Cash"/>
    <s v="M"/>
    <n v="5"/>
    <s v="Lucknow"/>
    <x v="814"/>
  </r>
  <r>
    <n v="9725"/>
    <s v="SuperSave Central"/>
    <d v="2025-02-03T00:00:00"/>
    <s v="Produce"/>
    <s v="Apples"/>
    <n v="1"/>
    <n v="2260.09"/>
    <n v="2260.09"/>
    <n v="225.76"/>
    <n v="2034.33"/>
    <n v="420"/>
    <s v="09:12:18"/>
    <n v="3"/>
    <n v="2"/>
    <n v="2025"/>
    <d v="2025-02-03T00:00:00"/>
    <s v="Debit Card"/>
    <s v="F"/>
    <n v="1"/>
    <s v="Mumbai"/>
    <x v="815"/>
  </r>
  <r>
    <n v="4770"/>
    <s v="SuperSave Central"/>
    <d v="2024-08-29T00:00:00"/>
    <s v="Household Items"/>
    <s v="Bread"/>
    <n v="1"/>
    <n v="356.9"/>
    <n v="356.9"/>
    <n v="350.26"/>
    <n v="6.64"/>
    <n v="304"/>
    <s v="12:21:12"/>
    <n v="29"/>
    <n v="8"/>
    <n v="2024"/>
    <d v="2024-08-29T00:00:00"/>
    <s v="UPI"/>
    <s v="M"/>
    <n v="2"/>
    <s v="Bangalore"/>
    <x v="816"/>
  </r>
  <r>
    <n v="6802"/>
    <s v="Corner Grocery"/>
    <d v="2023-10-01T00:00:00"/>
    <s v="Canned Goods"/>
    <s v="Tomatoes"/>
    <n v="3"/>
    <n v="372.67"/>
    <n v="1118.01"/>
    <n v="167.66"/>
    <n v="950.35"/>
    <n v="350"/>
    <s v="16:05:47"/>
    <n v="1"/>
    <n v="10"/>
    <n v="2023"/>
    <d v="2023-10-01T00:00:00"/>
    <s v="Cash"/>
    <s v="M"/>
    <n v="2"/>
    <s v="Bangalore"/>
    <x v="817"/>
  </r>
  <r>
    <n v="7505"/>
    <s v="FamilyFood Express"/>
    <d v="2025-06-06T00:00:00"/>
    <s v="Produce"/>
    <s v="Apples"/>
    <n v="3"/>
    <n v="234.06"/>
    <n v="702.18"/>
    <n v="70.55"/>
    <n v="631.63"/>
    <n v="140"/>
    <s v="04:08:45"/>
    <n v="6"/>
    <n v="6"/>
    <n v="2025"/>
    <d v="2025-06-06T00:00:00"/>
    <s v="Debit Card"/>
    <s v="F"/>
    <n v="5"/>
    <s v="Lucknow"/>
    <x v="818"/>
  </r>
  <r>
    <n v="1693"/>
    <s v="SuperSave Central"/>
    <d v="2024-07-10T00:00:00"/>
    <s v="Canned Goods"/>
    <s v="Onions"/>
    <n v="2"/>
    <n v="1137.93"/>
    <n v="2275.86"/>
    <n v="454.84"/>
    <n v="1821.02"/>
    <n v="473"/>
    <s v="03:49:44"/>
    <n v="10"/>
    <n v="7"/>
    <n v="2024"/>
    <d v="2024-07-10T00:00:00"/>
    <s v="UPI"/>
    <s v="F"/>
    <n v="1"/>
    <s v="Ahmedabad"/>
    <x v="819"/>
  </r>
  <r>
    <n v="1307"/>
    <s v="GreenGrocer Plaza"/>
    <d v="2024-07-29T00:00:00"/>
    <s v="Health &amp; Wellness"/>
    <s v="Tomatoes"/>
    <n v="2"/>
    <n v="119.52"/>
    <n v="239.04"/>
    <n v="85.49"/>
    <n v="153.55000000000001"/>
    <n v="249"/>
    <s v="20:07:40"/>
    <n v="29"/>
    <n v="7"/>
    <n v="2024"/>
    <d v="2024-07-29T00:00:00"/>
    <s v="Credit Card"/>
    <s v="F"/>
    <n v="4"/>
    <s v="Delhi"/>
    <x v="820"/>
  </r>
  <r>
    <n v="2275"/>
    <s v="GreenGrocer Plaza"/>
    <d v="2025-06-06T00:00:00"/>
    <s v="Health &amp; Wellness"/>
    <s v="Rice"/>
    <n v="4"/>
    <n v="1751.3"/>
    <n v="7005.2"/>
    <n v="0"/>
    <n v="7005.2"/>
    <n v="405"/>
    <s v="19:56:01"/>
    <n v="6"/>
    <n v="6"/>
    <n v="2025"/>
    <d v="2025-06-06T00:00:00"/>
    <s v="Debit Card"/>
    <s v="F"/>
    <n v="3"/>
    <s v="Hyderabad"/>
    <x v="821"/>
  </r>
  <r>
    <n v="6129"/>
    <s v="SuperSave Central"/>
    <d v="2024-10-27T00:00:00"/>
    <s v="Bakery"/>
    <s v="Eggs"/>
    <n v="3"/>
    <n v="1341.28"/>
    <n v="4023.84"/>
    <n v="805.1"/>
    <n v="3218.74"/>
    <n v="210"/>
    <s v="02:20:08"/>
    <n v="27"/>
    <n v="10"/>
    <n v="2024"/>
    <d v="2024-10-27T00:00:00"/>
    <s v="UPI"/>
    <s v="M"/>
    <n v="1"/>
    <s v="Delhi"/>
    <x v="822"/>
  </r>
  <r>
    <n v="8033"/>
    <s v="FreshMart Downtown"/>
    <d v="2024-10-25T00:00:00"/>
    <s v="Household Items"/>
    <s v="Apples"/>
    <n v="4"/>
    <n v="1555.42"/>
    <n v="6221.68"/>
    <n v="932.92"/>
    <n v="5288.76"/>
    <n v="45"/>
    <s v="13:47:51"/>
    <n v="25"/>
    <n v="10"/>
    <n v="2024"/>
    <d v="2024-10-25T00:00:00"/>
    <s v="UPI"/>
    <s v="M"/>
    <n v="2"/>
    <s v="Jaipur"/>
    <x v="823"/>
  </r>
  <r>
    <n v="7626"/>
    <s v="Corner Grocery"/>
    <d v="2025-02-08T00:00:00"/>
    <s v="Produce"/>
    <s v="Onions"/>
    <n v="2"/>
    <n v="544.48"/>
    <n v="1088.96"/>
    <n v="203.35"/>
    <n v="885.61"/>
    <n v="271"/>
    <s v="07:29:56"/>
    <n v="8"/>
    <n v="2"/>
    <n v="2025"/>
    <d v="2025-02-08T00:00:00"/>
    <s v="Debit Card"/>
    <s v="M"/>
    <n v="5"/>
    <s v="Kolkata"/>
    <x v="824"/>
  </r>
  <r>
    <n v="7843"/>
    <s v="ValuePlus Market"/>
    <d v="2024-03-18T00:00:00"/>
    <s v="Personal Care"/>
    <s v="Ground Beef"/>
    <n v="4"/>
    <n v="1936.39"/>
    <n v="7745.56"/>
    <n v="1162"/>
    <n v="6583.56"/>
    <n v="337"/>
    <s v="18:54:29"/>
    <n v="18"/>
    <n v="3"/>
    <n v="2024"/>
    <d v="2024-03-18T00:00:00"/>
    <s v="Credit Card"/>
    <s v="M"/>
    <n v="5"/>
    <s v="Lucknow"/>
    <x v="825"/>
  </r>
  <r>
    <n v="2887"/>
    <s v="FreshMart Downtown"/>
    <d v="2024-06-16T00:00:00"/>
    <s v="Bakery"/>
    <s v="Chicken Breast"/>
    <n v="2"/>
    <n v="1731.38"/>
    <n v="3462.76"/>
    <n v="346.11"/>
    <n v="3116.65"/>
    <n v="495"/>
    <s v="07:07:39"/>
    <n v="16"/>
    <n v="6"/>
    <n v="2024"/>
    <d v="2024-06-16T00:00:00"/>
    <s v="Debit Card"/>
    <s v="M"/>
    <n v="3"/>
    <s v="Lucknow"/>
    <x v="826"/>
  </r>
  <r>
    <n v="1341"/>
    <s v="SuperSave Central"/>
    <d v="2024-04-15T00:00:00"/>
    <s v="Meat &amp; Seafood"/>
    <s v="Milk"/>
    <n v="1"/>
    <n v="1634.27"/>
    <n v="1634.27"/>
    <n v="163.51"/>
    <n v="1470.76"/>
    <n v="145"/>
    <s v="18:54:52"/>
    <n v="15"/>
    <n v="4"/>
    <n v="2024"/>
    <d v="2024-04-15T00:00:00"/>
    <s v="UPI"/>
    <s v="F"/>
    <n v="5"/>
    <s v="Lucknow"/>
    <x v="827"/>
  </r>
  <r>
    <n v="3815"/>
    <s v="QuickStop Market"/>
    <d v="2025-04-20T00:00:00"/>
    <s v="Canned Goods"/>
    <s v="Salmon"/>
    <n v="1"/>
    <n v="333.66"/>
    <n v="333.66"/>
    <n v="66.400000000000006"/>
    <n v="267.26"/>
    <n v="26"/>
    <s v="01:27:21"/>
    <n v="20"/>
    <n v="4"/>
    <n v="2025"/>
    <d v="2025-04-20T00:00:00"/>
    <s v="Cash"/>
    <s v="M"/>
    <n v="5"/>
    <s v="Hyderabad"/>
    <x v="828"/>
  </r>
  <r>
    <n v="8538"/>
    <s v="FreshMart Downtown"/>
    <d v="2025-05-14T00:00:00"/>
    <s v="Beverages"/>
    <s v="Carrots"/>
    <n v="1"/>
    <n v="252.32"/>
    <n v="252.32"/>
    <n v="275.56"/>
    <n v="-23.24"/>
    <n v="120"/>
    <s v="08:03:54"/>
    <n v="14"/>
    <n v="5"/>
    <n v="2025"/>
    <d v="2025-05-14T00:00:00"/>
    <s v="Cash"/>
    <s v="M"/>
    <n v="1"/>
    <s v="Jaipur"/>
    <x v="829"/>
  </r>
  <r>
    <n v="6928"/>
    <s v="Corner Grocery"/>
    <d v="2023-10-14T00:00:00"/>
    <s v="Bakery"/>
    <s v="Cereal"/>
    <n v="2"/>
    <n v="1957.14"/>
    <n v="3914.28"/>
    <n v="161.85"/>
    <n v="3752.43"/>
    <n v="166"/>
    <s v="18:28:49"/>
    <n v="14"/>
    <n v="10"/>
    <n v="2023"/>
    <d v="2023-10-14T00:00:00"/>
    <s v="Debit Card"/>
    <s v="M"/>
    <n v="4"/>
    <s v="Kolkata"/>
    <x v="830"/>
  </r>
  <r>
    <n v="8155"/>
    <s v="Corner Grocery"/>
    <d v="2025-05-23T00:00:00"/>
    <s v="Bakery"/>
    <s v="Tomatoes"/>
    <n v="2"/>
    <n v="258.95999999999998"/>
    <n v="517.91999999999996"/>
    <n v="378.48"/>
    <n v="139.44"/>
    <n v="299"/>
    <s v="15:38:57"/>
    <n v="23"/>
    <n v="5"/>
    <n v="2025"/>
    <d v="2025-05-23T00:00:00"/>
    <s v="UPI"/>
    <s v="F"/>
    <n v="3"/>
    <s v="Pune"/>
    <x v="831"/>
  </r>
  <r>
    <n v="2734"/>
    <s v="SuperSave Central"/>
    <d v="2024-02-11T00:00:00"/>
    <s v="Bakery"/>
    <s v="Salmon"/>
    <n v="2"/>
    <n v="1014.26"/>
    <n v="2028.52"/>
    <n v="0"/>
    <n v="2028.52"/>
    <n v="69"/>
    <s v="13:25:35"/>
    <n v="11"/>
    <n v="2"/>
    <n v="2024"/>
    <d v="2024-02-11T00:00:00"/>
    <s v="Cash"/>
    <s v="F"/>
    <n v="1"/>
    <s v="Pune"/>
    <x v="832"/>
  </r>
  <r>
    <n v="8138"/>
    <s v="FamilyFood Express"/>
    <d v="2024-11-06T00:00:00"/>
    <s v="Health &amp; Wellness"/>
    <s v="Orange Juice"/>
    <n v="3"/>
    <n v="568.54999999999995"/>
    <n v="1705.65"/>
    <n v="0"/>
    <n v="1705.65"/>
    <n v="65"/>
    <s v="17:39:19"/>
    <n v="6"/>
    <n v="11"/>
    <n v="2024"/>
    <d v="2024-11-06T00:00:00"/>
    <s v="UPI"/>
    <s v="F"/>
    <n v="4"/>
    <s v="Ahmedabad"/>
    <x v="833"/>
  </r>
  <r>
    <n v="7560"/>
    <s v="FreshMart Downtown"/>
    <d v="2024-09-16T00:00:00"/>
    <s v="Frozen Foods"/>
    <s v="Eggs"/>
    <n v="1"/>
    <n v="2132.27"/>
    <n v="2132.27"/>
    <n v="426.62"/>
    <n v="1705.65"/>
    <n v="234"/>
    <s v="13:39:11"/>
    <n v="16"/>
    <n v="9"/>
    <n v="2024"/>
    <d v="2024-09-16T00:00:00"/>
    <s v="Debit Card"/>
    <s v="F"/>
    <n v="1"/>
    <s v="Lucknow"/>
    <x v="834"/>
  </r>
  <r>
    <n v="2288"/>
    <s v="MegaMart Westside"/>
    <d v="2024-06-09T00:00:00"/>
    <s v="Bakery"/>
    <s v="Rice"/>
    <n v="5"/>
    <n v="459.82"/>
    <n v="2299.1"/>
    <n v="405.04"/>
    <n v="1894.06"/>
    <n v="406"/>
    <s v="14:29:22"/>
    <n v="9"/>
    <n v="6"/>
    <n v="2024"/>
    <d v="2024-06-09T00:00:00"/>
    <s v="Cash"/>
    <s v="M"/>
    <n v="1"/>
    <s v="Kolkata"/>
    <x v="835"/>
  </r>
  <r>
    <n v="6083"/>
    <s v="FamilyFood Express"/>
    <d v="2025-03-08T00:00:00"/>
    <s v="Dairy"/>
    <s v="Cheese"/>
    <n v="5"/>
    <n v="1259.94"/>
    <n v="6299.7"/>
    <n v="629.97"/>
    <n v="5669.73"/>
    <n v="110"/>
    <s v="04:11:59"/>
    <n v="8"/>
    <n v="3"/>
    <n v="2025"/>
    <d v="2025-03-08T00:00:00"/>
    <s v="UPI"/>
    <s v="M"/>
    <n v="5"/>
    <s v="Ahmedabad"/>
    <x v="836"/>
  </r>
  <r>
    <n v="6562"/>
    <s v="QuickStop Market"/>
    <d v="2024-01-26T00:00:00"/>
    <s v="Produce"/>
    <s v="Cheese"/>
    <n v="2"/>
    <n v="678.94"/>
    <n v="1357.88"/>
    <n v="397.57"/>
    <n v="960.31"/>
    <n v="222"/>
    <s v="12:44:15"/>
    <n v="26"/>
    <n v="1"/>
    <n v="2024"/>
    <d v="2024-01-26T00:00:00"/>
    <s v="Cash"/>
    <s v="F"/>
    <n v="4"/>
    <s v="Lucknow"/>
    <x v="837"/>
  </r>
  <r>
    <n v="6456"/>
    <s v="FreshMart Downtown"/>
    <d v="2025-04-03T00:00:00"/>
    <s v="Snacks &amp; Candy"/>
    <s v="Milk"/>
    <n v="1"/>
    <n v="2468.42"/>
    <n v="2468.42"/>
    <n v="246.51"/>
    <n v="2221.91"/>
    <n v="375"/>
    <s v="05:36:05"/>
    <n v="3"/>
    <n v="4"/>
    <n v="2025"/>
    <d v="2025-04-03T00:00:00"/>
    <s v="Debit Card"/>
    <s v="F"/>
    <n v="3"/>
    <s v="Lucknow"/>
    <x v="838"/>
  </r>
  <r>
    <n v="3754"/>
    <s v="ValuePlus Market"/>
    <d v="2023-10-05T00:00:00"/>
    <s v="Snacks &amp; Candy"/>
    <s v="Potatoes"/>
    <n v="1"/>
    <n v="1171.1300000000001"/>
    <n v="1171.1300000000001"/>
    <n v="332.83"/>
    <n v="838.3"/>
    <n v="123"/>
    <s v="19:33:38"/>
    <n v="5"/>
    <n v="10"/>
    <n v="2023"/>
    <d v="2023-10-05T00:00:00"/>
    <s v="UPI"/>
    <s v="M"/>
    <n v="3"/>
    <s v="Mumbai"/>
    <x v="839"/>
  </r>
  <r>
    <n v="9363"/>
    <s v="Corner Grocery"/>
    <d v="2024-12-10T00:00:00"/>
    <s v="Bakery"/>
    <s v="Eggs"/>
    <n v="3"/>
    <n v="794.31"/>
    <n v="2382.9299999999998"/>
    <n v="242.36"/>
    <n v="2140.5700000000002"/>
    <n v="331"/>
    <s v="11:05:43"/>
    <n v="10"/>
    <n v="12"/>
    <n v="2024"/>
    <d v="2024-12-10T00:00:00"/>
    <s v="Cash"/>
    <s v="M"/>
    <n v="4"/>
    <s v="Lucknow"/>
    <x v="840"/>
  </r>
  <r>
    <n v="2868"/>
    <s v="QuickStop Market"/>
    <d v="2024-09-22T00:00:00"/>
    <s v="Meat &amp; Seafood"/>
    <s v="Salmon"/>
    <n v="5"/>
    <n v="1880.78"/>
    <n v="9403.9"/>
    <n v="940.39"/>
    <n v="8463.51"/>
    <n v="12"/>
    <s v="17:35:31"/>
    <n v="22"/>
    <n v="9"/>
    <n v="2024"/>
    <d v="2024-09-22T00:00:00"/>
    <s v="Debit Card"/>
    <s v="F"/>
    <n v="5"/>
    <s v="Delhi"/>
    <x v="841"/>
  </r>
  <r>
    <n v="9355"/>
    <s v="SuperSave Central"/>
    <d v="2024-01-04T00:00:00"/>
    <s v="Snacks &amp; Candy"/>
    <s v="Apples"/>
    <n v="3"/>
    <n v="1591.11"/>
    <n v="4773.33"/>
    <n v="0"/>
    <n v="4773.33"/>
    <n v="360"/>
    <s v="13:06:39"/>
    <n v="4"/>
    <n v="1"/>
    <n v="2024"/>
    <d v="2024-01-04T00:00:00"/>
    <s v="Cash"/>
    <s v="F"/>
    <n v="2"/>
    <s v="Hyderabad"/>
    <x v="842"/>
  </r>
  <r>
    <n v="6724"/>
    <s v="GreenGrocer Plaza"/>
    <d v="2024-05-05T00:00:00"/>
    <s v="Snacks &amp; Candy"/>
    <s v="Cereal"/>
    <n v="5"/>
    <n v="161.02000000000001"/>
    <n v="805.1"/>
    <n v="0"/>
    <n v="805.1"/>
    <n v="218"/>
    <s v="07:29:49"/>
    <n v="5"/>
    <n v="5"/>
    <n v="2024"/>
    <d v="2024-05-05T00:00:00"/>
    <s v="Cash"/>
    <s v="F"/>
    <n v="1"/>
    <s v="Hyderabad"/>
    <x v="843"/>
  </r>
  <r>
    <n v="3419"/>
    <s v="ValuePlus Market"/>
    <d v="2024-02-06T00:00:00"/>
    <s v="Household Items"/>
    <s v="Yogurt"/>
    <n v="1"/>
    <n v="1575.34"/>
    <n v="1575.34"/>
    <n v="396.74"/>
    <n v="1178.5999999999999"/>
    <n v="171"/>
    <s v="14:49:38"/>
    <n v="6"/>
    <n v="2"/>
    <n v="2024"/>
    <d v="2024-02-06T00:00:00"/>
    <s v="Credit Card"/>
    <s v="F"/>
    <n v="5"/>
    <s v="Ahmedabad"/>
    <x v="422"/>
  </r>
  <r>
    <n v="2684"/>
    <s v="MegaMart Westside"/>
    <d v="2023-11-28T00:00:00"/>
    <s v="Produce"/>
    <s v="Chicken Breast"/>
    <n v="4"/>
    <n v="961.97"/>
    <n v="3847.88"/>
    <n v="576.85"/>
    <n v="3271.03"/>
    <n v="316"/>
    <s v="01:12:43"/>
    <n v="28"/>
    <n v="11"/>
    <n v="2023"/>
    <d v="2023-11-28T00:00:00"/>
    <s v="Credit Card"/>
    <s v="M"/>
    <n v="4"/>
    <s v="Delhi"/>
    <x v="844"/>
  </r>
  <r>
    <n v="5193"/>
    <s v="MegaMart Westside"/>
    <d v="2024-01-07T00:00:00"/>
    <s v="Meat &amp; Seafood"/>
    <s v="Onions"/>
    <n v="1"/>
    <n v="1431.75"/>
    <n v="1431.75"/>
    <n v="286.35000000000002"/>
    <n v="1145.4000000000001"/>
    <n v="396"/>
    <s v="11:29:59"/>
    <n v="7"/>
    <n v="1"/>
    <n v="2024"/>
    <d v="2024-01-07T00:00:00"/>
    <s v="Debit Card"/>
    <s v="M"/>
    <n v="1"/>
    <s v="Bangalore"/>
    <x v="845"/>
  </r>
  <r>
    <n v="3842"/>
    <s v="MegaMart Westside"/>
    <d v="2024-11-16T00:00:00"/>
    <s v="Bakery"/>
    <s v="Onions"/>
    <n v="1"/>
    <n v="1644.23"/>
    <n v="1644.23"/>
    <n v="0"/>
    <n v="1644.23"/>
    <n v="377"/>
    <s v="07:29:48"/>
    <n v="16"/>
    <n v="11"/>
    <n v="2024"/>
    <d v="2024-11-16T00:00:00"/>
    <s v="Credit Card"/>
    <s v="M"/>
    <n v="3"/>
    <s v="Hyderabad"/>
    <x v="846"/>
  </r>
  <r>
    <n v="3504"/>
    <s v="FamilyFood Express"/>
    <d v="2025-03-19T00:00:00"/>
    <s v="Canned Goods"/>
    <s v="Orange Juice"/>
    <n v="3"/>
    <n v="1293.97"/>
    <n v="3881.91"/>
    <n v="103.75"/>
    <n v="3778.16"/>
    <n v="216"/>
    <s v="22:35:03"/>
    <n v="19"/>
    <n v="3"/>
    <n v="2025"/>
    <d v="2025-03-19T00:00:00"/>
    <s v="Debit Card"/>
    <s v="F"/>
    <n v="2"/>
    <s v="Bangalore"/>
    <x v="847"/>
  </r>
  <r>
    <n v="2234"/>
    <s v="MegaMart Westside"/>
    <d v="2023-12-22T00:00:00"/>
    <s v="Beverages"/>
    <s v="Potatoes"/>
    <n v="5"/>
    <n v="1349.58"/>
    <n v="6747.9"/>
    <n v="0"/>
    <n v="6747.9"/>
    <n v="62"/>
    <s v="15:31:31"/>
    <n v="22"/>
    <n v="12"/>
    <n v="2023"/>
    <d v="2023-12-22T00:00:00"/>
    <s v="Credit Card"/>
    <s v="F"/>
    <n v="3"/>
    <s v="Jaipur"/>
    <x v="848"/>
  </r>
  <r>
    <n v="9095"/>
    <s v="ValuePlus Market"/>
    <d v="2024-08-01T00:00:00"/>
    <s v="Health &amp; Wellness"/>
    <s v="Onions"/>
    <n v="3"/>
    <n v="1170.3"/>
    <n v="3510.9"/>
    <n v="702.18"/>
    <n v="2808.72"/>
    <n v="188"/>
    <s v="10:31:40"/>
    <n v="1"/>
    <n v="8"/>
    <n v="2024"/>
    <d v="2024-08-01T00:00:00"/>
    <s v="Cash"/>
    <s v="M"/>
    <n v="4"/>
    <s v="Delhi"/>
    <x v="849"/>
  </r>
  <r>
    <n v="8354"/>
    <s v="City Fresh Store"/>
    <d v="2025-01-17T00:00:00"/>
    <s v="Dairy"/>
    <s v="Bread"/>
    <n v="4"/>
    <n v="2243.4899999999998"/>
    <n v="8973.9599999999991"/>
    <n v="137.78"/>
    <n v="8836.18"/>
    <n v="147"/>
    <s v="00:21:43"/>
    <n v="17"/>
    <n v="1"/>
    <n v="2025"/>
    <d v="2025-01-17T00:00:00"/>
    <s v="Debit Card"/>
    <s v="M"/>
    <n v="1"/>
    <s v="Bangalore"/>
    <x v="850"/>
  </r>
  <r>
    <n v="6295"/>
    <s v="GreenGrocer Plaza"/>
    <d v="2025-06-08T00:00:00"/>
    <s v="Meat &amp; Seafood"/>
    <s v="Potatoes"/>
    <n v="2"/>
    <n v="2187.88"/>
    <n v="4375.76"/>
    <n v="656.53"/>
    <n v="3719.23"/>
    <n v="266"/>
    <s v="04:03:13"/>
    <n v="8"/>
    <n v="6"/>
    <n v="2025"/>
    <d v="2025-06-08T00:00:00"/>
    <s v="Debit Card"/>
    <s v="M"/>
    <n v="4"/>
    <s v="Mumbai"/>
    <x v="851"/>
  </r>
  <r>
    <n v="6179"/>
    <s v="Corner Grocery"/>
    <d v="2023-12-02T00:00:00"/>
    <s v="Health &amp; Wellness"/>
    <s v="Onions"/>
    <n v="2"/>
    <n v="1222.5899999999999"/>
    <n v="2445.1799999999998"/>
    <n v="0"/>
    <n v="2445.1799999999998"/>
    <n v="215"/>
    <s v="09:10:27"/>
    <n v="2"/>
    <n v="12"/>
    <n v="2023"/>
    <d v="2023-12-02T00:00:00"/>
    <s v="Cash"/>
    <s v="M"/>
    <n v="1"/>
    <s v="Kolkata"/>
    <x v="852"/>
  </r>
  <r>
    <n v="8205"/>
    <s v="FreshMart Downtown"/>
    <d v="2023-09-29T00:00:00"/>
    <s v="Frozen Foods"/>
    <s v="Yogurt"/>
    <n v="1"/>
    <n v="135.29"/>
    <n v="135.29"/>
    <n v="297.14"/>
    <n v="-161.85"/>
    <n v="410"/>
    <s v="08:21:28"/>
    <n v="29"/>
    <n v="9"/>
    <n v="2023"/>
    <d v="2023-09-29T00:00:00"/>
    <s v="Debit Card"/>
    <s v="F"/>
    <n v="5"/>
    <s v="Pune"/>
    <x v="853"/>
  </r>
  <r>
    <n v="8682"/>
    <s v="Corner Grocery"/>
    <d v="2024-07-15T00:00:00"/>
    <s v="Household Items"/>
    <s v="Cereal"/>
    <n v="3"/>
    <n v="1252.47"/>
    <n v="3757.41"/>
    <n v="375.99"/>
    <n v="3381.42"/>
    <n v="340"/>
    <s v="06:55:05"/>
    <n v="15"/>
    <n v="7"/>
    <n v="2024"/>
    <d v="2024-07-15T00:00:00"/>
    <s v="Debit Card"/>
    <s v="M"/>
    <n v="2"/>
    <s v="Lucknow"/>
    <x v="854"/>
  </r>
  <r>
    <n v="5961"/>
    <s v="QuickStop Market"/>
    <d v="2025-04-16T00:00:00"/>
    <s v="Household Items"/>
    <s v="Eggs"/>
    <n v="3"/>
    <n v="495.51"/>
    <n v="1486.53"/>
    <n v="148.57"/>
    <n v="1337.96"/>
    <n v="133"/>
    <s v="14:18:40"/>
    <n v="16"/>
    <n v="4"/>
    <n v="2025"/>
    <d v="2025-04-16T00:00:00"/>
    <s v="Credit Card"/>
    <s v="M"/>
    <n v="5"/>
    <s v="Pune"/>
    <x v="855"/>
  </r>
  <r>
    <n v="5500"/>
    <s v="MegaMart Westside"/>
    <d v="2024-11-08T00:00:00"/>
    <s v="Frozen Foods"/>
    <s v="Milk"/>
    <n v="2"/>
    <n v="932.09"/>
    <n v="1864.18"/>
    <n v="390.1"/>
    <n v="1474.08"/>
    <n v="233"/>
    <s v="14:10:56"/>
    <n v="8"/>
    <n v="11"/>
    <n v="2024"/>
    <d v="2024-11-08T00:00:00"/>
    <s v="Debit Card"/>
    <s v="M"/>
    <n v="5"/>
    <s v="Ahmedabad"/>
    <x v="856"/>
  </r>
  <r>
    <n v="1920"/>
    <s v="ValuePlus Market"/>
    <d v="2024-05-06T00:00:00"/>
    <s v="Frozen Foods"/>
    <s v="Apples"/>
    <n v="2"/>
    <n v="2102.39"/>
    <n v="4204.78"/>
    <n v="840.79"/>
    <n v="3363.99"/>
    <n v="354"/>
    <s v="12:21:14"/>
    <n v="6"/>
    <n v="5"/>
    <n v="2024"/>
    <d v="2024-05-06T00:00:00"/>
    <s v="UPI"/>
    <s v="M"/>
    <n v="4"/>
    <s v="Mumbai"/>
    <x v="857"/>
  </r>
  <r>
    <n v="9312"/>
    <s v="FamilyFood Express"/>
    <d v="2023-10-03T00:00:00"/>
    <s v="Dairy"/>
    <s v="Milk"/>
    <n v="3"/>
    <n v="1464.95"/>
    <n v="4394.8500000000004"/>
    <n v="659.02"/>
    <n v="3735.83"/>
    <n v="225"/>
    <s v="00:17:30"/>
    <n v="3"/>
    <n v="10"/>
    <n v="2023"/>
    <d v="2023-10-03T00:00:00"/>
    <s v="Cash"/>
    <s v="M"/>
    <n v="2"/>
    <s v="Hyderabad"/>
    <x v="858"/>
  </r>
  <r>
    <n v="6085"/>
    <s v="SuperSave Central"/>
    <d v="2024-07-30T00:00:00"/>
    <s v="Bakery"/>
    <s v="Onions"/>
    <n v="1"/>
    <n v="1684.07"/>
    <n v="1684.07"/>
    <n v="336.98"/>
    <n v="1347.09"/>
    <n v="500"/>
    <s v="17:18:59"/>
    <n v="30"/>
    <n v="7"/>
    <n v="2024"/>
    <d v="2024-07-30T00:00:00"/>
    <s v="Credit Card"/>
    <s v="M"/>
    <n v="1"/>
    <s v="Ahmedabad"/>
    <x v="859"/>
  </r>
  <r>
    <n v="8404"/>
    <s v="MegaMart Westside"/>
    <d v="2023-09-05T00:00:00"/>
    <s v="Beverages"/>
    <s v="Onions"/>
    <n v="2"/>
    <n v="1367.01"/>
    <n v="2734.02"/>
    <n v="273.07"/>
    <n v="2460.9499999999998"/>
    <n v="62"/>
    <s v="07:53:51"/>
    <n v="5"/>
    <n v="9"/>
    <n v="2023"/>
    <d v="2023-09-05T00:00:00"/>
    <s v="Credit Card"/>
    <s v="M"/>
    <n v="1"/>
    <s v="Ahmedabad"/>
    <x v="860"/>
  </r>
  <r>
    <n v="1932"/>
    <s v="City Fresh Store"/>
    <d v="2024-05-19T00:00:00"/>
    <s v="Meat &amp; Seafood"/>
    <s v="Salmon"/>
    <n v="3"/>
    <n v="458.16"/>
    <n v="1374.48"/>
    <n v="0"/>
    <n v="1374.48"/>
    <n v="496"/>
    <s v="12:50:55"/>
    <n v="19"/>
    <n v="5"/>
    <n v="2024"/>
    <d v="2024-05-19T00:00:00"/>
    <s v="UPI"/>
    <s v="F"/>
    <n v="3"/>
    <s v="Pune"/>
    <x v="861"/>
  </r>
  <r>
    <n v="5703"/>
    <s v="QuickStop Market"/>
    <d v="2023-10-05T00:00:00"/>
    <s v="Beverages"/>
    <s v="Rice"/>
    <n v="5"/>
    <n v="1687.39"/>
    <n v="8436.9500000000007"/>
    <n v="1265.75"/>
    <n v="7171.2"/>
    <n v="409"/>
    <s v="06:52:42"/>
    <n v="5"/>
    <n v="10"/>
    <n v="2023"/>
    <d v="2023-10-05T00:00:00"/>
    <s v="Cash"/>
    <s v="F"/>
    <n v="1"/>
    <s v="Delhi"/>
    <x v="862"/>
  </r>
  <r>
    <n v="2479"/>
    <s v="GreenGrocer Plaza"/>
    <d v="2024-11-26T00:00:00"/>
    <s v="Beverages"/>
    <s v="Milk"/>
    <n v="2"/>
    <n v="1713.95"/>
    <n v="3427.9"/>
    <n v="216.63"/>
    <n v="3211.27"/>
    <n v="59"/>
    <s v="13:00:13"/>
    <n v="26"/>
    <n v="11"/>
    <n v="2024"/>
    <d v="2024-11-26T00:00:00"/>
    <s v="Cash"/>
    <s v="F"/>
    <n v="4"/>
    <s v="Hyderabad"/>
    <x v="863"/>
  </r>
  <r>
    <n v="9307"/>
    <s v="FamilyFood Express"/>
    <d v="2024-05-31T00:00:00"/>
    <s v="Beverages"/>
    <s v="Orange Juice"/>
    <n v="1"/>
    <n v="867.35"/>
    <n v="867.35"/>
    <n v="258.13"/>
    <n v="609.22"/>
    <n v="311"/>
    <s v="03:09:20"/>
    <n v="31"/>
    <n v="5"/>
    <n v="2024"/>
    <d v="2024-05-31T00:00:00"/>
    <s v="Credit Card"/>
    <s v="F"/>
    <n v="5"/>
    <s v="Ahmedabad"/>
    <x v="864"/>
  </r>
  <r>
    <n v="8581"/>
    <s v="FreshMart Downtown"/>
    <d v="2024-10-30T00:00:00"/>
    <s v="Bakery"/>
    <s v="Bananas"/>
    <n v="1"/>
    <n v="1377.8"/>
    <n v="1377.8"/>
    <n v="214.14"/>
    <n v="1163.6600000000001"/>
    <n v="228"/>
    <s v="12:27:35"/>
    <n v="30"/>
    <n v="10"/>
    <n v="2024"/>
    <d v="2024-10-30T00:00:00"/>
    <s v="Debit Card"/>
    <s v="M"/>
    <n v="5"/>
    <s v="Lucknow"/>
    <x v="865"/>
  </r>
  <r>
    <n v="1672"/>
    <s v="City Fresh Store"/>
    <d v="2024-07-21T00:00:00"/>
    <s v="Canned Goods"/>
    <s v="Carrots"/>
    <n v="1"/>
    <n v="2268.39"/>
    <n v="2268.39"/>
    <n v="454.01"/>
    <n v="1814.38"/>
    <n v="184"/>
    <s v="08:41:23"/>
    <n v="21"/>
    <n v="7"/>
    <n v="2024"/>
    <d v="2024-07-21T00:00:00"/>
    <s v="Credit Card"/>
    <s v="F"/>
    <n v="5"/>
    <s v="Hyderabad"/>
    <x v="866"/>
  </r>
  <r>
    <n v="4084"/>
    <s v="Corner Grocery"/>
    <d v="2024-04-12T00:00:00"/>
    <s v="Canned Goods"/>
    <s v="Tomatoes"/>
    <n v="3"/>
    <n v="111.22"/>
    <n v="333.66"/>
    <n v="49.8"/>
    <n v="283.86"/>
    <n v="176"/>
    <s v="18:03:08"/>
    <n v="12"/>
    <n v="4"/>
    <n v="2024"/>
    <d v="2024-04-12T00:00:00"/>
    <s v="Cash"/>
    <s v="F"/>
    <n v="2"/>
    <s v="Kolkata"/>
    <x v="867"/>
  </r>
  <r>
    <n v="8792"/>
    <s v="City Fresh Store"/>
    <d v="2024-08-30T00:00:00"/>
    <s v="Personal Care"/>
    <s v="Bread"/>
    <n v="2"/>
    <n v="1834.3"/>
    <n v="3668.6"/>
    <n v="366.86"/>
    <n v="3301.74"/>
    <n v="227"/>
    <s v="13:06:03"/>
    <n v="30"/>
    <n v="8"/>
    <n v="2024"/>
    <d v="2024-08-30T00:00:00"/>
    <s v="UPI"/>
    <s v="M"/>
    <n v="1"/>
    <s v="Delhi"/>
    <x v="868"/>
  </r>
  <r>
    <n v="3471"/>
    <s v="QuickStop Market"/>
    <d v="2023-09-24T00:00:00"/>
    <s v="Meat &amp; Seafood"/>
    <s v="Cheese"/>
    <n v="4"/>
    <n v="418.32"/>
    <n v="1673.28"/>
    <n v="334.49"/>
    <n v="1338.79"/>
    <n v="300"/>
    <s v="03:55:04"/>
    <n v="24"/>
    <n v="9"/>
    <n v="2023"/>
    <d v="2023-09-24T00:00:00"/>
    <s v="Credit Card"/>
    <s v="M"/>
    <n v="4"/>
    <s v="Jaipur"/>
    <x v="869"/>
  </r>
  <r>
    <n v="8381"/>
    <s v="FamilyFood Express"/>
    <d v="2023-10-26T00:00:00"/>
    <s v="Frozen Foods"/>
    <s v="Potatoes"/>
    <n v="5"/>
    <n v="2456.8000000000002"/>
    <n v="12284"/>
    <n v="85.49"/>
    <n v="12198.51"/>
    <n v="33"/>
    <s v="01:07:44"/>
    <n v="26"/>
    <n v="10"/>
    <n v="2023"/>
    <d v="2023-10-26T00:00:00"/>
    <s v="Cash"/>
    <s v="F"/>
    <n v="2"/>
    <s v="Hyderabad"/>
    <x v="870"/>
  </r>
  <r>
    <n v="6626"/>
    <s v="QuickStop Market"/>
    <d v="2025-02-11T00:00:00"/>
    <s v="Snacks &amp; Candy"/>
    <s v="Apples"/>
    <n v="5"/>
    <n v="1194.3699999999999"/>
    <n v="5971.85"/>
    <n v="1194.3699999999999"/>
    <n v="4777.4799999999996"/>
    <n v="290"/>
    <s v="18:04:36"/>
    <n v="11"/>
    <n v="2"/>
    <n v="2025"/>
    <d v="2025-02-11T00:00:00"/>
    <s v="Credit Card"/>
    <s v="F"/>
    <n v="3"/>
    <s v="Bangalore"/>
    <x v="871"/>
  </r>
  <r>
    <n v="2381"/>
    <s v="SuperSave Central"/>
    <d v="2024-09-01T00:00:00"/>
    <s v="Snacks &amp; Candy"/>
    <s v="Rice"/>
    <n v="5"/>
    <n v="1263.26"/>
    <n v="6316.3"/>
    <n v="184.26"/>
    <n v="6132.04"/>
    <n v="421"/>
    <s v="19:51:28"/>
    <n v="1"/>
    <n v="9"/>
    <n v="2024"/>
    <d v="2024-09-01T00:00:00"/>
    <s v="Debit Card"/>
    <s v="M"/>
    <n v="4"/>
    <s v="Ahmedabad"/>
    <x v="872"/>
  </r>
  <r>
    <n v="3827"/>
    <s v="ValuePlus Market"/>
    <d v="2023-09-06T00:00:00"/>
    <s v="Beverages"/>
    <s v="Ground Beef"/>
    <n v="1"/>
    <n v="1987.02"/>
    <n v="1987.02"/>
    <n v="297.97000000000003"/>
    <n v="1689.05"/>
    <n v="78"/>
    <s v="11:44:13"/>
    <n v="6"/>
    <n v="9"/>
    <n v="2023"/>
    <d v="2023-09-06T00:00:00"/>
    <s v="Credit Card"/>
    <s v="F"/>
    <n v="4"/>
    <s v="Bangalore"/>
    <x v="873"/>
  </r>
  <r>
    <n v="5059"/>
    <s v="City Fresh Store"/>
    <d v="2025-02-06T00:00:00"/>
    <s v="Dairy"/>
    <s v="Rice"/>
    <n v="4"/>
    <n v="513.77"/>
    <n v="2055.08"/>
    <n v="122.84"/>
    <n v="1932.24"/>
    <n v="464"/>
    <s v="20:34:29"/>
    <n v="6"/>
    <n v="2"/>
    <n v="2025"/>
    <d v="2025-02-06T00:00:00"/>
    <s v="Credit Card"/>
    <s v="M"/>
    <n v="4"/>
    <s v="Delhi"/>
    <x v="874"/>
  </r>
  <r>
    <n v="8172"/>
    <s v="QuickStop Market"/>
    <d v="2024-07-13T00:00:00"/>
    <s v="Beverages"/>
    <s v="Bread"/>
    <n v="5"/>
    <n v="1876.63"/>
    <n v="9383.15"/>
    <n v="227.42"/>
    <n v="9155.73"/>
    <n v="297"/>
    <s v="23:49:04"/>
    <n v="13"/>
    <n v="7"/>
    <n v="2024"/>
    <d v="2024-07-13T00:00:00"/>
    <s v="Cash"/>
    <s v="M"/>
    <n v="5"/>
    <s v="Mumbai"/>
    <x v="875"/>
  </r>
  <r>
    <n v="9586"/>
    <s v="QuickStop Market"/>
    <d v="2024-09-16T00:00:00"/>
    <s v="Health &amp; Wellness"/>
    <s v="Potatoes"/>
    <n v="1"/>
    <n v="980.23"/>
    <n v="980.23"/>
    <n v="146.91"/>
    <n v="833.32"/>
    <n v="375"/>
    <s v="06:00:40"/>
    <n v="16"/>
    <n v="9"/>
    <n v="2024"/>
    <d v="2024-09-16T00:00:00"/>
    <s v="Cash"/>
    <s v="M"/>
    <n v="4"/>
    <s v="Bangalore"/>
    <x v="876"/>
  </r>
  <r>
    <n v="3600"/>
    <s v="SuperSave Central"/>
    <d v="2024-05-15T00:00:00"/>
    <s v="Household Items"/>
    <s v="Milk"/>
    <n v="2"/>
    <n v="851.58"/>
    <n v="1703.16"/>
    <n v="255.64"/>
    <n v="1447.52"/>
    <n v="449"/>
    <s v="07:17:01"/>
    <n v="15"/>
    <n v="5"/>
    <n v="2024"/>
    <d v="2024-05-15T00:00:00"/>
    <s v="Cash"/>
    <s v="M"/>
    <n v="1"/>
    <s v="Ahmedabad"/>
    <x v="877"/>
  </r>
  <r>
    <n v="7108"/>
    <s v="SuperSave Central"/>
    <d v="2025-07-19T00:00:00"/>
    <s v="Produce"/>
    <s v="Pasta"/>
    <n v="3"/>
    <n v="1092.28"/>
    <n v="3276.84"/>
    <n v="179.28"/>
    <n v="3097.56"/>
    <n v="466"/>
    <s v="07:46:12"/>
    <n v="19"/>
    <n v="7"/>
    <n v="2025"/>
    <d v="2025-07-19T00:00:00"/>
    <s v="Credit Card"/>
    <s v="F"/>
    <n v="4"/>
    <s v="Lucknow"/>
    <x v="878"/>
  </r>
  <r>
    <n v="5634"/>
    <s v="ValuePlus Market"/>
    <d v="2024-06-02T00:00:00"/>
    <s v="Health &amp; Wellness"/>
    <s v="Bread"/>
    <n v="5"/>
    <n v="548.63"/>
    <n v="2743.15"/>
    <n v="282.2"/>
    <n v="2460.9499999999998"/>
    <n v="321"/>
    <s v="01:00:45"/>
    <n v="2"/>
    <n v="6"/>
    <n v="2024"/>
    <d v="2024-06-02T00:00:00"/>
    <s v="Debit Card"/>
    <s v="M"/>
    <n v="5"/>
    <s v="Lucknow"/>
    <x v="879"/>
  </r>
  <r>
    <n v="7697"/>
    <s v="SuperSave Central"/>
    <d v="2025-03-30T00:00:00"/>
    <s v="Personal Care"/>
    <s v="Cereal"/>
    <n v="3"/>
    <n v="2072.5100000000002"/>
    <n v="6217.53"/>
    <n v="932.92"/>
    <n v="5284.61"/>
    <n v="350"/>
    <s v="01:01:15"/>
    <n v="30"/>
    <n v="3"/>
    <n v="2025"/>
    <d v="2025-03-30T00:00:00"/>
    <s v="UPI"/>
    <s v="M"/>
    <n v="4"/>
    <s v="Ahmedabad"/>
    <x v="880"/>
  </r>
  <r>
    <n v="6543"/>
    <s v="MegaMart Westside"/>
    <d v="2025-01-15T00:00:00"/>
    <s v="Dairy"/>
    <s v="Onions"/>
    <n v="5"/>
    <n v="928.77"/>
    <n v="4643.8500000000004"/>
    <n v="928.77"/>
    <n v="3715.08"/>
    <n v="73"/>
    <s v="12:13:48"/>
    <n v="15"/>
    <n v="1"/>
    <n v="2025"/>
    <d v="2025-01-15T00:00:00"/>
    <s v="UPI"/>
    <s v="F"/>
    <n v="3"/>
    <s v="Pune"/>
    <x v="881"/>
  </r>
  <r>
    <n v="1857"/>
    <s v="ValuePlus Market"/>
    <d v="2025-04-11T00:00:00"/>
    <s v="Frozen Foods"/>
    <s v="Orange Juice"/>
    <n v="4"/>
    <n v="1074.02"/>
    <n v="4296.08"/>
    <n v="155.21"/>
    <n v="4140.87"/>
    <n v="471"/>
    <s v="23:49:05"/>
    <n v="11"/>
    <n v="4"/>
    <n v="2025"/>
    <d v="2025-04-11T00:00:00"/>
    <s v="Cash"/>
    <s v="M"/>
    <n v="3"/>
    <s v="Delhi"/>
    <x v="882"/>
  </r>
  <r>
    <n v="6482"/>
    <s v="ValuePlus Market"/>
    <d v="2023-09-27T00:00:00"/>
    <s v="Bakery"/>
    <s v="Yogurt"/>
    <n v="5"/>
    <n v="1558.74"/>
    <n v="7793.7"/>
    <n v="779.37"/>
    <n v="7014.33"/>
    <n v="425"/>
    <s v="10:07:21"/>
    <n v="27"/>
    <n v="9"/>
    <n v="2023"/>
    <d v="2023-09-27T00:00:00"/>
    <s v="Cash"/>
    <s v="F"/>
    <n v="5"/>
    <s v="Pune"/>
    <x v="883"/>
  </r>
  <r>
    <n v="6401"/>
    <s v="City Fresh Store"/>
    <d v="2023-10-19T00:00:00"/>
    <s v="Dairy"/>
    <s v="Chicken Breast"/>
    <n v="2"/>
    <n v="2304.91"/>
    <n v="4609.82"/>
    <n v="691.39"/>
    <n v="3918.43"/>
    <n v="245"/>
    <s v="07:22:04"/>
    <n v="19"/>
    <n v="10"/>
    <n v="2023"/>
    <d v="2023-10-19T00:00:00"/>
    <s v="Credit Card"/>
    <s v="F"/>
    <n v="1"/>
    <s v="Ahmedabad"/>
    <x v="884"/>
  </r>
  <r>
    <n v="7333"/>
    <s v="MegaMart Westside"/>
    <d v="2024-03-14T00:00:00"/>
    <s v="Meat &amp; Seafood"/>
    <s v="Salmon"/>
    <n v="5"/>
    <n v="1341.28"/>
    <n v="6706.4"/>
    <n v="1341.28"/>
    <n v="5365.12"/>
    <n v="496"/>
    <s v="14:35:14"/>
    <n v="14"/>
    <n v="3"/>
    <n v="2024"/>
    <d v="2024-03-14T00:00:00"/>
    <s v="UPI"/>
    <s v="F"/>
    <n v="1"/>
    <s v="Kolkata"/>
    <x v="885"/>
  </r>
  <r>
    <n v="5128"/>
    <s v="QuickStop Market"/>
    <d v="2025-02-19T00:00:00"/>
    <s v="Produce"/>
    <s v="Chicken Breast"/>
    <n v="2"/>
    <n v="391.76"/>
    <n v="783.52"/>
    <n v="0"/>
    <n v="783.52"/>
    <n v="355"/>
    <s v="22:24:58"/>
    <n v="19"/>
    <n v="2"/>
    <n v="2025"/>
    <d v="2025-02-19T00:00:00"/>
    <s v="Cash"/>
    <s v="M"/>
    <n v="2"/>
    <s v="Ahmedabad"/>
    <x v="886"/>
  </r>
  <r>
    <n v="3463"/>
    <s v="FamilyFood Express"/>
    <d v="2024-04-21T00:00:00"/>
    <s v="Frozen Foods"/>
    <s v="Eggs"/>
    <n v="2"/>
    <n v="395.91"/>
    <n v="791.82"/>
    <n v="0"/>
    <n v="791.82"/>
    <n v="40"/>
    <s v="17:17:35"/>
    <n v="21"/>
    <n v="4"/>
    <n v="2024"/>
    <d v="2024-04-21T00:00:00"/>
    <s v="Debit Card"/>
    <s v="F"/>
    <n v="5"/>
    <s v="Jaipur"/>
    <x v="887"/>
  </r>
  <r>
    <n v="2335"/>
    <s v="GreenGrocer Plaza"/>
    <d v="2024-11-01T00:00:00"/>
    <s v="Dairy"/>
    <s v="Bananas"/>
    <n v="4"/>
    <n v="1904.85"/>
    <n v="7619.4"/>
    <n v="93.79"/>
    <n v="7525.61"/>
    <n v="21"/>
    <s v="09:05:26"/>
    <n v="1"/>
    <n v="11"/>
    <n v="2024"/>
    <d v="2024-11-01T00:00:00"/>
    <s v="Debit Card"/>
    <s v="F"/>
    <n v="4"/>
    <s v="Jaipur"/>
    <x v="888"/>
  </r>
  <r>
    <n v="3317"/>
    <s v="ValuePlus Market"/>
    <d v="2025-07-19T00:00:00"/>
    <s v="Household Items"/>
    <s v="Milk"/>
    <n v="4"/>
    <n v="368.52"/>
    <n v="1474.08"/>
    <n v="183.43"/>
    <n v="1290.6500000000001"/>
    <n v="129"/>
    <s v="13:13:14"/>
    <n v="19"/>
    <n v="7"/>
    <n v="2025"/>
    <d v="2025-07-19T00:00:00"/>
    <s v="Cash"/>
    <s v="M"/>
    <n v="5"/>
    <s v="Pune"/>
    <x v="889"/>
  </r>
  <r>
    <n v="6731"/>
    <s v="FreshMart Downtown"/>
    <d v="2024-04-03T00:00:00"/>
    <s v="Dairy"/>
    <s v="Chicken Breast"/>
    <n v="5"/>
    <n v="576.85"/>
    <n v="2884.25"/>
    <n v="576.85"/>
    <n v="2307.4"/>
    <n v="461"/>
    <s v="11:35:27"/>
    <n v="3"/>
    <n v="4"/>
    <n v="2024"/>
    <d v="2024-04-03T00:00:00"/>
    <s v="Cash"/>
    <s v="F"/>
    <n v="2"/>
    <s v="Pune"/>
    <x v="890"/>
  </r>
  <r>
    <n v="7421"/>
    <s v="MegaMart Westside"/>
    <d v="2023-11-15T00:00:00"/>
    <s v="Produce"/>
    <s v="Bread"/>
    <n v="2"/>
    <n v="2118.16"/>
    <n v="4236.32"/>
    <n v="198.37"/>
    <n v="4037.95"/>
    <n v="482"/>
    <s v="16:34:01"/>
    <n v="15"/>
    <n v="11"/>
    <n v="2023"/>
    <d v="2023-11-15T00:00:00"/>
    <s v="UPI"/>
    <s v="F"/>
    <n v="5"/>
    <s v="Delhi"/>
    <x v="891"/>
  </r>
  <r>
    <n v="2388"/>
    <s v="SuperSave Central"/>
    <d v="2024-04-03T00:00:00"/>
    <s v="Personal Care"/>
    <s v="Ground Beef"/>
    <n v="5"/>
    <n v="1454.99"/>
    <n v="7274.95"/>
    <n v="155.21"/>
    <n v="7119.74"/>
    <n v="50"/>
    <s v="19:04:47"/>
    <n v="3"/>
    <n v="4"/>
    <n v="2024"/>
    <d v="2024-04-03T00:00:00"/>
    <s v="UPI"/>
    <s v="F"/>
    <n v="5"/>
    <s v="Lucknow"/>
    <x v="892"/>
  </r>
  <r>
    <n v="7171"/>
    <s v="FamilyFood Express"/>
    <d v="2024-12-18T00:00:00"/>
    <s v="Frozen Foods"/>
    <s v="Apples"/>
    <n v="5"/>
    <n v="92.96"/>
    <n v="464.8"/>
    <n v="92.96"/>
    <n v="371.84"/>
    <n v="371"/>
    <s v="01:03:12"/>
    <n v="18"/>
    <n v="12"/>
    <n v="2024"/>
    <d v="2024-12-18T00:00:00"/>
    <s v="Credit Card"/>
    <s v="F"/>
    <n v="2"/>
    <s v="Mumbai"/>
    <x v="893"/>
  </r>
  <r>
    <n v="6381"/>
    <s v="ValuePlus Market"/>
    <d v="2025-04-29T00:00:00"/>
    <s v="Beverages"/>
    <s v="Orange Juice"/>
    <n v="5"/>
    <n v="527.88"/>
    <n v="2639.4"/>
    <n v="527.88"/>
    <n v="2111.52"/>
    <n v="344"/>
    <s v="02:23:54"/>
    <n v="29"/>
    <n v="4"/>
    <n v="2025"/>
    <d v="2025-04-29T00:00:00"/>
    <s v="UPI"/>
    <s v="F"/>
    <n v="1"/>
    <s v="Kolkata"/>
    <x v="894"/>
  </r>
  <r>
    <n v="3093"/>
    <s v="MegaMart Westside"/>
    <d v="2025-01-08T00:00:00"/>
    <s v="Snacks &amp; Candy"/>
    <s v="Cheese"/>
    <n v="2"/>
    <n v="1319.7"/>
    <n v="2639.4"/>
    <n v="395.91"/>
    <n v="2243.4899999999998"/>
    <n v="208"/>
    <s v="08:36:21"/>
    <n v="8"/>
    <n v="1"/>
    <n v="2025"/>
    <d v="2025-01-08T00:00:00"/>
    <s v="Debit Card"/>
    <s v="M"/>
    <n v="4"/>
    <s v="Chennai"/>
    <x v="895"/>
  </r>
  <r>
    <n v="9624"/>
    <s v="GreenGrocer Plaza"/>
    <d v="2023-10-18T00:00:00"/>
    <s v="Beverages"/>
    <s v="Chicken Breast"/>
    <n v="5"/>
    <n v="409.19"/>
    <n v="2045.95"/>
    <n v="0"/>
    <n v="2045.95"/>
    <n v="390"/>
    <s v="12:26:27"/>
    <n v="18"/>
    <n v="10"/>
    <n v="2023"/>
    <d v="2023-10-18T00:00:00"/>
    <s v="Debit Card"/>
    <s v="F"/>
    <n v="2"/>
    <s v="Lucknow"/>
    <x v="896"/>
  </r>
  <r>
    <n v="7937"/>
    <s v="QuickStop Market"/>
    <d v="2024-09-04T00:00:00"/>
    <s v="Personal Care"/>
    <s v="Milk"/>
    <n v="1"/>
    <n v="872.33"/>
    <n v="872.33"/>
    <n v="131.13999999999999"/>
    <n v="741.19"/>
    <n v="59"/>
    <s v="06:18:23"/>
    <n v="4"/>
    <n v="9"/>
    <n v="2024"/>
    <d v="2024-09-04T00:00:00"/>
    <s v="Cash"/>
    <s v="F"/>
    <n v="3"/>
    <s v="Ahmedabad"/>
    <x v="282"/>
  </r>
  <r>
    <n v="6928"/>
    <s v="City Fresh Store"/>
    <d v="2023-08-21T00:00:00"/>
    <s v="Household Items"/>
    <s v="Rice"/>
    <n v="4"/>
    <n v="625.82000000000005"/>
    <n v="2503.2800000000002"/>
    <n v="250.66"/>
    <n v="2252.62"/>
    <n v="208"/>
    <s v="20:25:08"/>
    <n v="21"/>
    <n v="8"/>
    <n v="2023"/>
    <d v="2023-08-21T00:00:00"/>
    <s v="UPI"/>
    <s v="M"/>
    <n v="1"/>
    <s v="Mumbai"/>
    <x v="897"/>
  </r>
  <r>
    <n v="6940"/>
    <s v="FamilyFood Express"/>
    <d v="2024-04-02T00:00:00"/>
    <s v="Dairy"/>
    <s v="Potatoes"/>
    <n v="3"/>
    <n v="513.77"/>
    <n v="1541.31"/>
    <n v="0"/>
    <n v="1541.31"/>
    <n v="345"/>
    <s v="00:22:48"/>
    <n v="2"/>
    <n v="4"/>
    <n v="2024"/>
    <d v="2024-04-02T00:00:00"/>
    <s v="Credit Card"/>
    <s v="M"/>
    <n v="3"/>
    <s v="Delhi"/>
    <x v="898"/>
  </r>
  <r>
    <n v="3953"/>
    <s v="GreenGrocer Plaza"/>
    <d v="2024-01-20T00:00:00"/>
    <s v="Snacks &amp; Candy"/>
    <s v="Salmon"/>
    <n v="5"/>
    <n v="1667.47"/>
    <n v="8337.35"/>
    <n v="1667.47"/>
    <n v="6669.88"/>
    <n v="43"/>
    <s v="16:03:50"/>
    <n v="20"/>
    <n v="1"/>
    <n v="2024"/>
    <d v="2024-01-20T00:00:00"/>
    <s v="Debit Card"/>
    <s v="M"/>
    <n v="1"/>
    <s v="Hyderabad"/>
    <x v="899"/>
  </r>
  <r>
    <n v="6598"/>
    <s v="Corner Grocery"/>
    <d v="2025-03-24T00:00:00"/>
    <s v="Snacks &amp; Candy"/>
    <s v="Chicken Breast"/>
    <n v="2"/>
    <n v="238.21"/>
    <n v="476.42"/>
    <n v="71.38"/>
    <n v="405.04"/>
    <n v="499"/>
    <s v="06:26:42"/>
    <n v="24"/>
    <n v="3"/>
    <n v="2025"/>
    <d v="2025-03-24T00:00:00"/>
    <s v="Debit Card"/>
    <s v="F"/>
    <n v="4"/>
    <s v="Lucknow"/>
    <x v="900"/>
  </r>
  <r>
    <n v="8967"/>
    <s v="FamilyFood Express"/>
    <d v="2024-01-03T00:00:00"/>
    <s v="Household Items"/>
    <s v="Tomatoes"/>
    <n v="1"/>
    <n v="642.41999999999996"/>
    <n v="642.41999999999996"/>
    <n v="96.28"/>
    <n v="546.14"/>
    <n v="217"/>
    <s v="23:42:02"/>
    <n v="3"/>
    <n v="1"/>
    <n v="2024"/>
    <d v="2024-01-03T00:00:00"/>
    <s v="Credit Card"/>
    <s v="M"/>
    <n v="4"/>
    <s v="Lucknow"/>
    <x v="612"/>
  </r>
  <r>
    <n v="4711"/>
    <s v="QuickStop Market"/>
    <d v="2023-11-21T00:00:00"/>
    <s v="Health &amp; Wellness"/>
    <s v="Tomatoes"/>
    <n v="3"/>
    <n v="1227.57"/>
    <n v="3682.71"/>
    <n v="368.52"/>
    <n v="3314.19"/>
    <n v="308"/>
    <s v="20:44:28"/>
    <n v="21"/>
    <n v="11"/>
    <n v="2023"/>
    <d v="2023-11-21T00:00:00"/>
    <s v="Credit Card"/>
    <s v="F"/>
    <n v="5"/>
    <s v="Mumbai"/>
    <x v="901"/>
  </r>
  <r>
    <n v="3538"/>
    <s v="ValuePlus Market"/>
    <d v="2023-10-05T00:00:00"/>
    <s v="Frozen Foods"/>
    <s v="Eggs"/>
    <n v="4"/>
    <n v="341.96"/>
    <n v="1367.84"/>
    <n v="136.94999999999999"/>
    <n v="1230.8900000000001"/>
    <n v="128"/>
    <s v="18:10:15"/>
    <n v="5"/>
    <n v="10"/>
    <n v="2023"/>
    <d v="2023-10-05T00:00:00"/>
    <s v="Debit Card"/>
    <s v="F"/>
    <n v="3"/>
    <s v="Ahmedabad"/>
    <x v="902"/>
  </r>
  <r>
    <n v="5846"/>
    <s v="FamilyFood Express"/>
    <d v="2025-05-23T00:00:00"/>
    <s v="Health &amp; Wellness"/>
    <s v="Eggs"/>
    <n v="1"/>
    <n v="322.04000000000002"/>
    <n v="322.04000000000002"/>
    <n v="32.369999999999997"/>
    <n v="289.67"/>
    <n v="27"/>
    <s v="16:57:40"/>
    <n v="23"/>
    <n v="5"/>
    <n v="2025"/>
    <d v="2025-05-23T00:00:00"/>
    <s v="Debit Card"/>
    <s v="M"/>
    <n v="1"/>
    <s v="Lucknow"/>
    <x v="903"/>
  </r>
  <r>
    <n v="2657"/>
    <s v="FreshMart Downtown"/>
    <d v="2024-09-04T00:00:00"/>
    <s v="Meat &amp; Seafood"/>
    <s v="Tomatoes"/>
    <n v="5"/>
    <n v="1717.27"/>
    <n v="8586.35"/>
    <n v="289.67"/>
    <n v="8296.68"/>
    <n v="78"/>
    <s v="02:59:57"/>
    <n v="4"/>
    <n v="9"/>
    <n v="2024"/>
    <d v="2024-09-04T00:00:00"/>
    <s v="Credit Card"/>
    <s v="M"/>
    <n v="4"/>
    <s v="Mumbai"/>
    <x v="904"/>
  </r>
  <r>
    <n v="9843"/>
    <s v="GreenGrocer Plaza"/>
    <d v="2025-05-16T00:00:00"/>
    <s v="Health &amp; Wellness"/>
    <s v="Carrots"/>
    <n v="4"/>
    <n v="1990.34"/>
    <n v="7961.36"/>
    <n v="0"/>
    <n v="7961.36"/>
    <n v="103"/>
    <s v="09:34:50"/>
    <n v="16"/>
    <n v="5"/>
    <n v="2025"/>
    <d v="2025-05-16T00:00:00"/>
    <s v="Debit Card"/>
    <s v="F"/>
    <n v="2"/>
    <s v="Bangalore"/>
    <x v="905"/>
  </r>
  <r>
    <n v="9626"/>
    <s v="City Fresh Store"/>
    <d v="2023-09-05T00:00:00"/>
    <s v="Beverages"/>
    <s v="Carrots"/>
    <n v="3"/>
    <n v="1387.76"/>
    <n v="4163.28"/>
    <n v="411.68"/>
    <n v="3751.6"/>
    <n v="414"/>
    <s v="03:08:14"/>
    <n v="5"/>
    <n v="9"/>
    <n v="2023"/>
    <d v="2023-09-05T00:00:00"/>
    <s v="Cash"/>
    <s v="M"/>
    <n v="4"/>
    <s v="Pune"/>
    <x v="906"/>
  </r>
  <r>
    <n v="6517"/>
    <s v="GreenGrocer Plaza"/>
    <d v="2025-06-17T00:00:00"/>
    <s v="Snacks &amp; Candy"/>
    <s v="Salmon"/>
    <n v="3"/>
    <n v="2134.7600000000002"/>
    <n v="6404.28"/>
    <n v="93.79"/>
    <n v="6310.49"/>
    <n v="226"/>
    <s v="03:54:14"/>
    <n v="17"/>
    <n v="6"/>
    <n v="2025"/>
    <d v="2025-06-17T00:00:00"/>
    <s v="Cash"/>
    <s v="F"/>
    <n v="2"/>
    <s v="Jaipur"/>
    <x v="907"/>
  </r>
  <r>
    <n v="3147"/>
    <s v="ValuePlus Market"/>
    <d v="2024-11-12T00:00:00"/>
    <s v="Health &amp; Wellness"/>
    <s v="Rice"/>
    <n v="2"/>
    <n v="1264.92"/>
    <n v="2529.84"/>
    <n v="0"/>
    <n v="2529.84"/>
    <n v="68"/>
    <s v="21:15:24"/>
    <n v="12"/>
    <n v="11"/>
    <n v="2024"/>
    <d v="2024-11-12T00:00:00"/>
    <s v="Credit Card"/>
    <s v="M"/>
    <n v="1"/>
    <s v="Pune"/>
    <x v="908"/>
  </r>
  <r>
    <n v="7172"/>
    <s v="Corner Grocery"/>
    <d v="2023-12-04T00:00:00"/>
    <s v="Beverages"/>
    <s v="Chicken Breast"/>
    <n v="5"/>
    <n v="1707.31"/>
    <n v="8536.5499999999993"/>
    <n v="854.07"/>
    <n v="7682.48"/>
    <n v="337"/>
    <s v="01:11:45"/>
    <n v="4"/>
    <n v="12"/>
    <n v="2023"/>
    <d v="2023-12-04T00:00:00"/>
    <s v="UPI"/>
    <s v="M"/>
    <n v="4"/>
    <s v="Ahmedabad"/>
    <x v="909"/>
  </r>
  <r>
    <n v="3658"/>
    <s v="ValuePlus Market"/>
    <d v="2023-12-25T00:00:00"/>
    <s v="Meat &amp; Seafood"/>
    <s v="Carrots"/>
    <n v="1"/>
    <n v="1024.22"/>
    <n v="1024.22"/>
    <n v="307.93"/>
    <n v="716.29"/>
    <n v="253"/>
    <s v="18:26:45"/>
    <n v="25"/>
    <n v="12"/>
    <n v="2023"/>
    <d v="2023-12-25T00:00:00"/>
    <s v="Credit Card"/>
    <s v="M"/>
    <n v="4"/>
    <s v="Bangalore"/>
    <x v="910"/>
  </r>
  <r>
    <n v="3712"/>
    <s v="QuickStop Market"/>
    <d v="2025-02-17T00:00:00"/>
    <s v="Canned Goods"/>
    <s v="Milk"/>
    <n v="1"/>
    <n v="1503.13"/>
    <n v="1503.13"/>
    <n v="225.76"/>
    <n v="1277.3699999999999"/>
    <n v="65"/>
    <s v="16:38:27"/>
    <n v="17"/>
    <n v="2"/>
    <n v="2025"/>
    <d v="2025-02-17T00:00:00"/>
    <s v="Credit Card"/>
    <s v="F"/>
    <n v="1"/>
    <s v="Lucknow"/>
    <x v="911"/>
  </r>
  <r>
    <n v="8170"/>
    <s v="FreshMart Downtown"/>
    <d v="2023-09-09T00:00:00"/>
    <s v="Health &amp; Wellness"/>
    <s v="Cereal"/>
    <n v="4"/>
    <n v="316.23"/>
    <n v="1264.92"/>
    <n v="126.16"/>
    <n v="1138.76"/>
    <n v="176"/>
    <s v="05:30:55"/>
    <n v="9"/>
    <n v="9"/>
    <n v="2023"/>
    <d v="2023-09-09T00:00:00"/>
    <s v="UPI"/>
    <s v="M"/>
    <n v="4"/>
    <s v="Kolkata"/>
    <x v="912"/>
  </r>
  <r>
    <n v="7731"/>
    <s v="MegaMart Westside"/>
    <d v="2024-05-15T00:00:00"/>
    <s v="Produce"/>
    <s v="Ground Beef"/>
    <n v="2"/>
    <n v="646.57000000000005"/>
    <n v="1293.1400000000001"/>
    <n v="0"/>
    <n v="1293.1400000000001"/>
    <n v="159"/>
    <s v="20:24:22"/>
    <n v="15"/>
    <n v="5"/>
    <n v="2024"/>
    <d v="2024-05-15T00:00:00"/>
    <s v="UPI"/>
    <s v="F"/>
    <n v="2"/>
    <s v="Pune"/>
    <x v="913"/>
  </r>
  <r>
    <n v="4891"/>
    <s v="GreenGrocer Plaza"/>
    <d v="2024-07-17T00:00:00"/>
    <s v="Frozen Foods"/>
    <s v="Chicken Breast"/>
    <n v="3"/>
    <n v="490.53"/>
    <n v="1471.59"/>
    <n v="235.72"/>
    <n v="1235.8699999999999"/>
    <n v="275"/>
    <s v="10:54:16"/>
    <n v="17"/>
    <n v="7"/>
    <n v="2024"/>
    <d v="2024-07-17T00:00:00"/>
    <s v="UPI"/>
    <s v="F"/>
    <n v="4"/>
    <s v="Delhi"/>
    <x v="914"/>
  </r>
  <r>
    <n v="5668"/>
    <s v="Corner Grocery"/>
    <d v="2025-03-13T00:00:00"/>
    <s v="Household Items"/>
    <s v="Carrots"/>
    <n v="4"/>
    <n v="723.76"/>
    <n v="2895.04"/>
    <n v="90.47"/>
    <n v="2804.57"/>
    <n v="356"/>
    <s v="22:17:14"/>
    <n v="13"/>
    <n v="3"/>
    <n v="2025"/>
    <d v="2025-03-13T00:00:00"/>
    <s v="Cash"/>
    <s v="F"/>
    <n v="3"/>
    <s v="Pune"/>
    <x v="915"/>
  </r>
  <r>
    <n v="8355"/>
    <s v="MegaMart Westside"/>
    <d v="2024-02-04T00:00:00"/>
    <s v="Snacks &amp; Candy"/>
    <s v="Tomatoes"/>
    <n v="3"/>
    <n v="1459.97"/>
    <n v="4379.91"/>
    <n v="312.08"/>
    <n v="4067.83"/>
    <n v="413"/>
    <s v="06:14:11"/>
    <n v="4"/>
    <n v="2"/>
    <n v="2024"/>
    <d v="2024-02-04T00:00:00"/>
    <s v="Debit Card"/>
    <s v="F"/>
    <n v="5"/>
    <s v="Chennai"/>
    <x v="916"/>
  </r>
  <r>
    <n v="9749"/>
    <s v="FamilyFood Express"/>
    <d v="2024-02-08T00:00:00"/>
    <s v="Canned Goods"/>
    <s v="Potatoes"/>
    <n v="5"/>
    <n v="2035.16"/>
    <n v="10175.799999999999"/>
    <n v="2035.16"/>
    <n v="8140.64"/>
    <n v="341"/>
    <s v="00:46:31"/>
    <n v="8"/>
    <n v="2"/>
    <n v="2024"/>
    <d v="2024-02-08T00:00:00"/>
    <s v="Cash"/>
    <s v="M"/>
    <n v="2"/>
    <s v="Kolkata"/>
    <x v="917"/>
  </r>
  <r>
    <n v="6070"/>
    <s v="QuickStop Market"/>
    <d v="2025-04-26T00:00:00"/>
    <s v="Canned Goods"/>
    <s v="Cheese"/>
    <n v="2"/>
    <n v="1278.2"/>
    <n v="2556.4"/>
    <n v="154.38"/>
    <n v="2402.02"/>
    <n v="433"/>
    <s v="08:53:36"/>
    <n v="26"/>
    <n v="4"/>
    <n v="2025"/>
    <d v="2025-04-26T00:00:00"/>
    <s v="Debit Card"/>
    <s v="F"/>
    <n v="3"/>
    <s v="Chennai"/>
    <x v="918"/>
  </r>
  <r>
    <n v="8684"/>
    <s v="QuickStop Market"/>
    <d v="2025-07-09T00:00:00"/>
    <s v="Produce"/>
    <s v="Rice"/>
    <n v="5"/>
    <n v="1049.95"/>
    <n v="5249.75"/>
    <n v="0"/>
    <n v="5249.75"/>
    <n v="115"/>
    <s v="13:44:24"/>
    <n v="9"/>
    <n v="7"/>
    <n v="2025"/>
    <d v="2025-07-09T00:00:00"/>
    <s v="Cash"/>
    <s v="F"/>
    <n v="1"/>
    <s v="Chennai"/>
    <x v="919"/>
  </r>
  <r>
    <n v="4178"/>
    <s v="GreenGrocer Plaza"/>
    <d v="2024-05-18T00:00:00"/>
    <s v="Household Items"/>
    <s v="Cereal"/>
    <n v="3"/>
    <n v="244.02"/>
    <n v="732.06"/>
    <n v="73.040000000000006"/>
    <n v="659.02"/>
    <n v="410"/>
    <s v="12:32:22"/>
    <n v="18"/>
    <n v="5"/>
    <n v="2024"/>
    <d v="2024-05-18T00:00:00"/>
    <s v="Debit Card"/>
    <s v="M"/>
    <n v="2"/>
    <s v="Delhi"/>
    <x v="920"/>
  </r>
  <r>
    <n v="8218"/>
    <s v="FamilyFood Express"/>
    <d v="2024-07-30T00:00:00"/>
    <s v="Canned Goods"/>
    <s v="Bread"/>
    <n v="3"/>
    <n v="1296.46"/>
    <n v="3889.38"/>
    <n v="0"/>
    <n v="3889.38"/>
    <n v="153"/>
    <s v="02:00:12"/>
    <n v="30"/>
    <n v="7"/>
    <n v="2024"/>
    <d v="2024-07-30T00:00:00"/>
    <s v="Cash"/>
    <s v="F"/>
    <n v="5"/>
    <s v="Bangalore"/>
    <x v="921"/>
  </r>
  <r>
    <n v="5616"/>
    <s v="ValuePlus Market"/>
    <d v="2025-04-02T00:00:00"/>
    <s v="Canned Goods"/>
    <s v="Yogurt"/>
    <n v="4"/>
    <n v="1050.78"/>
    <n v="4203.12"/>
    <n v="0"/>
    <n v="4203.12"/>
    <n v="319"/>
    <s v="06:57:43"/>
    <n v="2"/>
    <n v="4"/>
    <n v="2025"/>
    <d v="2025-04-02T00:00:00"/>
    <s v="UPI"/>
    <s v="M"/>
    <n v="5"/>
    <s v="Chennai"/>
    <x v="922"/>
  </r>
  <r>
    <n v="7256"/>
    <s v="ValuePlus Market"/>
    <d v="2024-08-31T00:00:00"/>
    <s v="Meat &amp; Seafood"/>
    <s v="Bananas"/>
    <n v="5"/>
    <n v="2158.83"/>
    <n v="10794.15"/>
    <n v="2158.83"/>
    <n v="8635.32"/>
    <n v="295"/>
    <s v="00:08:19"/>
    <n v="31"/>
    <n v="8"/>
    <n v="2024"/>
    <d v="2024-08-31T00:00:00"/>
    <s v="Credit Card"/>
    <s v="F"/>
    <n v="1"/>
    <s v="Kolkata"/>
    <x v="923"/>
  </r>
  <r>
    <n v="9641"/>
    <s v="City Fresh Store"/>
    <d v="2024-06-27T00:00:00"/>
    <s v="Frozen Foods"/>
    <s v="Onions"/>
    <n v="5"/>
    <n v="2134.7600000000002"/>
    <n v="10673.8"/>
    <n v="324.52999999999997"/>
    <n v="10349.27"/>
    <n v="464"/>
    <s v="08:42:18"/>
    <n v="27"/>
    <n v="6"/>
    <n v="2024"/>
    <d v="2024-06-27T00:00:00"/>
    <s v="Cash"/>
    <s v="M"/>
    <n v="1"/>
    <s v="Pune"/>
    <x v="924"/>
  </r>
  <r>
    <n v="3655"/>
    <s v="FreshMart Downtown"/>
    <d v="2025-05-02T00:00:00"/>
    <s v="Personal Care"/>
    <s v="Yogurt"/>
    <n v="3"/>
    <n v="1195.2"/>
    <n v="3585.6"/>
    <n v="0"/>
    <n v="3585.6"/>
    <n v="123"/>
    <s v="15:39:48"/>
    <n v="2"/>
    <n v="5"/>
    <n v="2025"/>
    <d v="2025-05-02T00:00:00"/>
    <s v="Debit Card"/>
    <s v="F"/>
    <n v="2"/>
    <s v="Ahmedabad"/>
    <x v="925"/>
  </r>
  <r>
    <n v="4271"/>
    <s v="QuickStop Market"/>
    <d v="2025-04-20T00:00:00"/>
    <s v="Snacks &amp; Candy"/>
    <s v="Cheese"/>
    <n v="3"/>
    <n v="2153.02"/>
    <n v="6459.06"/>
    <n v="0"/>
    <n v="6459.06"/>
    <n v="466"/>
    <s v="04:04:24"/>
    <n v="20"/>
    <n v="4"/>
    <n v="2025"/>
    <d v="2025-04-20T00:00:00"/>
    <s v="UPI"/>
    <s v="M"/>
    <n v="4"/>
    <s v="Kolkata"/>
    <x v="926"/>
  </r>
  <r>
    <n v="3267"/>
    <s v="FamilyFood Express"/>
    <d v="2025-06-15T00:00:00"/>
    <s v="Snacks &amp; Candy"/>
    <s v="Pasta"/>
    <n v="3"/>
    <n v="1637.59"/>
    <n v="4912.7700000000004"/>
    <n v="491.36"/>
    <n v="4421.41"/>
    <n v="131"/>
    <s v="12:16:26"/>
    <n v="15"/>
    <n v="6"/>
    <n v="2025"/>
    <d v="2025-06-15T00:00:00"/>
    <s v="Cash"/>
    <s v="F"/>
    <n v="1"/>
    <s v="Jaipur"/>
    <x v="927"/>
  </r>
  <r>
    <n v="5096"/>
    <s v="FamilyFood Express"/>
    <d v="2023-09-16T00:00:00"/>
    <s v="Dairy"/>
    <s v="Eggs"/>
    <n v="2"/>
    <n v="148.57"/>
    <n v="297.14"/>
    <n v="29.88"/>
    <n v="267.26"/>
    <n v="408"/>
    <s v="18:27:14"/>
    <n v="16"/>
    <n v="9"/>
    <n v="2023"/>
    <d v="2023-09-16T00:00:00"/>
    <s v="Cash"/>
    <s v="F"/>
    <n v="4"/>
    <s v="Mumbai"/>
    <x v="928"/>
  </r>
  <r>
    <n v="8873"/>
    <s v="City Fresh Store"/>
    <d v="2025-06-15T00:00:00"/>
    <s v="Personal Care"/>
    <s v="Cheese"/>
    <n v="4"/>
    <n v="1639.25"/>
    <n v="6557"/>
    <n v="1311.4"/>
    <n v="5245.6"/>
    <n v="18"/>
    <s v="09:22:30"/>
    <n v="15"/>
    <n v="6"/>
    <n v="2025"/>
    <d v="2025-06-15T00:00:00"/>
    <s v="UPI"/>
    <s v="M"/>
    <n v="3"/>
    <s v="Pune"/>
    <x v="929"/>
  </r>
  <r>
    <n v="7081"/>
    <s v="QuickStop Market"/>
    <d v="2024-10-10T00:00:00"/>
    <s v="Meat &amp; Seafood"/>
    <s v="Bananas"/>
    <n v="3"/>
    <n v="1982.87"/>
    <n v="5948.61"/>
    <n v="0"/>
    <n v="5948.61"/>
    <n v="142"/>
    <s v="15:15:31"/>
    <n v="10"/>
    <n v="10"/>
    <n v="2024"/>
    <d v="2024-10-10T00:00:00"/>
    <s v="Cash"/>
    <s v="M"/>
    <n v="5"/>
    <s v="Delhi"/>
    <x v="930"/>
  </r>
  <r>
    <n v="2680"/>
    <s v="FreshMart Downtown"/>
    <d v="2025-02-09T00:00:00"/>
    <s v="Beverages"/>
    <s v="Bananas"/>
    <n v="1"/>
    <n v="2151.36"/>
    <n v="2151.36"/>
    <n v="181.77"/>
    <n v="1969.59"/>
    <n v="42"/>
    <s v="22:54:54"/>
    <n v="9"/>
    <n v="2"/>
    <n v="2025"/>
    <d v="2025-02-09T00:00:00"/>
    <s v="Credit Card"/>
    <s v="M"/>
    <n v="4"/>
    <s v="Chennai"/>
    <x v="931"/>
  </r>
  <r>
    <n v="9452"/>
    <s v="GreenGrocer Plaza"/>
    <d v="2025-05-29T00:00:00"/>
    <s v="Snacks &amp; Candy"/>
    <s v="Orange Juice"/>
    <n v="1"/>
    <n v="1037.5"/>
    <n v="1037.5"/>
    <n v="207.5"/>
    <n v="830"/>
    <n v="429"/>
    <s v="01:10:26"/>
    <n v="29"/>
    <n v="5"/>
    <n v="2025"/>
    <d v="2025-05-29T00:00:00"/>
    <s v="Cash"/>
    <s v="M"/>
    <n v="5"/>
    <s v="Ahmedabad"/>
    <x v="932"/>
  </r>
  <r>
    <n v="3042"/>
    <s v="GreenGrocer Plaza"/>
    <d v="2024-03-15T00:00:00"/>
    <s v="Household Items"/>
    <s v="Carrots"/>
    <n v="1"/>
    <n v="1338.79"/>
    <n v="1338.79"/>
    <n v="133.63"/>
    <n v="1205.1600000000001"/>
    <n v="424"/>
    <s v="20:16:28"/>
    <n v="15"/>
    <n v="3"/>
    <n v="2024"/>
    <d v="2024-03-15T00:00:00"/>
    <s v="Credit Card"/>
    <s v="F"/>
    <n v="4"/>
    <s v="Chennai"/>
    <x v="933"/>
  </r>
  <r>
    <n v="2374"/>
    <s v="GreenGrocer Plaza"/>
    <d v="2025-03-21T00:00:00"/>
    <s v="Bakery"/>
    <s v="Chicken Breast"/>
    <n v="3"/>
    <n v="874.82"/>
    <n v="2624.46"/>
    <n v="0"/>
    <n v="2624.46"/>
    <n v="299"/>
    <s v="07:46:51"/>
    <n v="21"/>
    <n v="3"/>
    <n v="2025"/>
    <d v="2025-03-21T00:00:00"/>
    <s v="Credit Card"/>
    <s v="F"/>
    <n v="3"/>
    <s v="Delhi"/>
    <x v="934"/>
  </r>
  <r>
    <n v="3626"/>
    <s v="FamilyFood Express"/>
    <d v="2024-03-05T00:00:00"/>
    <s v="Snacks &amp; Candy"/>
    <s v="Yogurt"/>
    <n v="2"/>
    <n v="339.47"/>
    <n v="678.94"/>
    <n v="68.06"/>
    <n v="610.88"/>
    <n v="109"/>
    <s v="10:01:06"/>
    <n v="5"/>
    <n v="3"/>
    <n v="2024"/>
    <d v="2024-03-05T00:00:00"/>
    <s v="UPI"/>
    <s v="M"/>
    <n v="1"/>
    <s v="Kolkata"/>
    <x v="935"/>
  </r>
  <r>
    <n v="8361"/>
    <s v="Corner Grocery"/>
    <d v="2025-07-10T00:00:00"/>
    <s v="Frozen Foods"/>
    <s v="Milk"/>
    <n v="4"/>
    <n v="1366.18"/>
    <n v="5464.72"/>
    <n v="820.04"/>
    <n v="4644.68"/>
    <n v="358"/>
    <s v="05:38:52"/>
    <n v="10"/>
    <n v="7"/>
    <n v="2025"/>
    <d v="2025-07-10T00:00:00"/>
    <s v="Cash"/>
    <s v="F"/>
    <n v="3"/>
    <s v="Jaipur"/>
    <x v="936"/>
  </r>
  <r>
    <n v="9410"/>
    <s v="ValuePlus Market"/>
    <d v="2023-11-29T00:00:00"/>
    <s v="Snacks &amp; Candy"/>
    <s v="Potatoes"/>
    <n v="2"/>
    <n v="2401.19"/>
    <n v="4802.38"/>
    <n v="720.44"/>
    <n v="4081.94"/>
    <n v="450"/>
    <s v="13:58:05"/>
    <n v="29"/>
    <n v="11"/>
    <n v="2023"/>
    <d v="2023-11-29T00:00:00"/>
    <s v="UPI"/>
    <s v="M"/>
    <n v="1"/>
    <s v="Mumbai"/>
    <x v="937"/>
  </r>
  <r>
    <n v="8167"/>
    <s v="City Fresh Store"/>
    <d v="2023-10-17T00:00:00"/>
    <s v="Canned Goods"/>
    <s v="Rice"/>
    <n v="1"/>
    <n v="1635.93"/>
    <n v="1635.93"/>
    <n v="0"/>
    <n v="1635.93"/>
    <n v="463"/>
    <s v="16:12:24"/>
    <n v="17"/>
    <n v="10"/>
    <n v="2023"/>
    <d v="2023-10-17T00:00:00"/>
    <s v="Cash"/>
    <s v="M"/>
    <n v="1"/>
    <s v="Jaipur"/>
    <x v="938"/>
  </r>
  <r>
    <n v="4637"/>
    <s v="FreshMart Downtown"/>
    <d v="2025-05-02T00:00:00"/>
    <s v="Health &amp; Wellness"/>
    <s v="Ground Beef"/>
    <n v="3"/>
    <n v="1412.66"/>
    <n v="4237.9799999999996"/>
    <n v="0"/>
    <n v="4237.9799999999996"/>
    <n v="158"/>
    <s v="10:20:21"/>
    <n v="2"/>
    <n v="5"/>
    <n v="2025"/>
    <d v="2025-05-02T00:00:00"/>
    <s v="Cash"/>
    <s v="F"/>
    <n v="5"/>
    <s v="Pune"/>
    <x v="939"/>
  </r>
  <r>
    <n v="8391"/>
    <s v="GreenGrocer Plaza"/>
    <d v="2025-06-24T00:00:00"/>
    <s v="Personal Care"/>
    <s v="Ground Beef"/>
    <n v="4"/>
    <n v="1017.58"/>
    <n v="4070.32"/>
    <n v="610.88"/>
    <n v="3459.44"/>
    <n v="465"/>
    <s v="03:38:18"/>
    <n v="24"/>
    <n v="6"/>
    <n v="2025"/>
    <d v="2025-06-24T00:00:00"/>
    <s v="Debit Card"/>
    <s v="F"/>
    <n v="3"/>
    <s v="Kolkata"/>
    <x v="940"/>
  </r>
  <r>
    <n v="6727"/>
    <s v="QuickStop Market"/>
    <d v="2025-07-29T00:00:00"/>
    <s v="Dairy"/>
    <s v="Ground Beef"/>
    <n v="3"/>
    <n v="588.47"/>
    <n v="1765.41"/>
    <n v="176.79"/>
    <n v="1588.62"/>
    <n v="455"/>
    <s v="02:52:21"/>
    <n v="29"/>
    <n v="7"/>
    <n v="2025"/>
    <d v="2025-07-29T00:00:00"/>
    <s v="Cash"/>
    <s v="F"/>
    <n v="4"/>
    <s v="Mumbai"/>
    <x v="941"/>
  </r>
  <r>
    <n v="1436"/>
    <s v="MegaMart Westside"/>
    <d v="2024-06-24T00:00:00"/>
    <s v="Health &amp; Wellness"/>
    <s v="Cheese"/>
    <n v="1"/>
    <n v="742.02"/>
    <n v="742.02"/>
    <n v="73.87"/>
    <n v="668.15"/>
    <n v="41"/>
    <s v="23:49:34"/>
    <n v="24"/>
    <n v="6"/>
    <n v="2024"/>
    <d v="2024-06-24T00:00:00"/>
    <s v="UPI"/>
    <s v="F"/>
    <n v="3"/>
    <s v="Hyderabad"/>
    <x v="942"/>
  </r>
  <r>
    <n v="1872"/>
    <s v="Corner Grocery"/>
    <d v="2024-06-09T00:00:00"/>
    <s v="Canned Goods"/>
    <s v="Cheese"/>
    <n v="1"/>
    <n v="2066.6999999999998"/>
    <n v="2066.6999999999998"/>
    <n v="105.41"/>
    <n v="1961.29"/>
    <n v="357"/>
    <s v="07:02:25"/>
    <n v="9"/>
    <n v="6"/>
    <n v="2024"/>
    <d v="2024-06-09T00:00:00"/>
    <s v="Credit Card"/>
    <s v="F"/>
    <n v="5"/>
    <s v="Jaipur"/>
    <x v="943"/>
  </r>
  <r>
    <n v="9224"/>
    <s v="Corner Grocery"/>
    <d v="2024-05-23T00:00:00"/>
    <s v="Household Items"/>
    <s v="Onions"/>
    <n v="3"/>
    <n v="1172.79"/>
    <n v="3518.37"/>
    <n v="0"/>
    <n v="3518.37"/>
    <n v="14"/>
    <s v="22:43:33"/>
    <n v="23"/>
    <n v="5"/>
    <n v="2024"/>
    <d v="2024-05-23T00:00:00"/>
    <s v="Cash"/>
    <s v="F"/>
    <n v="1"/>
    <s v="Chennai"/>
    <x v="944"/>
  </r>
  <r>
    <n v="4862"/>
    <s v="SuperSave Central"/>
    <d v="2024-06-01T00:00:00"/>
    <s v="Health &amp; Wellness"/>
    <s v="Salmon"/>
    <n v="2"/>
    <n v="89.64"/>
    <n v="179.28"/>
    <n v="26.56"/>
    <n v="152.72"/>
    <n v="102"/>
    <s v="16:12:27"/>
    <n v="1"/>
    <n v="6"/>
    <n v="2024"/>
    <d v="2024-06-01T00:00:00"/>
    <s v="Debit Card"/>
    <s v="F"/>
    <n v="5"/>
    <s v="Lucknow"/>
    <x v="945"/>
  </r>
  <r>
    <n v="2337"/>
    <s v="GreenGrocer Plaza"/>
    <d v="2024-05-24T00:00:00"/>
    <s v="Dairy"/>
    <s v="Apples"/>
    <n v="2"/>
    <n v="1324.68"/>
    <n v="2649.36"/>
    <n v="310.42"/>
    <n v="2338.94"/>
    <n v="496"/>
    <s v="22:50:34"/>
    <n v="24"/>
    <n v="5"/>
    <n v="2024"/>
    <d v="2024-05-24T00:00:00"/>
    <s v="UPI"/>
    <s v="M"/>
    <n v="2"/>
    <s v="Pune"/>
    <x v="946"/>
  </r>
  <r>
    <n v="4678"/>
    <s v="MegaMart Westside"/>
    <d v="2023-08-28T00:00:00"/>
    <s v="Beverages"/>
    <s v="Potatoes"/>
    <n v="2"/>
    <n v="709.65"/>
    <n v="1419.3"/>
    <n v="212.48"/>
    <n v="1206.82"/>
    <n v="351"/>
    <s v="13:35:41"/>
    <n v="28"/>
    <n v="8"/>
    <n v="2023"/>
    <d v="2023-08-28T00:00:00"/>
    <s v="Cash"/>
    <s v="M"/>
    <n v="2"/>
    <s v="Pune"/>
    <x v="947"/>
  </r>
  <r>
    <n v="6221"/>
    <s v="FamilyFood Express"/>
    <d v="2025-07-29T00:00:00"/>
    <s v="Dairy"/>
    <s v="Cheese"/>
    <n v="3"/>
    <n v="519.58000000000004"/>
    <n v="1558.74"/>
    <n v="157.69999999999999"/>
    <n v="1401.04"/>
    <n v="448"/>
    <s v="19:52:17"/>
    <n v="29"/>
    <n v="7"/>
    <n v="2025"/>
    <d v="2025-07-29T00:00:00"/>
    <s v="UPI"/>
    <s v="M"/>
    <n v="4"/>
    <s v="Mumbai"/>
    <x v="948"/>
  </r>
  <r>
    <n v="2623"/>
    <s v="FreshMart Downtown"/>
    <d v="2025-05-19T00:00:00"/>
    <s v="Personal Care"/>
    <s v="Ground Beef"/>
    <n v="1"/>
    <n v="2426.92"/>
    <n v="2426.92"/>
    <n v="0"/>
    <n v="2426.92"/>
    <n v="101"/>
    <s v="09:54:18"/>
    <n v="19"/>
    <n v="5"/>
    <n v="2025"/>
    <d v="2025-05-19T00:00:00"/>
    <s v="Debit Card"/>
    <s v="M"/>
    <n v="5"/>
    <s v="Hyderabad"/>
    <x v="949"/>
  </r>
  <r>
    <n v="6493"/>
    <s v="SuperSave Central"/>
    <d v="2025-04-12T00:00:00"/>
    <s v="Produce"/>
    <s v="Tomatoes"/>
    <n v="5"/>
    <n v="1114.69"/>
    <n v="5573.45"/>
    <n v="400.89"/>
    <n v="5172.5600000000004"/>
    <n v="133"/>
    <s v="21:48:17"/>
    <n v="12"/>
    <n v="4"/>
    <n v="2025"/>
    <d v="2025-04-12T00:00:00"/>
    <s v="Debit Card"/>
    <s v="M"/>
    <n v="4"/>
    <s v="Ahmedabad"/>
    <x v="950"/>
  </r>
  <r>
    <n v="3392"/>
    <s v="SuperSave Central"/>
    <d v="2023-11-21T00:00:00"/>
    <s v="Household Items"/>
    <s v="Chicken Breast"/>
    <n v="1"/>
    <n v="1811.89"/>
    <n v="1811.89"/>
    <n v="0"/>
    <n v="1811.89"/>
    <n v="222"/>
    <s v="21:07:19"/>
    <n v="21"/>
    <n v="11"/>
    <n v="2023"/>
    <d v="2023-11-21T00:00:00"/>
    <s v="UPI"/>
    <s v="F"/>
    <n v="4"/>
    <s v="Jaipur"/>
    <x v="951"/>
  </r>
  <r>
    <n v="1627"/>
    <s v="City Fresh Store"/>
    <d v="2024-03-16T00:00:00"/>
    <s v="Dairy"/>
    <s v="Ground Beef"/>
    <n v="2"/>
    <n v="541.16"/>
    <n v="1082.32"/>
    <n v="162.68"/>
    <n v="919.64"/>
    <n v="441"/>
    <s v="21:49:54"/>
    <n v="16"/>
    <n v="3"/>
    <n v="2024"/>
    <d v="2024-03-16T00:00:00"/>
    <s v="Cash"/>
    <s v="M"/>
    <n v="2"/>
    <s v="Bangalore"/>
    <x v="952"/>
  </r>
  <r>
    <n v="8740"/>
    <s v="City Fresh Store"/>
    <d v="2025-01-28T00:00:00"/>
    <s v="Snacks &amp; Candy"/>
    <s v="Eggs"/>
    <n v="4"/>
    <n v="2143.06"/>
    <n v="8572.24"/>
    <n v="1285.67"/>
    <n v="7286.57"/>
    <n v="307"/>
    <s v="14:43:46"/>
    <n v="28"/>
    <n v="1"/>
    <n v="2025"/>
    <d v="2025-01-28T00:00:00"/>
    <s v="Credit Card"/>
    <s v="M"/>
    <n v="4"/>
    <s v="Ahmedabad"/>
    <x v="953"/>
  </r>
  <r>
    <n v="3273"/>
    <s v="FamilyFood Express"/>
    <d v="2025-03-18T00:00:00"/>
    <s v="Snacks &amp; Candy"/>
    <s v="Apples"/>
    <n v="4"/>
    <n v="1989.51"/>
    <n v="7958.04"/>
    <n v="1193.54"/>
    <n v="6764.5"/>
    <n v="14"/>
    <s v="09:20:00"/>
    <n v="18"/>
    <n v="3"/>
    <n v="2025"/>
    <d v="2025-03-18T00:00:00"/>
    <s v="Debit Card"/>
    <s v="M"/>
    <n v="2"/>
    <s v="Pune"/>
    <x v="954"/>
  </r>
  <r>
    <n v="8685"/>
    <s v="FamilyFood Express"/>
    <d v="2024-07-20T00:00:00"/>
    <s v="Household Items"/>
    <s v="Salmon"/>
    <n v="2"/>
    <n v="971.93"/>
    <n v="1943.86"/>
    <n v="86.32"/>
    <n v="1857.54"/>
    <n v="350"/>
    <s v="05:37:00"/>
    <n v="20"/>
    <n v="7"/>
    <n v="2024"/>
    <d v="2024-07-20T00:00:00"/>
    <s v="Cash"/>
    <s v="M"/>
    <n v="1"/>
    <s v="Pune"/>
    <x v="955"/>
  </r>
  <r>
    <n v="1086"/>
    <s v="SuperSave Central"/>
    <d v="2025-07-10T00:00:00"/>
    <s v="Canned Goods"/>
    <s v="Tomatoes"/>
    <n v="2"/>
    <n v="1799.44"/>
    <n v="3598.88"/>
    <n v="0"/>
    <n v="3598.88"/>
    <n v="362"/>
    <s v="14:48:31"/>
    <n v="10"/>
    <n v="7"/>
    <n v="2025"/>
    <d v="2025-07-10T00:00:00"/>
    <s v="Cash"/>
    <s v="M"/>
    <n v="5"/>
    <s v="Delhi"/>
    <x v="956"/>
  </r>
  <r>
    <n v="2298"/>
    <s v="QuickStop Market"/>
    <d v="2023-08-21T00:00:00"/>
    <s v="Dairy"/>
    <s v="Chicken Breast"/>
    <n v="5"/>
    <n v="223.27"/>
    <n v="1116.3499999999999"/>
    <n v="111.22"/>
    <n v="1005.13"/>
    <n v="170"/>
    <s v="03:00:52"/>
    <n v="21"/>
    <n v="8"/>
    <n v="2023"/>
    <d v="2023-08-21T00:00:00"/>
    <s v="Credit Card"/>
    <s v="M"/>
    <n v="4"/>
    <s v="Mumbai"/>
    <x v="957"/>
  </r>
  <r>
    <n v="5193"/>
    <s v="MegaMart Westside"/>
    <d v="2024-01-21T00:00:00"/>
    <s v="Household Items"/>
    <s v="Milk"/>
    <n v="1"/>
    <n v="693.05"/>
    <n v="693.05"/>
    <n v="103.75"/>
    <n v="589.29999999999995"/>
    <n v="317"/>
    <s v="03:57:00"/>
    <n v="21"/>
    <n v="1"/>
    <n v="2024"/>
    <d v="2024-01-21T00:00:00"/>
    <s v="Debit Card"/>
    <s v="M"/>
    <n v="2"/>
    <s v="Lucknow"/>
    <x v="958"/>
  </r>
  <r>
    <n v="3449"/>
    <s v="Corner Grocery"/>
    <d v="2024-10-06T00:00:00"/>
    <s v="Health &amp; Wellness"/>
    <s v="Orange Juice"/>
    <n v="2"/>
    <n v="2411.98"/>
    <n v="4823.96"/>
    <n v="142.76"/>
    <n v="4681.2"/>
    <n v="286"/>
    <s v="11:15:47"/>
    <n v="6"/>
    <n v="10"/>
    <n v="2024"/>
    <d v="2024-10-06T00:00:00"/>
    <s v="Debit Card"/>
    <s v="F"/>
    <n v="3"/>
    <s v="Hyderabad"/>
    <x v="959"/>
  </r>
  <r>
    <n v="9647"/>
    <s v="SuperSave Central"/>
    <d v="2024-06-30T00:00:00"/>
    <s v="Personal Care"/>
    <s v="Potatoes"/>
    <n v="3"/>
    <n v="2195.35"/>
    <n v="6586.05"/>
    <n v="987.7"/>
    <n v="5598.35"/>
    <n v="67"/>
    <s v="19:29:20"/>
    <n v="30"/>
    <n v="6"/>
    <n v="2024"/>
    <d v="2024-06-30T00:00:00"/>
    <s v="Cash"/>
    <s v="F"/>
    <n v="4"/>
    <s v="Bangalore"/>
    <x v="960"/>
  </r>
  <r>
    <n v="2821"/>
    <s v="ValuePlus Market"/>
    <d v="2025-03-31T00:00:00"/>
    <s v="Snacks &amp; Candy"/>
    <s v="Eggs"/>
    <n v="3"/>
    <n v="363.54"/>
    <n v="1090.6199999999999"/>
    <n v="108.73"/>
    <n v="981.89"/>
    <n v="22"/>
    <s v="02:10:05"/>
    <n v="31"/>
    <n v="3"/>
    <n v="2025"/>
    <d v="2025-03-31T00:00:00"/>
    <s v="Cash"/>
    <s v="M"/>
    <n v="1"/>
    <s v="Ahmedabad"/>
    <x v="961"/>
  </r>
  <r>
    <n v="5720"/>
    <s v="QuickStop Market"/>
    <d v="2024-02-07T00:00:00"/>
    <s v="Canned Goods"/>
    <s v="Cheese"/>
    <n v="3"/>
    <n v="2255.11"/>
    <n v="6765.33"/>
    <n v="186.75"/>
    <n v="6578.58"/>
    <n v="134"/>
    <s v="17:58:32"/>
    <n v="7"/>
    <n v="2"/>
    <n v="2024"/>
    <d v="2024-02-07T00:00:00"/>
    <s v="Credit Card"/>
    <s v="F"/>
    <n v="1"/>
    <s v="Jaipur"/>
    <x v="962"/>
  </r>
  <r>
    <n v="5934"/>
    <s v="SuperSave Central"/>
    <d v="2023-11-09T00:00:00"/>
    <s v="Canned Goods"/>
    <s v="Potatoes"/>
    <n v="2"/>
    <n v="1419.3"/>
    <n v="2838.6"/>
    <n v="146.08000000000001"/>
    <n v="2692.52"/>
    <n v="472"/>
    <s v="19:54:03"/>
    <n v="9"/>
    <n v="11"/>
    <n v="2023"/>
    <d v="2023-11-09T00:00:00"/>
    <s v="Credit Card"/>
    <s v="F"/>
    <n v="3"/>
    <s v="Mumbai"/>
    <x v="963"/>
  </r>
  <r>
    <n v="1782"/>
    <s v="FreshMart Downtown"/>
    <d v="2024-02-08T00:00:00"/>
    <s v="Bakery"/>
    <s v="Apples"/>
    <n v="1"/>
    <n v="1214.29"/>
    <n v="1214.29"/>
    <n v="121.18"/>
    <n v="1093.1099999999999"/>
    <n v="83"/>
    <s v="13:57:26"/>
    <n v="8"/>
    <n v="2"/>
    <n v="2024"/>
    <d v="2024-02-08T00:00:00"/>
    <s v="Debit Card"/>
    <s v="F"/>
    <n v="2"/>
    <s v="Jaipur"/>
    <x v="964"/>
  </r>
  <r>
    <n v="7878"/>
    <s v="GreenGrocer Plaza"/>
    <d v="2024-12-15T00:00:00"/>
    <s v="Beverages"/>
    <s v="Milk"/>
    <n v="4"/>
    <n v="940.39"/>
    <n v="3761.56"/>
    <n v="375.99"/>
    <n v="3385.57"/>
    <n v="363"/>
    <s v="12:35:59"/>
    <n v="15"/>
    <n v="12"/>
    <n v="2024"/>
    <d v="2024-12-15T00:00:00"/>
    <s v="UPI"/>
    <s v="F"/>
    <n v="4"/>
    <s v="Kolkata"/>
    <x v="965"/>
  </r>
  <r>
    <n v="8489"/>
    <s v="City Fresh Store"/>
    <d v="2023-09-24T00:00:00"/>
    <s v="Dairy"/>
    <s v="Eggs"/>
    <n v="1"/>
    <n v="923.79"/>
    <n v="923.79"/>
    <n v="185.09"/>
    <n v="738.7"/>
    <n v="104"/>
    <s v="10:07:32"/>
    <n v="24"/>
    <n v="9"/>
    <n v="2023"/>
    <d v="2023-09-24T00:00:00"/>
    <s v="Debit Card"/>
    <s v="M"/>
    <n v="2"/>
    <s v="Delhi"/>
    <x v="966"/>
  </r>
  <r>
    <n v="2816"/>
    <s v="SuperSave Central"/>
    <d v="2025-05-17T00:00:00"/>
    <s v="Personal Care"/>
    <s v="Pasta"/>
    <n v="5"/>
    <n v="2226.89"/>
    <n v="11134.45"/>
    <n v="414.17"/>
    <n v="10720.28"/>
    <n v="299"/>
    <s v="21:48:39"/>
    <n v="17"/>
    <n v="5"/>
    <n v="2025"/>
    <d v="2025-05-17T00:00:00"/>
    <s v="Cash"/>
    <s v="F"/>
    <n v="1"/>
    <s v="Hyderabad"/>
    <x v="967"/>
  </r>
  <r>
    <n v="9189"/>
    <s v="FreshMart Downtown"/>
    <d v="2024-11-12T00:00:00"/>
    <s v="Personal Care"/>
    <s v="Apples"/>
    <n v="4"/>
    <n v="2297.44"/>
    <n v="9189.76"/>
    <n v="0"/>
    <n v="9189.76"/>
    <n v="126"/>
    <s v="11:08:41"/>
    <n v="12"/>
    <n v="11"/>
    <n v="2024"/>
    <d v="2024-11-12T00:00:00"/>
    <s v="Debit Card"/>
    <s v="F"/>
    <n v="2"/>
    <s v="Delhi"/>
    <x v="968"/>
  </r>
  <r>
    <n v="9782"/>
    <s v="GreenGrocer Plaza"/>
    <d v="2023-08-19T00:00:00"/>
    <s v="Canned Goods"/>
    <s v="Bananas"/>
    <n v="3"/>
    <n v="1722.25"/>
    <n v="5166.75"/>
    <n v="517.09"/>
    <n v="4649.66"/>
    <n v="348"/>
    <s v="22:36:24"/>
    <n v="19"/>
    <n v="8"/>
    <n v="2023"/>
    <d v="2023-08-19T00:00:00"/>
    <s v="UPI"/>
    <s v="F"/>
    <n v="1"/>
    <s v="Pune"/>
    <x v="969"/>
  </r>
  <r>
    <n v="9443"/>
    <s v="MegaMart Westside"/>
    <d v="2024-10-26T00:00:00"/>
    <s v="Household Items"/>
    <s v="Chicken Breast"/>
    <n v="3"/>
    <n v="452.35"/>
    <n v="1357.05"/>
    <n v="0"/>
    <n v="1357.05"/>
    <n v="41"/>
    <s v="00:27:09"/>
    <n v="26"/>
    <n v="10"/>
    <n v="2024"/>
    <d v="2024-10-26T00:00:00"/>
    <s v="Credit Card"/>
    <s v="M"/>
    <n v="2"/>
    <s v="Delhi"/>
    <x v="970"/>
  </r>
  <r>
    <n v="4963"/>
    <s v="City Fresh Store"/>
    <d v="2025-02-15T00:00:00"/>
    <s v="Beverages"/>
    <s v="Pasta"/>
    <n v="5"/>
    <n v="1665.81"/>
    <n v="8329.0499999999993"/>
    <n v="0"/>
    <n v="8329.0499999999993"/>
    <n v="168"/>
    <s v="16:21:10"/>
    <n v="15"/>
    <n v="2"/>
    <n v="2025"/>
    <d v="2025-02-15T00:00:00"/>
    <s v="UPI"/>
    <s v="M"/>
    <n v="3"/>
    <s v="Bangalore"/>
    <x v="971"/>
  </r>
  <r>
    <n v="3352"/>
    <s v="City Fresh Store"/>
    <d v="2024-03-20T00:00:00"/>
    <s v="Canned Goods"/>
    <s v="Eggs"/>
    <n v="2"/>
    <n v="2160.4899999999998"/>
    <n v="4320.9799999999996"/>
    <n v="648.23"/>
    <n v="3672.75"/>
    <n v="410"/>
    <s v="00:22:21"/>
    <n v="20"/>
    <n v="3"/>
    <n v="2024"/>
    <d v="2024-03-20T00:00:00"/>
    <s v="UPI"/>
    <s v="M"/>
    <n v="5"/>
    <s v="Pune"/>
    <x v="972"/>
  </r>
  <r>
    <n v="8032"/>
    <s v="FreshMart Downtown"/>
    <d v="2023-08-08T00:00:00"/>
    <s v="Dairy"/>
    <s v="Onions"/>
    <n v="5"/>
    <n v="1000.15"/>
    <n v="5000.75"/>
    <n v="1000.15"/>
    <n v="4000.6"/>
    <n v="204"/>
    <s v="20:16:47"/>
    <n v="8"/>
    <n v="8"/>
    <n v="2023"/>
    <d v="2023-08-08T00:00:00"/>
    <s v="UPI"/>
    <s v="M"/>
    <n v="3"/>
    <s v="Ahmedabad"/>
    <x v="973"/>
  </r>
  <r>
    <n v="6780"/>
    <s v="FamilyFood Express"/>
    <d v="2024-02-09T00:00:00"/>
    <s v="Snacks &amp; Candy"/>
    <s v="Bread"/>
    <n v="1"/>
    <n v="2133.9299999999998"/>
    <n v="2133.9299999999998"/>
    <n v="213.31"/>
    <n v="1920.62"/>
    <n v="83"/>
    <s v="22:47:36"/>
    <n v="9"/>
    <n v="2"/>
    <n v="2024"/>
    <d v="2024-02-09T00:00:00"/>
    <s v="Credit Card"/>
    <s v="M"/>
    <n v="3"/>
    <s v="Jaipur"/>
    <x v="974"/>
  </r>
  <r>
    <n v="7825"/>
    <s v="QuickStop Market"/>
    <d v="2023-12-30T00:00:00"/>
    <s v="Health &amp; Wellness"/>
    <s v="Eggs"/>
    <n v="1"/>
    <n v="800.95"/>
    <n v="800.95"/>
    <n v="0"/>
    <n v="800.95"/>
    <n v="410"/>
    <s v="16:24:06"/>
    <n v="30"/>
    <n v="12"/>
    <n v="2023"/>
    <d v="2023-12-30T00:00:00"/>
    <s v="UPI"/>
    <s v="M"/>
    <n v="5"/>
    <s v="Ahmedabad"/>
    <x v="975"/>
  </r>
  <r>
    <n v="2402"/>
    <s v="QuickStop Market"/>
    <d v="2024-09-16T00:00:00"/>
    <s v="Health &amp; Wellness"/>
    <s v="Eggs"/>
    <n v="3"/>
    <n v="1684.07"/>
    <n v="5052.21"/>
    <n v="149.4"/>
    <n v="4902.8100000000004"/>
    <n v="426"/>
    <s v="23:02:55"/>
    <n v="16"/>
    <n v="9"/>
    <n v="2024"/>
    <d v="2024-09-16T00:00:00"/>
    <s v="UPI"/>
    <s v="M"/>
    <n v="5"/>
    <s v="Kolkata"/>
    <x v="976"/>
  </r>
  <r>
    <n v="6908"/>
    <s v="City Fresh Store"/>
    <d v="2023-09-28T00:00:00"/>
    <s v="Snacks &amp; Candy"/>
    <s v="Potatoes"/>
    <n v="3"/>
    <n v="1437.56"/>
    <n v="4312.68"/>
    <n v="431.6"/>
    <n v="3881.08"/>
    <n v="216"/>
    <s v="11:07:31"/>
    <n v="28"/>
    <n v="9"/>
    <n v="2023"/>
    <d v="2023-09-28T00:00:00"/>
    <s v="UPI"/>
    <s v="F"/>
    <n v="4"/>
    <s v="Pune"/>
    <x v="977"/>
  </r>
  <r>
    <n v="9618"/>
    <s v="MegaMart Westside"/>
    <d v="2024-10-02T00:00:00"/>
    <s v="Household Items"/>
    <s v="Apples"/>
    <n v="4"/>
    <n v="1600.24"/>
    <n v="6400.96"/>
    <n v="196.71"/>
    <n v="6204.25"/>
    <n v="47"/>
    <s v="04:12:29"/>
    <n v="2"/>
    <n v="10"/>
    <n v="2024"/>
    <d v="2024-10-02T00:00:00"/>
    <s v="Cash"/>
    <s v="F"/>
    <n v="4"/>
    <s v="Pune"/>
    <x v="978"/>
  </r>
  <r>
    <n v="9312"/>
    <s v="City Fresh Store"/>
    <d v="2025-04-08T00:00:00"/>
    <s v="Health &amp; Wellness"/>
    <s v="Ground Beef"/>
    <n v="2"/>
    <n v="2322.34"/>
    <n v="4644.68"/>
    <n v="696.37"/>
    <n v="3948.31"/>
    <n v="269"/>
    <s v="13:32:12"/>
    <n v="8"/>
    <n v="4"/>
    <n v="2025"/>
    <d v="2025-04-08T00:00:00"/>
    <s v="UPI"/>
    <s v="F"/>
    <n v="3"/>
    <s v="Hyderabad"/>
    <x v="979"/>
  </r>
  <r>
    <n v="9316"/>
    <s v="City Fresh Store"/>
    <d v="2024-10-10T00:00:00"/>
    <s v="Snacks &amp; Candy"/>
    <s v="Bread"/>
    <n v="4"/>
    <n v="805.1"/>
    <n v="3220.4"/>
    <n v="644.08000000000004"/>
    <n v="2576.3200000000002"/>
    <n v="65"/>
    <s v="21:23:55"/>
    <n v="10"/>
    <n v="10"/>
    <n v="2024"/>
    <d v="2024-10-10T00:00:00"/>
    <s v="Credit Card"/>
    <s v="M"/>
    <n v="3"/>
    <s v="Pune"/>
    <x v="980"/>
  </r>
  <r>
    <n v="1333"/>
    <s v="ValuePlus Market"/>
    <d v="2024-06-05T00:00:00"/>
    <s v="Snacks &amp; Candy"/>
    <s v="Rice"/>
    <n v="5"/>
    <n v="196.71"/>
    <n v="983.55"/>
    <n v="118.69"/>
    <n v="864.86"/>
    <n v="39"/>
    <s v="11:57:27"/>
    <n v="5"/>
    <n v="6"/>
    <n v="2024"/>
    <d v="2024-06-05T00:00:00"/>
    <s v="UPI"/>
    <s v="M"/>
    <n v="1"/>
    <s v="Jaipur"/>
    <x v="981"/>
  </r>
  <r>
    <n v="8702"/>
    <s v="Corner Grocery"/>
    <d v="2023-09-09T00:00:00"/>
    <s v="Snacks &amp; Candy"/>
    <s v="Chicken Breast"/>
    <n v="4"/>
    <n v="1672.45"/>
    <n v="6689.8"/>
    <n v="1003.47"/>
    <n v="5686.33"/>
    <n v="291"/>
    <s v="08:04:50"/>
    <n v="9"/>
    <n v="9"/>
    <n v="2023"/>
    <d v="2023-09-09T00:00:00"/>
    <s v="UPI"/>
    <s v="M"/>
    <n v="1"/>
    <s v="Bangalore"/>
    <x v="982"/>
  </r>
  <r>
    <n v="7338"/>
    <s v="QuickStop Market"/>
    <d v="2024-05-22T00:00:00"/>
    <s v="Household Items"/>
    <s v="Bread"/>
    <n v="5"/>
    <n v="121.18"/>
    <n v="605.9"/>
    <n v="121.18"/>
    <n v="484.72"/>
    <n v="379"/>
    <s v="18:56:05"/>
    <n v="22"/>
    <n v="5"/>
    <n v="2024"/>
    <d v="2024-05-22T00:00:00"/>
    <s v="Credit Card"/>
    <s v="M"/>
    <n v="4"/>
    <s v="Kolkata"/>
    <x v="983"/>
  </r>
  <r>
    <n v="5155"/>
    <s v="SuperSave Central"/>
    <d v="2025-03-09T00:00:00"/>
    <s v="Snacks &amp; Candy"/>
    <s v="Milk"/>
    <n v="1"/>
    <n v="1083.98"/>
    <n v="1083.98"/>
    <n v="162.68"/>
    <n v="921.3"/>
    <n v="360"/>
    <s v="12:04:46"/>
    <n v="9"/>
    <n v="3"/>
    <n v="2025"/>
    <d v="2025-03-09T00:00:00"/>
    <s v="UPI"/>
    <s v="M"/>
    <n v="4"/>
    <s v="Hyderabad"/>
    <x v="984"/>
  </r>
  <r>
    <n v="1266"/>
    <s v="City Fresh Store"/>
    <d v="2024-05-10T00:00:00"/>
    <s v="Health &amp; Wellness"/>
    <s v="Salmon"/>
    <n v="5"/>
    <n v="2026.86"/>
    <n v="10134.299999999999"/>
    <n v="2026.86"/>
    <n v="8107.44"/>
    <n v="174"/>
    <s v="15:10:42"/>
    <n v="10"/>
    <n v="5"/>
    <n v="2024"/>
    <d v="2024-05-10T00:00:00"/>
    <s v="Credit Card"/>
    <s v="F"/>
    <n v="1"/>
    <s v="Lucknow"/>
    <x v="985"/>
  </r>
  <r>
    <n v="2106"/>
    <s v="SuperSave Central"/>
    <d v="2024-04-30T00:00:00"/>
    <s v="Dairy"/>
    <s v="Pasta"/>
    <n v="1"/>
    <n v="1126.31"/>
    <n v="1126.31"/>
    <n v="112.88"/>
    <n v="1013.43"/>
    <n v="9"/>
    <s v="04:50:13"/>
    <n v="30"/>
    <n v="4"/>
    <n v="2024"/>
    <d v="2024-04-30T00:00:00"/>
    <s v="UPI"/>
    <s v="F"/>
    <n v="1"/>
    <s v="Jaipur"/>
    <x v="986"/>
  </r>
  <r>
    <n v="4950"/>
    <s v="GreenGrocer Plaza"/>
    <d v="2025-02-26T00:00:00"/>
    <s v="Produce"/>
    <s v="Apples"/>
    <n v="4"/>
    <n v="1189.3900000000001"/>
    <n v="4757.5600000000004"/>
    <n v="713.8"/>
    <n v="4043.76"/>
    <n v="207"/>
    <s v="11:07:26"/>
    <n v="26"/>
    <n v="2"/>
    <n v="2025"/>
    <d v="2025-02-26T00:00:00"/>
    <s v="Credit Card"/>
    <s v="M"/>
    <n v="2"/>
    <s v="Bangalore"/>
    <x v="987"/>
  </r>
  <r>
    <n v="2698"/>
    <s v="MegaMart Westside"/>
    <d v="2025-03-28T00:00:00"/>
    <s v="Health &amp; Wellness"/>
    <s v="Tomatoes"/>
    <n v="3"/>
    <n v="292.99"/>
    <n v="878.97"/>
    <n v="175.96"/>
    <n v="703.01"/>
    <n v="69"/>
    <s v="00:04:51"/>
    <n v="28"/>
    <n v="3"/>
    <n v="2025"/>
    <d v="2025-03-28T00:00:00"/>
    <s v="UPI"/>
    <s v="M"/>
    <n v="2"/>
    <s v="Delhi"/>
    <x v="988"/>
  </r>
  <r>
    <n v="6447"/>
    <s v="GreenGrocer Plaza"/>
    <d v="2023-11-18T00:00:00"/>
    <s v="Produce"/>
    <s v="Yogurt"/>
    <n v="1"/>
    <n v="585.98"/>
    <n v="585.98"/>
    <n v="0"/>
    <n v="585.98"/>
    <n v="332"/>
    <s v="00:49:23"/>
    <n v="18"/>
    <n v="11"/>
    <n v="2023"/>
    <d v="2023-11-18T00:00:00"/>
    <s v="UPI"/>
    <s v="M"/>
    <n v="1"/>
    <s v="Ahmedabad"/>
    <x v="989"/>
  </r>
  <r>
    <n v="1726"/>
    <s v="FamilyFood Express"/>
    <d v="2024-05-06T00:00:00"/>
    <s v="Snacks &amp; Candy"/>
    <s v="Onions"/>
    <n v="2"/>
    <n v="289.67"/>
    <n v="579.34"/>
    <n v="116.2"/>
    <n v="463.14"/>
    <n v="394"/>
    <s v="19:23:12"/>
    <n v="6"/>
    <n v="5"/>
    <n v="2024"/>
    <d v="2024-05-06T00:00:00"/>
    <s v="Cash"/>
    <s v="M"/>
    <n v="2"/>
    <s v="Kolkata"/>
    <x v="990"/>
  </r>
  <r>
    <n v="9945"/>
    <s v="City Fresh Store"/>
    <d v="2024-04-25T00:00:00"/>
    <s v="Snacks &amp; Candy"/>
    <s v="Bananas"/>
    <n v="1"/>
    <n v="482.23"/>
    <n v="482.23"/>
    <n v="48.14"/>
    <n v="434.09"/>
    <n v="78"/>
    <s v="00:27:20"/>
    <n v="25"/>
    <n v="4"/>
    <n v="2024"/>
    <d v="2024-04-25T00:00:00"/>
    <s v="Cash"/>
    <s v="F"/>
    <n v="5"/>
    <s v="Chennai"/>
    <x v="991"/>
  </r>
  <r>
    <n v="3868"/>
    <s v="City Fresh Store"/>
    <d v="2025-05-12T00:00:00"/>
    <s v="Produce"/>
    <s v="Salmon"/>
    <n v="5"/>
    <n v="666.49"/>
    <n v="3332.45"/>
    <n v="194.22"/>
    <n v="3138.23"/>
    <n v="150"/>
    <s v="01:08:35"/>
    <n v="12"/>
    <n v="5"/>
    <n v="2025"/>
    <d v="2025-05-12T00:00:00"/>
    <s v="UPI"/>
    <s v="M"/>
    <n v="4"/>
    <s v="Jaipur"/>
    <x v="992"/>
  </r>
  <r>
    <n v="8612"/>
    <s v="GreenGrocer Plaza"/>
    <d v="2025-01-28T00:00:00"/>
    <s v="Health &amp; Wellness"/>
    <s v="Cheese"/>
    <n v="4"/>
    <n v="2124.8000000000002"/>
    <n v="8499.2000000000007"/>
    <n v="244.85"/>
    <n v="8254.35"/>
    <n v="377"/>
    <s v="14:54:32"/>
    <n v="28"/>
    <n v="1"/>
    <n v="2025"/>
    <d v="2025-01-28T00:00:00"/>
    <s v="UPI"/>
    <s v="M"/>
    <n v="4"/>
    <s v="Ahmedabad"/>
    <x v="993"/>
  </r>
  <r>
    <n v="8840"/>
    <s v="City Fresh Store"/>
    <d v="2024-12-09T00:00:00"/>
    <s v="Personal Care"/>
    <s v="Potatoes"/>
    <n v="2"/>
    <n v="1801.1"/>
    <n v="3602.2"/>
    <n v="360.22"/>
    <n v="3241.98"/>
    <n v="270"/>
    <s v="13:58:56"/>
    <n v="9"/>
    <n v="12"/>
    <n v="2024"/>
    <d v="2024-12-09T00:00:00"/>
    <s v="Debit Card"/>
    <s v="M"/>
    <n v="1"/>
    <s v="Mumbai"/>
    <x v="994"/>
  </r>
  <r>
    <n v="3986"/>
    <s v="MegaMart Westside"/>
    <d v="2025-04-28T00:00:00"/>
    <s v="Personal Care"/>
    <s v="Bread"/>
    <n v="3"/>
    <n v="2231.04"/>
    <n v="6693.12"/>
    <n v="247.34"/>
    <n v="6445.78"/>
    <n v="213"/>
    <s v="16:20:52"/>
    <n v="28"/>
    <n v="4"/>
    <n v="2025"/>
    <d v="2025-04-28T00:00:00"/>
    <s v="Credit Card"/>
    <s v="M"/>
    <n v="3"/>
    <s v="Ahmedabad"/>
    <x v="995"/>
  </r>
  <r>
    <n v="3209"/>
    <s v="MegaMart Westside"/>
    <d v="2023-09-25T00:00:00"/>
    <s v="Beverages"/>
    <s v="Cheese"/>
    <n v="1"/>
    <n v="470.61"/>
    <n v="470.61"/>
    <n v="47.31"/>
    <n v="423.3"/>
    <n v="371"/>
    <s v="07:50:51"/>
    <n v="25"/>
    <n v="9"/>
    <n v="2023"/>
    <d v="2023-09-25T00:00:00"/>
    <s v="Debit Card"/>
    <s v="F"/>
    <n v="1"/>
    <s v="Ahmedabad"/>
    <x v="996"/>
  </r>
  <r>
    <n v="8498"/>
    <s v="MegaMart Westside"/>
    <d v="2023-09-04T00:00:00"/>
    <s v="Beverages"/>
    <s v="Ground Beef"/>
    <n v="5"/>
    <n v="610.88"/>
    <n v="3054.4"/>
    <n v="366.03"/>
    <n v="2688.37"/>
    <n v="465"/>
    <s v="04:26:09"/>
    <n v="4"/>
    <n v="9"/>
    <n v="2023"/>
    <d v="2023-09-04T00:00:00"/>
    <s v="Cash"/>
    <s v="M"/>
    <n v="2"/>
    <s v="Lucknow"/>
    <x v="997"/>
  </r>
  <r>
    <n v="5807"/>
    <s v="City Fresh Store"/>
    <d v="2024-01-10T00:00:00"/>
    <s v="Meat &amp; Seafood"/>
    <s v="Rice"/>
    <n v="4"/>
    <n v="2392.06"/>
    <n v="9568.24"/>
    <n v="956.99"/>
    <n v="8611.25"/>
    <n v="426"/>
    <s v="02:46:07"/>
    <n v="10"/>
    <n v="1"/>
    <n v="2024"/>
    <d v="2024-01-10T00:00:00"/>
    <s v="Cash"/>
    <s v="M"/>
    <n v="3"/>
    <s v="Lucknow"/>
    <x v="998"/>
  </r>
  <r>
    <n v="1717"/>
    <s v="SuperSave Central"/>
    <d v="2025-04-12T00:00:00"/>
    <s v="Household Items"/>
    <s v="Yogurt"/>
    <n v="3"/>
    <n v="1744.66"/>
    <n v="5233.9799999999996"/>
    <n v="1046.6300000000001"/>
    <n v="4187.3500000000004"/>
    <n v="44"/>
    <s v="15:32:08"/>
    <n v="12"/>
    <n v="4"/>
    <n v="2025"/>
    <d v="2025-04-12T00:00:00"/>
    <s v="Cash"/>
    <s v="F"/>
    <n v="2"/>
    <s v="Pune"/>
    <x v="999"/>
  </r>
  <r>
    <n v="4268"/>
    <s v="SuperSave Central"/>
    <d v="2025-06-25T00:00:00"/>
    <s v="Bakery"/>
    <s v="Apples"/>
    <n v="5"/>
    <n v="1266.58"/>
    <n v="6332.9"/>
    <n v="633.29"/>
    <n v="5699.61"/>
    <n v="406"/>
    <s v="09:38:49"/>
    <n v="25"/>
    <n v="6"/>
    <n v="2025"/>
    <d v="2025-06-25T00:00:00"/>
    <s v="Cash"/>
    <s v="F"/>
    <n v="5"/>
    <s v="Bangalore"/>
    <x v="1000"/>
  </r>
  <r>
    <n v="1686"/>
    <s v="QuickStop Market"/>
    <d v="2024-04-08T00:00:00"/>
    <s v="Bakery"/>
    <s v="Yogurt"/>
    <n v="5"/>
    <n v="195.05"/>
    <n v="975.25"/>
    <n v="146.08000000000001"/>
    <n v="829.17"/>
    <n v="9"/>
    <s v="22:54:21"/>
    <n v="8"/>
    <n v="4"/>
    <n v="2024"/>
    <d v="2024-04-08T00:00:00"/>
    <s v="UPI"/>
    <s v="F"/>
    <n v="2"/>
    <s v="Pune"/>
    <x v="1001"/>
  </r>
  <r>
    <n v="6080"/>
    <s v="MegaMart Westside"/>
    <d v="2024-09-10T00:00:00"/>
    <s v="Health &amp; Wellness"/>
    <s v="Apples"/>
    <n v="2"/>
    <n v="2075"/>
    <n v="4150"/>
    <n v="195.05"/>
    <n v="3954.95"/>
    <n v="457"/>
    <s v="22:52:55"/>
    <n v="10"/>
    <n v="9"/>
    <n v="2024"/>
    <d v="2024-09-10T00:00:00"/>
    <s v="Cash"/>
    <s v="M"/>
    <n v="5"/>
    <s v="Jaipur"/>
    <x v="1002"/>
  </r>
  <r>
    <n v="7524"/>
    <s v="GreenGrocer Plaza"/>
    <d v="2025-05-01T00:00:00"/>
    <s v="Household Items"/>
    <s v="Ground Beef"/>
    <n v="1"/>
    <n v="1435.07"/>
    <n v="1435.07"/>
    <n v="214.97"/>
    <n v="1220.0999999999999"/>
    <n v="249"/>
    <s v="03:43:01"/>
    <n v="1"/>
    <n v="5"/>
    <n v="2025"/>
    <d v="2025-05-01T00:00:00"/>
    <s v="UPI"/>
    <s v="M"/>
    <n v="5"/>
    <s v="Pune"/>
    <x v="1003"/>
  </r>
  <r>
    <n v="9897"/>
    <s v="MegaMart Westside"/>
    <d v="2024-08-08T00:00:00"/>
    <s v="Produce"/>
    <s v="Onions"/>
    <n v="3"/>
    <n v="2239.34"/>
    <n v="6718.02"/>
    <n v="0"/>
    <n v="6718.02"/>
    <n v="436"/>
    <s v="11:47:44"/>
    <n v="8"/>
    <n v="8"/>
    <n v="2024"/>
    <d v="2024-08-08T00:00:00"/>
    <s v="UPI"/>
    <s v="F"/>
    <n v="2"/>
    <s v="Chennai"/>
    <x v="1004"/>
  </r>
  <r>
    <n v="5150"/>
    <s v="FreshMart Downtown"/>
    <d v="2023-09-04T00:00:00"/>
    <s v="Beverages"/>
    <s v="Salmon"/>
    <n v="1"/>
    <n v="2428.58"/>
    <n v="2428.58"/>
    <n v="97.11"/>
    <n v="2331.4699999999998"/>
    <n v="400"/>
    <s v="07:45:39"/>
    <n v="4"/>
    <n v="9"/>
    <n v="2023"/>
    <d v="2023-09-04T00:00:00"/>
    <s v="Cash"/>
    <s v="F"/>
    <n v="2"/>
    <s v="Chennai"/>
    <x v="1005"/>
  </r>
  <r>
    <n v="4131"/>
    <s v="GreenGrocer Plaza"/>
    <d v="2024-03-16T00:00:00"/>
    <s v="Meat &amp; Seafood"/>
    <s v="Chicken Breast"/>
    <n v="2"/>
    <n v="2275.0300000000002"/>
    <n v="4550.0600000000004"/>
    <n v="0"/>
    <n v="4550.0600000000004"/>
    <n v="80"/>
    <s v="20:06:19"/>
    <n v="16"/>
    <n v="3"/>
    <n v="2024"/>
    <d v="2024-03-16T00:00:00"/>
    <s v="Cash"/>
    <s v="F"/>
    <n v="5"/>
    <s v="Jaipur"/>
    <x v="1006"/>
  </r>
  <r>
    <n v="6848"/>
    <s v="City Fresh Store"/>
    <d v="2025-06-06T00:00:00"/>
    <s v="Personal Care"/>
    <s v="Potatoes"/>
    <n v="1"/>
    <n v="453.18"/>
    <n v="453.18"/>
    <n v="90.47"/>
    <n v="362.71"/>
    <n v="186"/>
    <s v="11:41:28"/>
    <n v="6"/>
    <n v="6"/>
    <n v="2025"/>
    <d v="2025-06-06T00:00:00"/>
    <s v="Credit Card"/>
    <s v="F"/>
    <n v="3"/>
    <s v="Jaipur"/>
    <x v="1007"/>
  </r>
  <r>
    <n v="1783"/>
    <s v="GreenGrocer Plaza"/>
    <d v="2025-06-09T00:00:00"/>
    <s v="Bakery"/>
    <s v="Salmon"/>
    <n v="4"/>
    <n v="1933.9"/>
    <n v="7735.6"/>
    <n v="773.56"/>
    <n v="6962.04"/>
    <n v="3"/>
    <s v="23:48:17"/>
    <n v="9"/>
    <n v="6"/>
    <n v="2025"/>
    <d v="2025-06-09T00:00:00"/>
    <s v="Debit Card"/>
    <s v="F"/>
    <n v="5"/>
    <s v="Kolkata"/>
    <x v="1008"/>
  </r>
  <r>
    <n v="6438"/>
    <s v="MegaMart Westside"/>
    <d v="2024-03-06T00:00:00"/>
    <s v="Frozen Foods"/>
    <s v="Carrots"/>
    <n v="2"/>
    <n v="287.18"/>
    <n v="574.36"/>
    <n v="86.32"/>
    <n v="488.04"/>
    <n v="190"/>
    <s v="07:47:28"/>
    <n v="6"/>
    <n v="3"/>
    <n v="2024"/>
    <d v="2024-03-06T00:00:00"/>
    <s v="Cash"/>
    <s v="F"/>
    <n v="4"/>
    <s v="Pune"/>
    <x v="1009"/>
  </r>
  <r>
    <n v="3039"/>
    <s v="FamilyFood Express"/>
    <d v="2025-04-18T00:00:00"/>
    <s v="Meat &amp; Seafood"/>
    <s v="Carrots"/>
    <n v="4"/>
    <n v="1977.06"/>
    <n v="7908.24"/>
    <n v="790.99"/>
    <n v="7117.25"/>
    <n v="70"/>
    <s v="06:40:56"/>
    <n v="18"/>
    <n v="4"/>
    <n v="2025"/>
    <d v="2025-04-18T00:00:00"/>
    <s v="Credit Card"/>
    <s v="M"/>
    <n v="5"/>
    <s v="Chennai"/>
    <x v="1010"/>
  </r>
  <r>
    <n v="7029"/>
    <s v="Corner Grocery"/>
    <d v="2024-07-11T00:00:00"/>
    <s v="Beverages"/>
    <s v="Carrots"/>
    <n v="3"/>
    <n v="2353.88"/>
    <n v="7061.64"/>
    <n v="321.20999999999998"/>
    <n v="6740.43"/>
    <n v="226"/>
    <s v="18:11:15"/>
    <n v="11"/>
    <n v="7"/>
    <n v="2024"/>
    <d v="2024-07-11T00:00:00"/>
    <s v="Credit Card"/>
    <s v="M"/>
    <n v="3"/>
    <s v="Hyderabad"/>
    <x v="1011"/>
  </r>
  <r>
    <n v="7553"/>
    <s v="ValuePlus Market"/>
    <d v="2025-03-06T00:00:00"/>
    <s v="Dairy"/>
    <s v="Bread"/>
    <n v="3"/>
    <n v="839.96"/>
    <n v="2519.88"/>
    <n v="252.32"/>
    <n v="2267.56"/>
    <n v="395"/>
    <s v="10:41:22"/>
    <n v="6"/>
    <n v="3"/>
    <n v="2025"/>
    <d v="2025-03-06T00:00:00"/>
    <s v="Debit Card"/>
    <s v="M"/>
    <n v="4"/>
    <s v="Hyderabad"/>
    <x v="1012"/>
  </r>
  <r>
    <n v="8204"/>
    <s v="FreshMart Downtown"/>
    <d v="2025-07-01T00:00:00"/>
    <s v="Snacks &amp; Candy"/>
    <s v="Milk"/>
    <n v="2"/>
    <n v="2254.2800000000002"/>
    <n v="4508.5600000000004"/>
    <n v="450.69"/>
    <n v="4057.87"/>
    <n v="29"/>
    <s v="21:38:32"/>
    <n v="1"/>
    <n v="7"/>
    <n v="2025"/>
    <d v="2025-07-01T00:00:00"/>
    <s v="UPI"/>
    <s v="F"/>
    <n v="1"/>
    <s v="Lucknow"/>
    <x v="1013"/>
  </r>
  <r>
    <n v="7334"/>
    <s v="Corner Grocery"/>
    <d v="2024-04-26T00:00:00"/>
    <s v="Health &amp; Wellness"/>
    <s v="Onions"/>
    <n v="3"/>
    <n v="1818.53"/>
    <n v="5455.59"/>
    <n v="357.73"/>
    <n v="5097.8599999999997"/>
    <n v="160"/>
    <s v="16:51:36"/>
    <n v="26"/>
    <n v="4"/>
    <n v="2024"/>
    <d v="2024-04-26T00:00:00"/>
    <s v="Cash"/>
    <s v="F"/>
    <n v="1"/>
    <s v="Kolkata"/>
    <x v="1014"/>
  </r>
  <r>
    <n v="4060"/>
    <s v="ValuePlus Market"/>
    <d v="2024-08-26T00:00:00"/>
    <s v="Household Items"/>
    <s v="Eggs"/>
    <n v="4"/>
    <n v="1156.19"/>
    <n v="4624.76"/>
    <n v="0"/>
    <n v="4624.76"/>
    <n v="105"/>
    <s v="12:12:16"/>
    <n v="26"/>
    <n v="8"/>
    <n v="2024"/>
    <d v="2024-08-26T00:00:00"/>
    <s v="Debit Card"/>
    <s v="F"/>
    <n v="3"/>
    <s v="Hyderabad"/>
    <x v="1015"/>
  </r>
  <r>
    <n v="9151"/>
    <s v="MegaMart Westside"/>
    <d v="2024-05-18T00:00:00"/>
    <s v="Health &amp; Wellness"/>
    <s v="Tomatoes"/>
    <n v="2"/>
    <n v="2202.8200000000002"/>
    <n v="4405.6400000000003"/>
    <n v="194.22"/>
    <n v="4211.42"/>
    <n v="43"/>
    <s v="11:43:43"/>
    <n v="18"/>
    <n v="5"/>
    <n v="2024"/>
    <d v="2024-05-18T00:00:00"/>
    <s v="Cash"/>
    <s v="F"/>
    <n v="5"/>
    <s v="Kolkata"/>
    <x v="1016"/>
  </r>
  <r>
    <n v="9507"/>
    <s v="SuperSave Central"/>
    <d v="2024-03-01T00:00:00"/>
    <s v="Personal Care"/>
    <s v="Onions"/>
    <n v="3"/>
    <n v="596.77"/>
    <n v="1790.31"/>
    <n v="195.88"/>
    <n v="1594.43"/>
    <n v="261"/>
    <s v="19:25:01"/>
    <n v="1"/>
    <n v="3"/>
    <n v="2024"/>
    <d v="2024-03-01T00:00:00"/>
    <s v="Credit Card"/>
    <s v="F"/>
    <n v="2"/>
    <s v="Mumbai"/>
    <x v="1017"/>
  </r>
  <r>
    <n v="2353"/>
    <s v="SuperSave Central"/>
    <d v="2025-02-21T00:00:00"/>
    <s v="Produce"/>
    <s v="Bananas"/>
    <n v="5"/>
    <n v="1508.11"/>
    <n v="7540.55"/>
    <n v="0"/>
    <n v="7540.55"/>
    <n v="123"/>
    <s v="16:53:04"/>
    <n v="21"/>
    <n v="2"/>
    <n v="2025"/>
    <d v="2025-02-21T00:00:00"/>
    <s v="Credit Card"/>
    <s v="F"/>
    <n v="3"/>
    <s v="Chennai"/>
    <x v="1018"/>
  </r>
  <r>
    <n v="7955"/>
    <s v="Corner Grocery"/>
    <d v="2023-10-07T00:00:00"/>
    <s v="Personal Care"/>
    <s v="Chicken Breast"/>
    <n v="1"/>
    <n v="2108.1999999999998"/>
    <n v="2108.1999999999998"/>
    <n v="98.77"/>
    <n v="2009.43"/>
    <n v="132"/>
    <s v="23:46:37"/>
    <n v="7"/>
    <n v="10"/>
    <n v="2023"/>
    <d v="2023-10-07T00:00:00"/>
    <s v="UPI"/>
    <s v="M"/>
    <n v="4"/>
    <s v="Pune"/>
    <x v="1019"/>
  </r>
  <r>
    <n v="8055"/>
    <s v="GreenGrocer Plaza"/>
    <d v="2024-11-16T00:00:00"/>
    <s v="Beverages"/>
    <s v="Rice"/>
    <n v="5"/>
    <n v="1855.88"/>
    <n v="9279.4"/>
    <n v="1855.88"/>
    <n v="7423.52"/>
    <n v="232"/>
    <s v="07:27:42"/>
    <n v="16"/>
    <n v="11"/>
    <n v="2024"/>
    <d v="2024-11-16T00:00:00"/>
    <s v="Credit Card"/>
    <s v="M"/>
    <n v="4"/>
    <s v="Kolkata"/>
    <x v="1020"/>
  </r>
  <r>
    <n v="3956"/>
    <s v="ValuePlus Market"/>
    <d v="2024-10-03T00:00:00"/>
    <s v="Household Items"/>
    <s v="Ground Beef"/>
    <n v="3"/>
    <n v="802.61"/>
    <n v="2407.83"/>
    <n v="0"/>
    <n v="2407.83"/>
    <n v="341"/>
    <s v="20:48:58"/>
    <n v="3"/>
    <n v="10"/>
    <n v="2024"/>
    <d v="2024-10-03T00:00:00"/>
    <s v="Credit Card"/>
    <s v="F"/>
    <n v="1"/>
    <s v="Kolkata"/>
    <x v="1021"/>
  </r>
  <r>
    <n v="5813"/>
    <s v="Corner Grocery"/>
    <d v="2024-04-12T00:00:00"/>
    <s v="Personal Care"/>
    <s v="Ground Beef"/>
    <n v="1"/>
    <n v="871.5"/>
    <n v="871.5"/>
    <n v="130.31"/>
    <n v="741.19"/>
    <n v="298"/>
    <s v="04:39:04"/>
    <n v="12"/>
    <n v="4"/>
    <n v="2024"/>
    <d v="2024-04-12T00:00:00"/>
    <s v="Debit Card"/>
    <s v="M"/>
    <n v="4"/>
    <s v="Bangalore"/>
    <x v="1022"/>
  </r>
  <r>
    <n v="2680"/>
    <s v="City Fresh Store"/>
    <d v="2023-10-08T00:00:00"/>
    <s v="Dairy"/>
    <s v="Eggs"/>
    <n v="4"/>
    <n v="2075.83"/>
    <n v="8303.32"/>
    <n v="224.1"/>
    <n v="8079.22"/>
    <n v="41"/>
    <s v="17:02:45"/>
    <n v="8"/>
    <n v="10"/>
    <n v="2023"/>
    <d v="2023-10-08T00:00:00"/>
    <s v="Cash"/>
    <s v="F"/>
    <n v="3"/>
    <s v="Pune"/>
    <x v="1023"/>
  </r>
  <r>
    <n v="6372"/>
    <s v="SuperSave Central"/>
    <d v="2025-01-01T00:00:00"/>
    <s v="Beverages"/>
    <s v="Yogurt"/>
    <n v="4"/>
    <n v="269.75"/>
    <n v="1079"/>
    <n v="268.92"/>
    <n v="810.08"/>
    <n v="346"/>
    <s v="10:49:36"/>
    <n v="1"/>
    <n v="1"/>
    <n v="2025"/>
    <d v="2025-01-01T00:00:00"/>
    <s v="Cash"/>
    <s v="M"/>
    <n v="4"/>
    <s v="Mumbai"/>
    <x v="1024"/>
  </r>
  <r>
    <n v="5843"/>
    <s v="Corner Grocery"/>
    <d v="2024-04-01T00:00:00"/>
    <s v="Frozen Foods"/>
    <s v="Potatoes"/>
    <n v="4"/>
    <n v="2480.87"/>
    <n v="9923.48"/>
    <n v="0"/>
    <n v="9923.48"/>
    <n v="352"/>
    <s v="04:05:10"/>
    <n v="1"/>
    <n v="4"/>
    <n v="2024"/>
    <d v="2024-04-01T00:00:00"/>
    <s v="Debit Card"/>
    <s v="F"/>
    <n v="3"/>
    <s v="Bangalore"/>
    <x v="1025"/>
  </r>
  <r>
    <n v="8305"/>
    <s v="Corner Grocery"/>
    <d v="2024-11-17T00:00:00"/>
    <s v="Meat &amp; Seafood"/>
    <s v="Eggs"/>
    <n v="5"/>
    <n v="388.44"/>
    <n v="1942.2"/>
    <n v="388.44"/>
    <n v="1553.76"/>
    <n v="364"/>
    <s v="07:05:40"/>
    <n v="17"/>
    <n v="11"/>
    <n v="2024"/>
    <d v="2024-11-17T00:00:00"/>
    <s v="UPI"/>
    <s v="F"/>
    <n v="2"/>
    <s v="Jaipur"/>
    <x v="1026"/>
  </r>
  <r>
    <n v="7981"/>
    <s v="ValuePlus Market"/>
    <d v="2023-12-14T00:00:00"/>
    <s v="Personal Care"/>
    <s v="Chicken Breast"/>
    <n v="2"/>
    <n v="1178.5999999999999"/>
    <n v="2357.1999999999998"/>
    <n v="205.84"/>
    <n v="2151.36"/>
    <n v="16"/>
    <s v="18:47:59"/>
    <n v="14"/>
    <n v="12"/>
    <n v="2023"/>
    <d v="2023-12-14T00:00:00"/>
    <s v="Cash"/>
    <s v="M"/>
    <n v="1"/>
    <s v="Lucknow"/>
    <x v="1027"/>
  </r>
  <r>
    <n v="8272"/>
    <s v="GreenGrocer Plaza"/>
    <d v="2024-05-06T00:00:00"/>
    <s v="Household Items"/>
    <s v="Cheese"/>
    <n v="1"/>
    <n v="373.5"/>
    <n v="373.5"/>
    <n v="256.47000000000003"/>
    <n v="117.03"/>
    <n v="292"/>
    <s v="04:12:53"/>
    <n v="6"/>
    <n v="5"/>
    <n v="2024"/>
    <d v="2024-05-06T00:00:00"/>
    <s v="Credit Card"/>
    <s v="M"/>
    <n v="4"/>
    <s v="Chennai"/>
    <x v="1028"/>
  </r>
  <r>
    <n v="8325"/>
    <s v="GreenGrocer Plaza"/>
    <d v="2023-09-08T00:00:00"/>
    <s v="Canned Goods"/>
    <s v="Rice"/>
    <n v="3"/>
    <n v="811.74"/>
    <n v="2435.2199999999998"/>
    <n v="487.21"/>
    <n v="1948.01"/>
    <n v="248"/>
    <s v="02:45:36"/>
    <n v="8"/>
    <n v="9"/>
    <n v="2023"/>
    <d v="2023-09-08T00:00:00"/>
    <s v="Cash"/>
    <s v="F"/>
    <n v="3"/>
    <s v="Delhi"/>
    <x v="1029"/>
  </r>
  <r>
    <n v="6776"/>
    <s v="SuperSave Central"/>
    <d v="2024-11-26T00:00:00"/>
    <s v="Household Items"/>
    <s v="Cheese"/>
    <n v="1"/>
    <n v="2337.2800000000002"/>
    <n v="2337.2800000000002"/>
    <n v="467.29"/>
    <n v="1869.99"/>
    <n v="156"/>
    <s v="01:04:40"/>
    <n v="26"/>
    <n v="11"/>
    <n v="2024"/>
    <d v="2024-11-26T00:00:00"/>
    <s v="Credit Card"/>
    <s v="F"/>
    <n v="5"/>
    <s v="Pune"/>
    <x v="1030"/>
  </r>
  <r>
    <n v="8126"/>
    <s v="SuperSave Central"/>
    <d v="2024-03-07T00:00:00"/>
    <s v="Beverages"/>
    <s v="Bananas"/>
    <n v="1"/>
    <n v="1400.21"/>
    <n v="1400.21"/>
    <n v="140.27000000000001"/>
    <n v="1259.94"/>
    <n v="34"/>
    <s v="02:35:32"/>
    <n v="7"/>
    <n v="3"/>
    <n v="2024"/>
    <d v="2024-03-07T00:00:00"/>
    <s v="UPI"/>
    <s v="M"/>
    <n v="1"/>
    <s v="Delhi"/>
    <x v="1031"/>
  </r>
  <r>
    <n v="1939"/>
    <s v="City Fresh Store"/>
    <d v="2023-10-04T00:00:00"/>
    <s v="Household Items"/>
    <s v="Rice"/>
    <n v="5"/>
    <n v="1171.1300000000001"/>
    <n v="5855.65"/>
    <n v="585.15"/>
    <n v="5270.5"/>
    <n v="172"/>
    <s v="08:33:11"/>
    <n v="4"/>
    <n v="10"/>
    <n v="2023"/>
    <d v="2023-10-04T00:00:00"/>
    <s v="Debit Card"/>
    <s v="M"/>
    <n v="2"/>
    <s v="Jaipur"/>
    <x v="1032"/>
  </r>
  <r>
    <n v="7655"/>
    <s v="SuperSave Central"/>
    <d v="2024-05-15T00:00:00"/>
    <s v="Meat &amp; Seafood"/>
    <s v="Carrots"/>
    <n v="4"/>
    <n v="1915.64"/>
    <n v="7662.56"/>
    <n v="1532.18"/>
    <n v="6130.38"/>
    <n v="341"/>
    <s v="22:57:30"/>
    <n v="15"/>
    <n v="5"/>
    <n v="2024"/>
    <d v="2024-05-15T00:00:00"/>
    <s v="Cash"/>
    <s v="F"/>
    <n v="3"/>
    <s v="Pune"/>
    <x v="1033"/>
  </r>
  <r>
    <n v="9406"/>
    <s v="MegaMart Westside"/>
    <d v="2025-04-20T00:00:00"/>
    <s v="Dairy"/>
    <s v="Cheese"/>
    <n v="4"/>
    <n v="642.41999999999996"/>
    <n v="2569.6799999999998"/>
    <n v="97.94"/>
    <n v="2471.7399999999998"/>
    <n v="202"/>
    <s v="14:11:16"/>
    <n v="20"/>
    <n v="4"/>
    <n v="2025"/>
    <d v="2025-04-20T00:00:00"/>
    <s v="Debit Card"/>
    <s v="M"/>
    <n v="2"/>
    <s v="Mumbai"/>
    <x v="1034"/>
  </r>
  <r>
    <n v="3621"/>
    <s v="City Fresh Store"/>
    <d v="2023-08-31T00:00:00"/>
    <s v="Frozen Foods"/>
    <s v="Bread"/>
    <n v="2"/>
    <n v="1784.5"/>
    <n v="3569"/>
    <n v="297.14"/>
    <n v="3271.86"/>
    <n v="292"/>
    <s v="16:30:04"/>
    <n v="31"/>
    <n v="8"/>
    <n v="2023"/>
    <d v="2023-08-31T00:00:00"/>
    <s v="Cash"/>
    <s v="F"/>
    <n v="2"/>
    <s v="Bangalore"/>
    <x v="1035"/>
  </r>
  <r>
    <n v="3339"/>
    <s v="ValuePlus Market"/>
    <d v="2025-05-27T00:00:00"/>
    <s v="Dairy"/>
    <s v="Yogurt"/>
    <n v="5"/>
    <n v="1386.1"/>
    <n v="6930.5"/>
    <n v="256.47000000000003"/>
    <n v="6674.03"/>
    <n v="387"/>
    <s v="12:28:13"/>
    <n v="27"/>
    <n v="5"/>
    <n v="2025"/>
    <d v="2025-05-27T00:00:00"/>
    <s v="Credit Card"/>
    <s v="F"/>
    <n v="4"/>
    <s v="Kolkata"/>
    <x v="1036"/>
  </r>
  <r>
    <n v="8179"/>
    <s v="City Fresh Store"/>
    <d v="2023-09-03T00:00:00"/>
    <s v="Personal Care"/>
    <s v="Bananas"/>
    <n v="1"/>
    <n v="1666.64"/>
    <n v="1666.64"/>
    <n v="174.3"/>
    <n v="1492.34"/>
    <n v="272"/>
    <s v="07:26:25"/>
    <n v="3"/>
    <n v="9"/>
    <n v="2023"/>
    <d v="2023-09-03T00:00:00"/>
    <s v="Debit Card"/>
    <s v="F"/>
    <n v="4"/>
    <s v="Bangalore"/>
    <x v="1037"/>
  </r>
  <r>
    <n v="3068"/>
    <s v="FamilyFood Express"/>
    <d v="2023-09-28T00:00:00"/>
    <s v="Bakery"/>
    <s v="Salmon"/>
    <n v="1"/>
    <n v="2024.37"/>
    <n v="2024.37"/>
    <n v="202.52"/>
    <n v="1821.85"/>
    <n v="310"/>
    <s v="01:00:49"/>
    <n v="28"/>
    <n v="9"/>
    <n v="2023"/>
    <d v="2023-09-28T00:00:00"/>
    <s v="Cash"/>
    <s v="F"/>
    <n v="3"/>
    <s v="Delhi"/>
    <x v="1038"/>
  </r>
  <r>
    <n v="4866"/>
    <s v="FreshMart Downtown"/>
    <d v="2025-04-02T00:00:00"/>
    <s v="Beverages"/>
    <s v="Bananas"/>
    <n v="3"/>
    <n v="1133.78"/>
    <n v="3401.34"/>
    <n v="188.41"/>
    <n v="3212.93"/>
    <n v="212"/>
    <s v="15:57:10"/>
    <n v="2"/>
    <n v="4"/>
    <n v="2025"/>
    <d v="2025-04-02T00:00:00"/>
    <s v="Credit Card"/>
    <s v="M"/>
    <n v="5"/>
    <s v="Pune"/>
    <x v="1039"/>
  </r>
  <r>
    <n v="7001"/>
    <s v="QuickStop Market"/>
    <d v="2024-05-14T00:00:00"/>
    <s v="Dairy"/>
    <s v="Chicken Breast"/>
    <n v="1"/>
    <n v="1386.1"/>
    <n v="1386.1"/>
    <n v="277.22000000000003"/>
    <n v="1108.8800000000001"/>
    <n v="146"/>
    <s v="04:18:38"/>
    <n v="14"/>
    <n v="5"/>
    <n v="2024"/>
    <d v="2024-05-14T00:00:00"/>
    <s v="Debit Card"/>
    <s v="M"/>
    <n v="3"/>
    <s v="Ahmedabad"/>
    <x v="1040"/>
  </r>
  <r>
    <n v="7272"/>
    <s v="QuickStop Market"/>
    <d v="2024-10-20T00:00:00"/>
    <s v="Dairy"/>
    <s v="Eggs"/>
    <n v="3"/>
    <n v="2373.8000000000002"/>
    <n v="7121.4"/>
    <n v="287.18"/>
    <n v="6834.22"/>
    <n v="347"/>
    <s v="23:30:33"/>
    <n v="20"/>
    <n v="10"/>
    <n v="2024"/>
    <d v="2024-10-20T00:00:00"/>
    <s v="Debit Card"/>
    <s v="M"/>
    <n v="5"/>
    <s v="Chennai"/>
    <x v="1041"/>
  </r>
  <r>
    <n v="1530"/>
    <s v="MegaMart Westside"/>
    <d v="2024-11-18T00:00:00"/>
    <s v="Meat &amp; Seafood"/>
    <s v="Bananas"/>
    <n v="1"/>
    <n v="799.29"/>
    <n v="799.29"/>
    <n v="160.19"/>
    <n v="639.1"/>
    <n v="50"/>
    <s v="19:03:13"/>
    <n v="18"/>
    <n v="11"/>
    <n v="2024"/>
    <d v="2024-11-18T00:00:00"/>
    <s v="Cash"/>
    <s v="M"/>
    <n v="2"/>
    <s v="Lucknow"/>
    <x v="1042"/>
  </r>
  <r>
    <n v="3513"/>
    <s v="Corner Grocery"/>
    <d v="2025-01-15T00:00:00"/>
    <s v="Canned Goods"/>
    <s v="Pasta"/>
    <n v="4"/>
    <n v="2348.9"/>
    <n v="9395.6"/>
    <n v="150.22999999999999"/>
    <n v="9245.3700000000008"/>
    <n v="460"/>
    <s v="14:55:05"/>
    <n v="15"/>
    <n v="1"/>
    <n v="2025"/>
    <d v="2025-01-15T00:00:00"/>
    <s v="Cash"/>
    <s v="M"/>
    <n v="1"/>
    <s v="Kolkata"/>
    <x v="1043"/>
  </r>
  <r>
    <n v="8371"/>
    <s v="FamilyFood Express"/>
    <d v="2024-05-21T00:00:00"/>
    <s v="Beverages"/>
    <s v="Carrots"/>
    <n v="5"/>
    <n v="1009.28"/>
    <n v="5046.3999999999996"/>
    <n v="188.41"/>
    <n v="4857.99"/>
    <n v="58"/>
    <s v="08:37:11"/>
    <n v="21"/>
    <n v="5"/>
    <n v="2024"/>
    <d v="2024-05-21T00:00:00"/>
    <s v="Cash"/>
    <s v="M"/>
    <n v="3"/>
    <s v="Delhi"/>
    <x v="1044"/>
  </r>
  <r>
    <n v="7095"/>
    <s v="ValuePlus Market"/>
    <d v="2024-07-16T00:00:00"/>
    <s v="Snacks &amp; Candy"/>
    <s v="Bread"/>
    <n v="4"/>
    <n v="151.88999999999999"/>
    <n v="607.55999999999995"/>
    <n v="172.64"/>
    <n v="434.92"/>
    <n v="324"/>
    <s v="16:10:40"/>
    <n v="16"/>
    <n v="7"/>
    <n v="2024"/>
    <d v="2024-07-16T00:00:00"/>
    <s v="Credit Card"/>
    <s v="M"/>
    <n v="3"/>
    <s v="Chennai"/>
    <x v="1045"/>
  </r>
  <r>
    <n v="2259"/>
    <s v="GreenGrocer Plaza"/>
    <d v="2024-10-25T00:00:00"/>
    <s v="Bakery"/>
    <s v="Onions"/>
    <n v="2"/>
    <n v="815.06"/>
    <n v="1630.12"/>
    <n v="364.37"/>
    <n v="1265.75"/>
    <n v="208"/>
    <s v="12:45:20"/>
    <n v="25"/>
    <n v="10"/>
    <n v="2024"/>
    <d v="2024-10-25T00:00:00"/>
    <s v="Cash"/>
    <s v="F"/>
    <n v="5"/>
    <s v="Jaipur"/>
    <x v="1046"/>
  </r>
  <r>
    <n v="3255"/>
    <s v="ValuePlus Market"/>
    <d v="2024-09-21T00:00:00"/>
    <s v="Bakery"/>
    <s v="Eggs"/>
    <n v="3"/>
    <n v="1382.78"/>
    <n v="4148.34"/>
    <n v="399.23"/>
    <n v="3749.11"/>
    <n v="86"/>
    <s v="08:39:44"/>
    <n v="21"/>
    <n v="9"/>
    <n v="2024"/>
    <d v="2024-09-21T00:00:00"/>
    <s v="Debit Card"/>
    <s v="M"/>
    <n v="2"/>
    <s v="Kolkata"/>
    <x v="1047"/>
  </r>
  <r>
    <n v="7012"/>
    <s v="ValuePlus Market"/>
    <d v="2024-06-11T00:00:00"/>
    <s v="Beverages"/>
    <s v="Milk"/>
    <n v="1"/>
    <n v="2038.48"/>
    <n v="2038.48"/>
    <n v="0"/>
    <n v="2038.48"/>
    <n v="492"/>
    <s v="04:32:37"/>
    <n v="11"/>
    <n v="6"/>
    <n v="2024"/>
    <d v="2024-06-11T00:00:00"/>
    <s v="Debit Card"/>
    <s v="M"/>
    <n v="2"/>
    <s v="Chennai"/>
    <x v="1048"/>
  </r>
  <r>
    <n v="6150"/>
    <s v="SuperSave Central"/>
    <d v="2024-12-23T00:00:00"/>
    <s v="Produce"/>
    <s v="Milk"/>
    <n v="4"/>
    <n v="740.36"/>
    <n v="2961.44"/>
    <n v="444.05"/>
    <n v="2517.39"/>
    <n v="128"/>
    <s v="07:39:26"/>
    <n v="23"/>
    <n v="12"/>
    <n v="2024"/>
    <d v="2024-12-23T00:00:00"/>
    <s v="Cash"/>
    <s v="F"/>
    <n v="5"/>
    <s v="Pune"/>
    <x v="1049"/>
  </r>
  <r>
    <n v="5566"/>
    <s v="FamilyFood Express"/>
    <d v="2024-02-16T00:00:00"/>
    <s v="Household Items"/>
    <s v="Carrots"/>
    <n v="3"/>
    <n v="191.73"/>
    <n v="575.19000000000005"/>
    <n v="86.32"/>
    <n v="488.87"/>
    <n v="378"/>
    <s v="10:53:10"/>
    <n v="16"/>
    <n v="2"/>
    <n v="2024"/>
    <d v="2024-02-16T00:00:00"/>
    <s v="Cash"/>
    <s v="M"/>
    <n v="2"/>
    <s v="Jaipur"/>
    <x v="1050"/>
  </r>
  <r>
    <n v="2858"/>
    <s v="GreenGrocer Plaza"/>
    <d v="2023-08-27T00:00:00"/>
    <s v="Snacks &amp; Candy"/>
    <s v="Chicken Breast"/>
    <n v="2"/>
    <n v="1827.66"/>
    <n v="3655.32"/>
    <n v="731.23"/>
    <n v="2924.09"/>
    <n v="143"/>
    <s v="08:16:14"/>
    <n v="27"/>
    <n v="8"/>
    <n v="2023"/>
    <d v="2023-08-27T00:00:00"/>
    <s v="UPI"/>
    <s v="M"/>
    <n v="4"/>
    <s v="Mumbai"/>
    <x v="1051"/>
  </r>
  <r>
    <n v="4048"/>
    <s v="ValuePlus Market"/>
    <d v="2024-08-28T00:00:00"/>
    <s v="Canned Goods"/>
    <s v="Cereal"/>
    <n v="3"/>
    <n v="2440.1999999999998"/>
    <n v="7320.6"/>
    <n v="1098.0899999999999"/>
    <n v="6222.51"/>
    <n v="362"/>
    <s v="10:03:38"/>
    <n v="28"/>
    <n v="8"/>
    <n v="2024"/>
    <d v="2024-08-28T00:00:00"/>
    <s v="Debit Card"/>
    <s v="F"/>
    <n v="1"/>
    <s v="Lucknow"/>
    <x v="1052"/>
  </r>
  <r>
    <n v="9482"/>
    <s v="FamilyFood Express"/>
    <d v="2024-06-02T00:00:00"/>
    <s v="Health &amp; Wellness"/>
    <s v="Cereal"/>
    <n v="3"/>
    <n v="589.29999999999995"/>
    <n v="1767.9"/>
    <n v="386.78"/>
    <n v="1381.12"/>
    <n v="491"/>
    <s v="10:14:48"/>
    <n v="2"/>
    <n v="6"/>
    <n v="2024"/>
    <d v="2024-06-02T00:00:00"/>
    <s v="Credit Card"/>
    <s v="M"/>
    <n v="3"/>
    <s v="Delhi"/>
    <x v="1053"/>
  </r>
  <r>
    <n v="2929"/>
    <s v="SuperSave Central"/>
    <d v="2024-02-26T00:00:00"/>
    <s v="Health &amp; Wellness"/>
    <s v="Bananas"/>
    <n v="5"/>
    <n v="1229.23"/>
    <n v="6146.15"/>
    <n v="0"/>
    <n v="6146.15"/>
    <n v="461"/>
    <s v="14:04:34"/>
    <n v="26"/>
    <n v="2"/>
    <n v="2024"/>
    <d v="2024-02-26T00:00:00"/>
    <s v="UPI"/>
    <s v="M"/>
    <n v="1"/>
    <s v="Hyderabad"/>
    <x v="1054"/>
  </r>
  <r>
    <n v="5264"/>
    <s v="SuperSave Central"/>
    <d v="2025-02-03T00:00:00"/>
    <s v="Snacks &amp; Candy"/>
    <s v="Onions"/>
    <n v="4"/>
    <n v="1917.3"/>
    <n v="7669.2"/>
    <n v="0"/>
    <n v="7669.2"/>
    <n v="275"/>
    <s v="21:09:25"/>
    <n v="3"/>
    <n v="2"/>
    <n v="2025"/>
    <d v="2025-02-03T00:00:00"/>
    <s v="Cash"/>
    <s v="M"/>
    <n v="3"/>
    <s v="Ahmedabad"/>
    <x v="1055"/>
  </r>
  <r>
    <n v="8311"/>
    <s v="GreenGrocer Plaza"/>
    <d v="2024-01-20T00:00:00"/>
    <s v="Personal Care"/>
    <s v="Bananas"/>
    <n v="4"/>
    <n v="1700.67"/>
    <n v="6802.68"/>
    <n v="201.69"/>
    <n v="6600.99"/>
    <n v="180"/>
    <s v="17:04:13"/>
    <n v="20"/>
    <n v="1"/>
    <n v="2024"/>
    <d v="2024-01-20T00:00:00"/>
    <s v="Cash"/>
    <s v="F"/>
    <n v="4"/>
    <s v="Hyderabad"/>
    <x v="1056"/>
  </r>
  <r>
    <n v="5678"/>
    <s v="SuperSave Central"/>
    <d v="2025-01-27T00:00:00"/>
    <s v="Produce"/>
    <s v="Chicken Breast"/>
    <n v="4"/>
    <n v="973.59"/>
    <n v="3894.36"/>
    <n v="156.87"/>
    <n v="3737.49"/>
    <n v="98"/>
    <s v="14:42:53"/>
    <n v="27"/>
    <n v="1"/>
    <n v="2025"/>
    <d v="2025-01-27T00:00:00"/>
    <s v="Debit Card"/>
    <s v="M"/>
    <n v="2"/>
    <s v="Delhi"/>
    <x v="1057"/>
  </r>
  <r>
    <n v="9047"/>
    <s v="FreshMart Downtown"/>
    <d v="2024-01-09T00:00:00"/>
    <s v="Frozen Foods"/>
    <s v="Orange Juice"/>
    <n v="2"/>
    <n v="298.8"/>
    <n v="597.6"/>
    <n v="0"/>
    <n v="597.6"/>
    <n v="314"/>
    <s v="17:26:22"/>
    <n v="9"/>
    <n v="1"/>
    <n v="2024"/>
    <d v="2024-01-09T00:00:00"/>
    <s v="Cash"/>
    <s v="M"/>
    <n v="5"/>
    <s v="Kolkata"/>
    <x v="1058"/>
  </r>
  <r>
    <n v="3009"/>
    <s v="FamilyFood Express"/>
    <d v="2023-11-20T00:00:00"/>
    <s v="Bakery"/>
    <s v="Potatoes"/>
    <n v="3"/>
    <n v="170.98"/>
    <n v="512.94000000000005"/>
    <n v="147.74"/>
    <n v="365.2"/>
    <n v="252"/>
    <s v="06:07:49"/>
    <n v="20"/>
    <n v="11"/>
    <n v="2023"/>
    <d v="2023-11-20T00:00:00"/>
    <s v="Credit Card"/>
    <s v="F"/>
    <n v="4"/>
    <s v="Delhi"/>
    <x v="1059"/>
  </r>
  <r>
    <n v="2213"/>
    <s v="Corner Grocery"/>
    <d v="2024-07-23T00:00:00"/>
    <s v="Dairy"/>
    <s v="Pasta"/>
    <n v="5"/>
    <n v="1286.5"/>
    <n v="6432.5"/>
    <n v="0"/>
    <n v="6432.5"/>
    <n v="87"/>
    <s v="00:13:32"/>
    <n v="23"/>
    <n v="7"/>
    <n v="2024"/>
    <d v="2024-07-23T00:00:00"/>
    <s v="Debit Card"/>
    <s v="M"/>
    <n v="1"/>
    <s v="Delhi"/>
    <x v="1060"/>
  </r>
  <r>
    <n v="3828"/>
    <s v="SuperSave Central"/>
    <d v="2025-07-05T00:00:00"/>
    <s v="Dairy"/>
    <s v="Eggs"/>
    <n v="1"/>
    <n v="389.27"/>
    <n v="389.27"/>
    <n v="325.36"/>
    <n v="63.91"/>
    <n v="477"/>
    <s v="13:23:43"/>
    <n v="5"/>
    <n v="7"/>
    <n v="2025"/>
    <d v="2025-07-05T00:00:00"/>
    <s v="Cash"/>
    <s v="F"/>
    <n v="5"/>
    <s v="Pune"/>
    <x v="1061"/>
  </r>
  <r>
    <n v="8292"/>
    <s v="QuickStop Market"/>
    <d v="2023-10-14T00:00:00"/>
    <s v="Bakery"/>
    <s v="Bananas"/>
    <n v="5"/>
    <n v="1561.23"/>
    <n v="7806.15"/>
    <n v="394.25"/>
    <n v="7411.9"/>
    <n v="348"/>
    <s v="19:38:30"/>
    <n v="14"/>
    <n v="10"/>
    <n v="2023"/>
    <d v="2023-10-14T00:00:00"/>
    <s v="Debit Card"/>
    <s v="F"/>
    <n v="2"/>
    <s v="Bangalore"/>
    <x v="1062"/>
  </r>
  <r>
    <n v="6236"/>
    <s v="FreshMart Downtown"/>
    <d v="2025-01-06T00:00:00"/>
    <s v="Canned Goods"/>
    <s v="Cheese"/>
    <n v="4"/>
    <n v="742.02"/>
    <n v="2968.08"/>
    <n v="297.14"/>
    <n v="2670.94"/>
    <n v="348"/>
    <s v="18:17:33"/>
    <n v="6"/>
    <n v="1"/>
    <n v="2025"/>
    <d v="2025-01-06T00:00:00"/>
    <s v="Cash"/>
    <s v="M"/>
    <n v="4"/>
    <s v="Ahmedabad"/>
    <x v="1063"/>
  </r>
  <r>
    <n v="6692"/>
    <s v="MegaMart Westside"/>
    <d v="2025-02-08T00:00:00"/>
    <s v="Personal Care"/>
    <s v="Milk"/>
    <n v="2"/>
    <n v="195.05"/>
    <n v="390.1"/>
    <n v="232.4"/>
    <n v="157.69999999999999"/>
    <n v="470"/>
    <s v="14:06:12"/>
    <n v="8"/>
    <n v="2"/>
    <n v="2025"/>
    <d v="2025-02-08T00:00:00"/>
    <s v="Cash"/>
    <s v="F"/>
    <n v="5"/>
    <s v="Mumbai"/>
    <x v="1064"/>
  </r>
  <r>
    <n v="2063"/>
    <s v="FreshMart Downtown"/>
    <d v="2024-10-07T00:00:00"/>
    <s v="Snacks &amp; Candy"/>
    <s v="Yogurt"/>
    <n v="3"/>
    <n v="278.88"/>
    <n v="836.64"/>
    <n v="0"/>
    <n v="836.64"/>
    <n v="292"/>
    <s v="17:28:46"/>
    <n v="7"/>
    <n v="10"/>
    <n v="2024"/>
    <d v="2024-10-07T00:00:00"/>
    <s v="Cash"/>
    <s v="F"/>
    <n v="4"/>
    <s v="Mumbai"/>
    <x v="1065"/>
  </r>
  <r>
    <n v="9882"/>
    <s v="FamilyFood Express"/>
    <d v="2024-03-19T00:00:00"/>
    <s v="Snacks &amp; Candy"/>
    <s v="Bread"/>
    <n v="2"/>
    <n v="556.1"/>
    <n v="1112.2"/>
    <n v="290.5"/>
    <n v="821.7"/>
    <n v="168"/>
    <s v="02:44:25"/>
    <n v="19"/>
    <n v="3"/>
    <n v="2024"/>
    <d v="2024-03-19T00:00:00"/>
    <s v="Credit Card"/>
    <s v="M"/>
    <n v="4"/>
    <s v="Chennai"/>
    <x v="1066"/>
  </r>
  <r>
    <n v="5914"/>
    <s v="GreenGrocer Plaza"/>
    <d v="2025-05-29T00:00:00"/>
    <s v="Produce"/>
    <s v="Potatoes"/>
    <n v="4"/>
    <n v="2026.86"/>
    <n v="8107.44"/>
    <n v="1215.95"/>
    <n v="6891.49"/>
    <n v="303"/>
    <s v="04:44:25"/>
    <n v="29"/>
    <n v="5"/>
    <n v="2025"/>
    <d v="2025-05-29T00:00:00"/>
    <s v="Credit Card"/>
    <s v="F"/>
    <n v="2"/>
    <s v="Mumbai"/>
    <x v="1067"/>
  </r>
  <r>
    <n v="3580"/>
    <s v="FamilyFood Express"/>
    <d v="2025-02-09T00:00:00"/>
    <s v="Dairy"/>
    <s v="Potatoes"/>
    <n v="2"/>
    <n v="2390.4"/>
    <n v="4780.8"/>
    <n v="717.12"/>
    <n v="4063.68"/>
    <n v="426"/>
    <s v="22:51:55"/>
    <n v="9"/>
    <n v="2"/>
    <n v="2025"/>
    <d v="2025-02-09T00:00:00"/>
    <s v="Debit Card"/>
    <s v="F"/>
    <n v="3"/>
    <s v="Ahmedabad"/>
    <x v="1068"/>
  </r>
  <r>
    <n v="3852"/>
    <s v="ValuePlus Market"/>
    <d v="2025-04-14T00:00:00"/>
    <s v="Bakery"/>
    <s v="Bread"/>
    <n v="5"/>
    <n v="1573.68"/>
    <n v="7868.4"/>
    <n v="0"/>
    <n v="7868.4"/>
    <n v="391"/>
    <s v="23:32:11"/>
    <n v="14"/>
    <n v="4"/>
    <n v="2025"/>
    <d v="2025-04-14T00:00:00"/>
    <s v="Cash"/>
    <s v="M"/>
    <n v="5"/>
    <s v="Chennai"/>
    <x v="1069"/>
  </r>
  <r>
    <n v="6922"/>
    <s v="City Fresh Store"/>
    <d v="2024-09-05T00:00:00"/>
    <s v="Household Items"/>
    <s v="Chicken Breast"/>
    <n v="1"/>
    <n v="2427.75"/>
    <n v="2427.75"/>
    <n v="243.19"/>
    <n v="2184.56"/>
    <n v="469"/>
    <s v="21:22:37"/>
    <n v="5"/>
    <n v="9"/>
    <n v="2024"/>
    <d v="2024-09-05T00:00:00"/>
    <s v="Cash"/>
    <s v="M"/>
    <n v="2"/>
    <s v="Chennai"/>
    <x v="1070"/>
  </r>
  <r>
    <n v="4673"/>
    <s v="MegaMart Westside"/>
    <d v="2023-11-09T00:00:00"/>
    <s v="Dairy"/>
    <s v="Eggs"/>
    <n v="1"/>
    <n v="2294.12"/>
    <n v="2294.12"/>
    <n v="344.45"/>
    <n v="1949.67"/>
    <n v="226"/>
    <s v="01:49:42"/>
    <n v="9"/>
    <n v="11"/>
    <n v="2023"/>
    <d v="2023-11-09T00:00:00"/>
    <s v="Credit Card"/>
    <s v="M"/>
    <n v="4"/>
    <s v="Kolkata"/>
    <x v="1071"/>
  </r>
  <r>
    <n v="4292"/>
    <s v="Corner Grocery"/>
    <d v="2025-04-13T00:00:00"/>
    <s v="Dairy"/>
    <s v="Chicken Breast"/>
    <n v="1"/>
    <n v="1428.43"/>
    <n v="1428.43"/>
    <n v="142.76"/>
    <n v="1285.67"/>
    <n v="150"/>
    <s v="19:51:16"/>
    <n v="13"/>
    <n v="4"/>
    <n v="2025"/>
    <d v="2025-04-13T00:00:00"/>
    <s v="Cash"/>
    <s v="F"/>
    <n v="2"/>
    <s v="Bangalore"/>
    <x v="1072"/>
  </r>
  <r>
    <n v="3275"/>
    <s v="GreenGrocer Plaza"/>
    <d v="2024-02-06T00:00:00"/>
    <s v="Household Items"/>
    <s v="Cheese"/>
    <n v="2"/>
    <n v="2162.98"/>
    <n v="4325.96"/>
    <n v="432.43"/>
    <n v="3893.53"/>
    <n v="403"/>
    <s v="05:17:59"/>
    <n v="6"/>
    <n v="2"/>
    <n v="2024"/>
    <d v="2024-02-06T00:00:00"/>
    <s v="Credit Card"/>
    <s v="M"/>
    <n v="3"/>
    <s v="Hyderabad"/>
    <x v="1073"/>
  </r>
  <r>
    <n v="9094"/>
    <s v="Corner Grocery"/>
    <d v="2023-08-27T00:00:00"/>
    <s v="Beverages"/>
    <s v="Cheese"/>
    <n v="5"/>
    <n v="1572.85"/>
    <n v="7864.25"/>
    <n v="786.01"/>
    <n v="7078.24"/>
    <n v="173"/>
    <s v="19:40:37"/>
    <n v="27"/>
    <n v="8"/>
    <n v="2023"/>
    <d v="2023-08-27T00:00:00"/>
    <s v="Cash"/>
    <s v="F"/>
    <n v="5"/>
    <s v="Jaipur"/>
    <x v="1074"/>
  </r>
  <r>
    <n v="6912"/>
    <s v="ValuePlus Market"/>
    <d v="2024-10-10T00:00:00"/>
    <s v="Canned Goods"/>
    <s v="Yogurt"/>
    <n v="1"/>
    <n v="329.51"/>
    <n v="329.51"/>
    <n v="345.28"/>
    <n v="-15.77"/>
    <n v="304"/>
    <s v="19:55:44"/>
    <n v="10"/>
    <n v="10"/>
    <n v="2024"/>
    <d v="2024-10-10T00:00:00"/>
    <s v="Debit Card"/>
    <s v="F"/>
    <n v="3"/>
    <s v="Kolkata"/>
    <x v="1075"/>
  </r>
  <r>
    <n v="7044"/>
    <s v="FamilyFood Express"/>
    <d v="2024-08-04T00:00:00"/>
    <s v="Household Items"/>
    <s v="Eggs"/>
    <n v="5"/>
    <n v="698.86"/>
    <n v="3494.3"/>
    <n v="0"/>
    <n v="3494.3"/>
    <n v="215"/>
    <s v="05:46:17"/>
    <n v="4"/>
    <n v="8"/>
    <n v="2024"/>
    <d v="2024-08-04T00:00:00"/>
    <s v="Cash"/>
    <s v="F"/>
    <n v="1"/>
    <s v="Lucknow"/>
    <x v="1076"/>
  </r>
  <r>
    <n v="3126"/>
    <s v="City Fresh Store"/>
    <d v="2024-11-24T00:00:00"/>
    <s v="Meat &amp; Seafood"/>
    <s v="Ground Beef"/>
    <n v="2"/>
    <n v="2000.3"/>
    <n v="4000.6"/>
    <n v="600.09"/>
    <n v="3400.51"/>
    <n v="30"/>
    <s v="04:25:33"/>
    <n v="24"/>
    <n v="11"/>
    <n v="2024"/>
    <d v="2024-11-24T00:00:00"/>
    <s v="Cash"/>
    <s v="F"/>
    <n v="5"/>
    <s v="Bangalore"/>
    <x v="1077"/>
  </r>
  <r>
    <n v="2412"/>
    <s v="Corner Grocery"/>
    <d v="2023-09-27T00:00:00"/>
    <s v="Personal Care"/>
    <s v="Orange Juice"/>
    <n v="3"/>
    <n v="1487.36"/>
    <n v="4462.08"/>
    <n v="892.25"/>
    <n v="3569.83"/>
    <n v="277"/>
    <s v="01:57:04"/>
    <n v="27"/>
    <n v="9"/>
    <n v="2023"/>
    <d v="2023-09-27T00:00:00"/>
    <s v="UPI"/>
    <s v="F"/>
    <n v="3"/>
    <s v="Bangalore"/>
    <x v="1078"/>
  </r>
  <r>
    <n v="6067"/>
    <s v="City Fresh Store"/>
    <d v="2024-06-11T00:00:00"/>
    <s v="Frozen Foods"/>
    <s v="Cereal"/>
    <n v="3"/>
    <n v="970.27"/>
    <n v="2910.81"/>
    <n v="161.85"/>
    <n v="2748.96"/>
    <n v="4"/>
    <s v="01:44:35"/>
    <n v="11"/>
    <n v="6"/>
    <n v="2024"/>
    <d v="2024-06-11T00:00:00"/>
    <s v="Credit Card"/>
    <s v="F"/>
    <n v="4"/>
    <s v="Bangalore"/>
    <x v="1079"/>
  </r>
  <r>
    <n v="8842"/>
    <s v="ValuePlus Market"/>
    <d v="2024-09-18T00:00:00"/>
    <s v="Produce"/>
    <s v="Cheese"/>
    <n v="3"/>
    <n v="552.78"/>
    <n v="1658.34"/>
    <n v="196.71"/>
    <n v="1461.63"/>
    <n v="102"/>
    <s v="02:14:12"/>
    <n v="18"/>
    <n v="9"/>
    <n v="2024"/>
    <d v="2024-09-18T00:00:00"/>
    <s v="Cash"/>
    <s v="F"/>
    <n v="5"/>
    <s v="Delhi"/>
    <x v="1080"/>
  </r>
  <r>
    <n v="7730"/>
    <s v="City Fresh Store"/>
    <d v="2025-03-26T00:00:00"/>
    <s v="Beverages"/>
    <s v="Cereal"/>
    <n v="5"/>
    <n v="1445.03"/>
    <n v="7225.15"/>
    <n v="722.93"/>
    <n v="6502.22"/>
    <n v="171"/>
    <s v="00:23:11"/>
    <n v="26"/>
    <n v="3"/>
    <n v="2025"/>
    <d v="2025-03-26T00:00:00"/>
    <s v="Cash"/>
    <s v="M"/>
    <n v="5"/>
    <s v="Lucknow"/>
    <x v="1081"/>
  </r>
  <r>
    <n v="7708"/>
    <s v="MegaMart Westside"/>
    <d v="2025-05-07T00:00:00"/>
    <s v="Meat &amp; Seafood"/>
    <s v="Chicken Breast"/>
    <n v="4"/>
    <n v="2191.1999999999998"/>
    <n v="8764.7999999999993"/>
    <n v="876.48"/>
    <n v="7888.32"/>
    <n v="466"/>
    <s v="22:06:43"/>
    <n v="7"/>
    <n v="5"/>
    <n v="2025"/>
    <d v="2025-05-07T00:00:00"/>
    <s v="UPI"/>
    <s v="M"/>
    <n v="2"/>
    <s v="Kolkata"/>
    <x v="1082"/>
  </r>
  <r>
    <n v="2208"/>
    <s v="FamilyFood Express"/>
    <d v="2023-11-12T00:00:00"/>
    <s v="Produce"/>
    <s v="Ground Beef"/>
    <n v="2"/>
    <n v="1205.1600000000001"/>
    <n v="2410.3200000000002"/>
    <n v="240.7"/>
    <n v="2169.62"/>
    <n v="109"/>
    <s v="20:55:50"/>
    <n v="12"/>
    <n v="11"/>
    <n v="2023"/>
    <d v="2023-11-12T00:00:00"/>
    <s v="UPI"/>
    <s v="F"/>
    <n v="4"/>
    <s v="Lucknow"/>
    <x v="1083"/>
  </r>
  <r>
    <n v="6194"/>
    <s v="MegaMart Westside"/>
    <d v="2024-12-17T00:00:00"/>
    <s v="Snacks &amp; Candy"/>
    <s v="Yogurt"/>
    <n v="4"/>
    <n v="525.39"/>
    <n v="2101.56"/>
    <n v="107.07"/>
    <n v="1994.49"/>
    <n v="3"/>
    <s v="13:01:53"/>
    <n v="17"/>
    <n v="12"/>
    <n v="2024"/>
    <d v="2024-12-17T00:00:00"/>
    <s v="Credit Card"/>
    <s v="F"/>
    <n v="1"/>
    <s v="Hyderabad"/>
    <x v="1084"/>
  </r>
  <r>
    <n v="2215"/>
    <s v="FreshMart Downtown"/>
    <d v="2024-07-21T00:00:00"/>
    <s v="Personal Care"/>
    <s v="Chicken Breast"/>
    <n v="2"/>
    <n v="781.86"/>
    <n v="1563.72"/>
    <n v="406.7"/>
    <n v="1157.02"/>
    <n v="99"/>
    <s v="12:20:25"/>
    <n v="21"/>
    <n v="7"/>
    <n v="2024"/>
    <d v="2024-07-21T00:00:00"/>
    <s v="UPI"/>
    <s v="M"/>
    <n v="3"/>
    <s v="Pune"/>
    <x v="1085"/>
  </r>
  <r>
    <n v="8632"/>
    <s v="FamilyFood Express"/>
    <d v="2025-01-16T00:00:00"/>
    <s v="Bakery"/>
    <s v="Rice"/>
    <n v="2"/>
    <n v="609.22"/>
    <n v="1218.44"/>
    <n v="182.6"/>
    <n v="1035.8399999999999"/>
    <n v="134"/>
    <s v="07:45:38"/>
    <n v="16"/>
    <n v="1"/>
    <n v="2025"/>
    <d v="2025-01-16T00:00:00"/>
    <s v="Debit Card"/>
    <s v="F"/>
    <n v="2"/>
    <s v="Lucknow"/>
    <x v="1086"/>
  </r>
  <r>
    <n v="9476"/>
    <s v="ValuePlus Market"/>
    <d v="2024-04-30T00:00:00"/>
    <s v="Bakery"/>
    <s v="Apples"/>
    <n v="2"/>
    <n v="133.63"/>
    <n v="267.26"/>
    <n v="89.64"/>
    <n v="177.62"/>
    <n v="431"/>
    <s v="01:35:06"/>
    <n v="30"/>
    <n v="4"/>
    <n v="2024"/>
    <d v="2024-04-30T00:00:00"/>
    <s v="UPI"/>
    <s v="M"/>
    <n v="3"/>
    <s v="Bangalore"/>
    <x v="1087"/>
  </r>
  <r>
    <n v="3102"/>
    <s v="SuperSave Central"/>
    <d v="2025-06-18T00:00:00"/>
    <s v="Snacks &amp; Candy"/>
    <s v="Chicken Breast"/>
    <n v="3"/>
    <n v="2335.62"/>
    <n v="7006.86"/>
    <n v="1401.04"/>
    <n v="5605.82"/>
    <n v="156"/>
    <s v="15:35:33"/>
    <n v="18"/>
    <n v="6"/>
    <n v="2025"/>
    <d v="2025-06-18T00:00:00"/>
    <s v="Debit Card"/>
    <s v="M"/>
    <n v="1"/>
    <s v="Hyderabad"/>
    <x v="1088"/>
  </r>
  <r>
    <n v="3981"/>
    <s v="MegaMart Westside"/>
    <d v="2025-03-25T00:00:00"/>
    <s v="Canned Goods"/>
    <s v="Apples"/>
    <n v="5"/>
    <n v="2434.39"/>
    <n v="12171.95"/>
    <n v="0"/>
    <n v="12171.95"/>
    <n v="319"/>
    <s v="14:59:09"/>
    <n v="25"/>
    <n v="3"/>
    <n v="2025"/>
    <d v="2025-03-25T00:00:00"/>
    <s v="Credit Card"/>
    <s v="M"/>
    <n v="1"/>
    <s v="Pune"/>
    <x v="1089"/>
  </r>
  <r>
    <n v="3114"/>
    <s v="GreenGrocer Plaza"/>
    <d v="2024-07-08T00:00:00"/>
    <s v="Dairy"/>
    <s v="Eggs"/>
    <n v="2"/>
    <n v="1995.32"/>
    <n v="3990.64"/>
    <n v="0"/>
    <n v="3990.64"/>
    <n v="98"/>
    <s v="04:37:05"/>
    <n v="8"/>
    <n v="7"/>
    <n v="2024"/>
    <d v="2024-07-08T00:00:00"/>
    <s v="Credit Card"/>
    <s v="F"/>
    <n v="5"/>
    <s v="Ahmedabad"/>
    <x v="1090"/>
  </r>
  <r>
    <n v="9238"/>
    <s v="MegaMart Westside"/>
    <d v="2025-07-14T00:00:00"/>
    <s v="Canned Goods"/>
    <s v="Cheese"/>
    <n v="2"/>
    <n v="2299.1"/>
    <n v="4598.2"/>
    <n v="180.94"/>
    <n v="4417.26"/>
    <n v="390"/>
    <s v="20:18:10"/>
    <n v="14"/>
    <n v="7"/>
    <n v="2025"/>
    <d v="2025-07-14T00:00:00"/>
    <s v="Credit Card"/>
    <s v="F"/>
    <n v="1"/>
    <s v="Pune"/>
    <x v="1091"/>
  </r>
  <r>
    <n v="1907"/>
    <s v="SuperSave Central"/>
    <d v="2025-05-13T00:00:00"/>
    <s v="Canned Goods"/>
    <s v="Ground Beef"/>
    <n v="1"/>
    <n v="1596.92"/>
    <n v="1596.92"/>
    <n v="404.21"/>
    <n v="1192.71"/>
    <n v="143"/>
    <s v="18:41:38"/>
    <n v="13"/>
    <n v="5"/>
    <n v="2025"/>
    <d v="2025-05-13T00:00:00"/>
    <s v="Credit Card"/>
    <s v="M"/>
    <n v="3"/>
    <s v="Ahmedabad"/>
    <x v="1092"/>
  </r>
  <r>
    <n v="3034"/>
    <s v="City Fresh Store"/>
    <d v="2024-09-12T00:00:00"/>
    <s v="Bakery"/>
    <s v="Bread"/>
    <n v="4"/>
    <n v="1986.19"/>
    <n v="7944.76"/>
    <n v="1588.62"/>
    <n v="6356.14"/>
    <n v="314"/>
    <s v="13:00:27"/>
    <n v="12"/>
    <n v="9"/>
    <n v="2024"/>
    <d v="2024-09-12T00:00:00"/>
    <s v="Credit Card"/>
    <s v="M"/>
    <n v="4"/>
    <s v="Mumbai"/>
    <x v="1093"/>
  </r>
  <r>
    <n v="3507"/>
    <s v="ValuePlus Market"/>
    <d v="2024-03-30T00:00:00"/>
    <s v="Snacks &amp; Candy"/>
    <s v="Carrots"/>
    <n v="3"/>
    <n v="1282.3499999999999"/>
    <n v="3847.05"/>
    <n v="576.85"/>
    <n v="3270.2"/>
    <n v="237"/>
    <s v="21:33:08"/>
    <n v="30"/>
    <n v="3"/>
    <n v="2024"/>
    <d v="2024-03-30T00:00:00"/>
    <s v="Debit Card"/>
    <s v="M"/>
    <n v="4"/>
    <s v="Pune"/>
    <x v="1094"/>
  </r>
  <r>
    <n v="3697"/>
    <s v="MegaMart Westside"/>
    <d v="2023-12-10T00:00:00"/>
    <s v="Personal Care"/>
    <s v="Potatoes"/>
    <n v="4"/>
    <n v="1222.5899999999999"/>
    <n v="4890.3599999999997"/>
    <n v="0"/>
    <n v="4890.3599999999997"/>
    <n v="297"/>
    <s v="06:35:20"/>
    <n v="10"/>
    <n v="12"/>
    <n v="2023"/>
    <d v="2023-12-10T00:00:00"/>
    <s v="Debit Card"/>
    <s v="M"/>
    <n v="5"/>
    <s v="Ahmedabad"/>
    <x v="1095"/>
  </r>
  <r>
    <n v="6286"/>
    <s v="FreshMart Downtown"/>
    <d v="2025-08-02T00:00:00"/>
    <s v="Bakery"/>
    <s v="Ground Beef"/>
    <n v="2"/>
    <n v="1170.3"/>
    <n v="2340.6"/>
    <n v="468.12"/>
    <n v="1872.48"/>
    <n v="120"/>
    <s v="18:08:53"/>
    <n v="2"/>
    <n v="8"/>
    <n v="2025"/>
    <d v="2025-08-02T00:00:00"/>
    <s v="Credit Card"/>
    <s v="M"/>
    <n v="3"/>
    <s v="Jaipur"/>
    <x v="1096"/>
  </r>
  <r>
    <n v="4694"/>
    <s v="QuickStop Market"/>
    <d v="2024-05-01T00:00:00"/>
    <s v="Snacks &amp; Candy"/>
    <s v="Tomatoes"/>
    <n v="5"/>
    <n v="460.65"/>
    <n v="2303.25"/>
    <n v="345.28"/>
    <n v="1957.97"/>
    <n v="431"/>
    <s v="16:49:29"/>
    <n v="1"/>
    <n v="5"/>
    <n v="2024"/>
    <d v="2024-05-01T00:00:00"/>
    <s v="UPI"/>
    <s v="F"/>
    <n v="3"/>
    <s v="Bangalore"/>
    <x v="1097"/>
  </r>
  <r>
    <n v="9501"/>
    <s v="ValuePlus Market"/>
    <d v="2025-07-02T00:00:00"/>
    <s v="Dairy"/>
    <s v="Eggs"/>
    <n v="1"/>
    <n v="792.65"/>
    <n v="792.65"/>
    <n v="158.53"/>
    <n v="634.12"/>
    <n v="265"/>
    <s v="22:47:32"/>
    <n v="2"/>
    <n v="7"/>
    <n v="2025"/>
    <d v="2025-07-02T00:00:00"/>
    <s v="Cash"/>
    <s v="M"/>
    <n v="1"/>
    <s v="Delhi"/>
    <x v="1098"/>
  </r>
  <r>
    <n v="5653"/>
    <s v="FreshMart Downtown"/>
    <d v="2025-05-25T00:00:00"/>
    <s v="Beverages"/>
    <s v="Carrots"/>
    <n v="5"/>
    <n v="891.42"/>
    <n v="4457.1000000000004"/>
    <n v="445.71"/>
    <n v="4011.39"/>
    <n v="230"/>
    <s v="08:10:16"/>
    <n v="25"/>
    <n v="5"/>
    <n v="2025"/>
    <d v="2025-05-25T00:00:00"/>
    <s v="Credit Card"/>
    <s v="F"/>
    <n v="3"/>
    <s v="Pune"/>
    <x v="1099"/>
  </r>
  <r>
    <n v="2292"/>
    <s v="Corner Grocery"/>
    <d v="2024-02-17T00:00:00"/>
    <s v="Canned Goods"/>
    <s v="Potatoes"/>
    <n v="3"/>
    <n v="739.53"/>
    <n v="2218.59"/>
    <n v="221.61"/>
    <n v="1996.98"/>
    <n v="12"/>
    <s v="05:02:02"/>
    <n v="17"/>
    <n v="2"/>
    <n v="2024"/>
    <d v="2024-02-17T00:00:00"/>
    <s v="UPI"/>
    <s v="M"/>
    <n v="2"/>
    <s v="Chennai"/>
    <x v="1100"/>
  </r>
  <r>
    <n v="4216"/>
    <s v="FamilyFood Express"/>
    <d v="2024-12-12T00:00:00"/>
    <s v="Frozen Foods"/>
    <s v="Bread"/>
    <n v="3"/>
    <n v="2251.79"/>
    <n v="6755.37"/>
    <n v="1013.43"/>
    <n v="5741.94"/>
    <n v="150"/>
    <s v="05:13:39"/>
    <n v="12"/>
    <n v="12"/>
    <n v="2024"/>
    <d v="2024-12-12T00:00:00"/>
    <s v="Cash"/>
    <s v="F"/>
    <n v="1"/>
    <s v="Lucknow"/>
    <x v="1101"/>
  </r>
  <r>
    <n v="5496"/>
    <s v="FamilyFood Express"/>
    <d v="2023-11-12T00:00:00"/>
    <s v="Dairy"/>
    <s v="Chicken Breast"/>
    <n v="1"/>
    <n v="949.52"/>
    <n v="949.52"/>
    <n v="142.76"/>
    <n v="806.76"/>
    <n v="279"/>
    <s v="17:29:34"/>
    <n v="12"/>
    <n v="11"/>
    <n v="2023"/>
    <d v="2023-11-12T00:00:00"/>
    <s v="Credit Card"/>
    <s v="F"/>
    <n v="2"/>
    <s v="Ahmedabad"/>
    <x v="1102"/>
  </r>
  <r>
    <n v="5961"/>
    <s v="FamilyFood Express"/>
    <d v="2024-11-26T00:00:00"/>
    <s v="Health &amp; Wellness"/>
    <s v="Cereal"/>
    <n v="3"/>
    <n v="810.91"/>
    <n v="2432.73"/>
    <n v="486.38"/>
    <n v="1946.35"/>
    <n v="417"/>
    <s v="17:56:16"/>
    <n v="26"/>
    <n v="11"/>
    <n v="2024"/>
    <d v="2024-11-26T00:00:00"/>
    <s v="Credit Card"/>
    <s v="F"/>
    <n v="5"/>
    <s v="Kolkata"/>
    <x v="1103"/>
  </r>
  <r>
    <n v="9740"/>
    <s v="SuperSave Central"/>
    <d v="2023-10-18T00:00:00"/>
    <s v="Personal Care"/>
    <s v="Pasta"/>
    <n v="1"/>
    <n v="1935.56"/>
    <n v="1935.56"/>
    <n v="193.39"/>
    <n v="1742.17"/>
    <n v="144"/>
    <s v="00:17:32"/>
    <n v="18"/>
    <n v="10"/>
    <n v="2023"/>
    <d v="2023-10-18T00:00:00"/>
    <s v="Debit Card"/>
    <s v="F"/>
    <n v="4"/>
    <s v="Ahmedabad"/>
    <x v="1104"/>
  </r>
  <r>
    <n v="9234"/>
    <s v="Corner Grocery"/>
    <d v="2024-12-16T00:00:00"/>
    <s v="Household Items"/>
    <s v="Bananas"/>
    <n v="4"/>
    <n v="1656.68"/>
    <n v="6626.72"/>
    <n v="662.34"/>
    <n v="5964.38"/>
    <n v="389"/>
    <s v="18:37:28"/>
    <n v="16"/>
    <n v="12"/>
    <n v="2024"/>
    <d v="2024-12-16T00:00:00"/>
    <s v="Cash"/>
    <s v="F"/>
    <n v="5"/>
    <s v="Pune"/>
    <x v="1105"/>
  </r>
  <r>
    <n v="3762"/>
    <s v="FreshMart Downtown"/>
    <d v="2024-11-08T00:00:00"/>
    <s v="Bakery"/>
    <s v="Yogurt"/>
    <n v="4"/>
    <n v="644.91"/>
    <n v="2579.64"/>
    <n v="0"/>
    <n v="2579.64"/>
    <n v="300"/>
    <s v="19:29:07"/>
    <n v="8"/>
    <n v="11"/>
    <n v="2024"/>
    <d v="2024-11-08T00:00:00"/>
    <s v="Cash"/>
    <s v="F"/>
    <n v="4"/>
    <s v="Ahmedabad"/>
    <x v="1106"/>
  </r>
  <r>
    <n v="3526"/>
    <s v="City Fresh Store"/>
    <d v="2023-12-17T00:00:00"/>
    <s v="Canned Goods"/>
    <s v="Bread"/>
    <n v="3"/>
    <n v="2118.16"/>
    <n v="6354.48"/>
    <n v="1270.73"/>
    <n v="5083.75"/>
    <n v="219"/>
    <s v="07:16:00"/>
    <n v="17"/>
    <n v="12"/>
    <n v="2023"/>
    <d v="2023-12-17T00:00:00"/>
    <s v="UPI"/>
    <s v="M"/>
    <n v="5"/>
    <s v="Hyderabad"/>
    <x v="1107"/>
  </r>
  <r>
    <n v="6531"/>
    <s v="City Fresh Store"/>
    <d v="2025-05-22T00:00:00"/>
    <s v="Beverages"/>
    <s v="Onions"/>
    <n v="1"/>
    <n v="984.38"/>
    <n v="984.38"/>
    <n v="147.74"/>
    <n v="836.64"/>
    <n v="295"/>
    <s v="13:06:21"/>
    <n v="22"/>
    <n v="5"/>
    <n v="2025"/>
    <d v="2025-05-22T00:00:00"/>
    <s v="Debit Card"/>
    <s v="F"/>
    <n v="3"/>
    <s v="Kolkata"/>
    <x v="1108"/>
  </r>
  <r>
    <n v="1674"/>
    <s v="FreshMart Downtown"/>
    <d v="2025-05-08T00:00:00"/>
    <s v="Beverages"/>
    <s v="Orange Juice"/>
    <n v="3"/>
    <n v="624.99"/>
    <n v="1874.97"/>
    <n v="0"/>
    <n v="1874.97"/>
    <n v="217"/>
    <s v="12:33:22"/>
    <n v="8"/>
    <n v="5"/>
    <n v="2025"/>
    <d v="2025-05-08T00:00:00"/>
    <s v="Debit Card"/>
    <s v="M"/>
    <n v="2"/>
    <s v="Pune"/>
    <x v="1109"/>
  </r>
  <r>
    <n v="1464"/>
    <s v="ValuePlus Market"/>
    <d v="2023-10-09T00:00:00"/>
    <s v="Frozen Foods"/>
    <s v="Cereal"/>
    <n v="5"/>
    <n v="137.78"/>
    <n v="688.9"/>
    <n v="137.78"/>
    <n v="551.12"/>
    <n v="402"/>
    <s v="17:04:31"/>
    <n v="9"/>
    <n v="10"/>
    <n v="2023"/>
    <d v="2023-10-09T00:00:00"/>
    <s v="Debit Card"/>
    <s v="F"/>
    <n v="4"/>
    <s v="Delhi"/>
    <x v="1110"/>
  </r>
  <r>
    <n v="1744"/>
    <s v="SuperSave Central"/>
    <d v="2024-12-17T00:00:00"/>
    <s v="Canned Goods"/>
    <s v="Tomatoes"/>
    <n v="4"/>
    <n v="573.53"/>
    <n v="2294.12"/>
    <n v="211.65"/>
    <n v="2082.4699999999998"/>
    <n v="200"/>
    <s v="11:52:19"/>
    <n v="17"/>
    <n v="12"/>
    <n v="2024"/>
    <d v="2024-12-17T00:00:00"/>
    <s v="Debit Card"/>
    <s v="F"/>
    <n v="1"/>
    <s v="Hyderabad"/>
    <x v="1111"/>
  </r>
  <r>
    <n v="5336"/>
    <s v="City Fresh Store"/>
    <d v="2024-12-24T00:00:00"/>
    <s v="Dairy"/>
    <s v="Cereal"/>
    <n v="5"/>
    <n v="2397.87"/>
    <n v="11989.35"/>
    <n v="140.27000000000001"/>
    <n v="11849.08"/>
    <n v="327"/>
    <s v="17:13:56"/>
    <n v="24"/>
    <n v="12"/>
    <n v="2024"/>
    <d v="2024-12-24T00:00:00"/>
    <s v="Cash"/>
    <s v="M"/>
    <n v="2"/>
    <s v="Kolkata"/>
    <x v="1112"/>
  </r>
  <r>
    <n v="4453"/>
    <s v="ValuePlus Market"/>
    <d v="2025-03-24T00:00:00"/>
    <s v="Meat &amp; Seafood"/>
    <s v="Milk"/>
    <n v="5"/>
    <n v="1258.28"/>
    <n v="6291.4"/>
    <n v="385.95"/>
    <n v="5905.45"/>
    <n v="95"/>
    <s v="15:46:53"/>
    <n v="24"/>
    <n v="3"/>
    <n v="2025"/>
    <d v="2025-03-24T00:00:00"/>
    <s v="Cash"/>
    <s v="F"/>
    <n v="1"/>
    <s v="Lucknow"/>
    <x v="1113"/>
  </r>
  <r>
    <n v="7825"/>
    <s v="Corner Grocery"/>
    <d v="2024-11-29T00:00:00"/>
    <s v="Frozen Foods"/>
    <s v="Yogurt"/>
    <n v="2"/>
    <n v="782.69"/>
    <n v="1565.38"/>
    <n v="156.87"/>
    <n v="1408.51"/>
    <n v="268"/>
    <s v="02:41:01"/>
    <n v="29"/>
    <n v="11"/>
    <n v="2024"/>
    <d v="2024-11-29T00:00:00"/>
    <s v="Credit Card"/>
    <s v="M"/>
    <n v="2"/>
    <s v="Chennai"/>
    <x v="1114"/>
  </r>
  <r>
    <n v="1496"/>
    <s v="FreshMart Downtown"/>
    <d v="2024-08-27T00:00:00"/>
    <s v="Canned Goods"/>
    <s v="Carrots"/>
    <n v="1"/>
    <n v="495.51"/>
    <n v="495.51"/>
    <n v="49.8"/>
    <n v="445.71"/>
    <n v="440"/>
    <s v="06:44:32"/>
    <n v="27"/>
    <n v="8"/>
    <n v="2024"/>
    <d v="2024-08-27T00:00:00"/>
    <s v="Credit Card"/>
    <s v="M"/>
    <n v="2"/>
    <s v="Lucknow"/>
    <x v="1115"/>
  </r>
  <r>
    <n v="9938"/>
    <s v="SuperSave Central"/>
    <d v="2024-03-18T00:00:00"/>
    <s v="Dairy"/>
    <s v="Eggs"/>
    <n v="5"/>
    <n v="1088.96"/>
    <n v="5444.8"/>
    <n v="544.48"/>
    <n v="4900.32"/>
    <n v="380"/>
    <s v="10:22:22"/>
    <n v="18"/>
    <n v="3"/>
    <n v="2024"/>
    <d v="2024-03-18T00:00:00"/>
    <s v="Debit Card"/>
    <s v="M"/>
    <n v="5"/>
    <s v="Ahmedabad"/>
    <x v="1116"/>
  </r>
  <r>
    <n v="5949"/>
    <s v="FamilyFood Express"/>
    <d v="2024-08-16T00:00:00"/>
    <s v="Meat &amp; Seafood"/>
    <s v="Yogurt"/>
    <n v="3"/>
    <n v="1122.1600000000001"/>
    <n v="3366.48"/>
    <n v="673.13"/>
    <n v="2693.35"/>
    <n v="363"/>
    <s v="04:04:18"/>
    <n v="16"/>
    <n v="8"/>
    <n v="2024"/>
    <d v="2024-08-16T00:00:00"/>
    <s v="Debit Card"/>
    <s v="M"/>
    <n v="4"/>
    <s v="Ahmedabad"/>
    <x v="1117"/>
  </r>
  <r>
    <n v="5012"/>
    <s v="QuickStop Market"/>
    <d v="2025-04-23T00:00:00"/>
    <s v="Household Items"/>
    <s v="Yogurt"/>
    <n v="5"/>
    <n v="1807.74"/>
    <n v="9038.7000000000007"/>
    <n v="1807.74"/>
    <n v="7230.96"/>
    <n v="234"/>
    <s v="09:07:56"/>
    <n v="23"/>
    <n v="4"/>
    <n v="2025"/>
    <d v="2025-04-23T00:00:00"/>
    <s v="Debit Card"/>
    <s v="F"/>
    <n v="4"/>
    <s v="Mumbai"/>
    <x v="1118"/>
  </r>
  <r>
    <n v="7653"/>
    <s v="FreshMart Downtown"/>
    <d v="2024-03-25T00:00:00"/>
    <s v="Meat &amp; Seafood"/>
    <s v="Salmon"/>
    <n v="1"/>
    <n v="2066.6999999999998"/>
    <n v="2066.6999999999998"/>
    <n v="192.56"/>
    <n v="1874.14"/>
    <n v="309"/>
    <s v="13:12:07"/>
    <n v="25"/>
    <n v="3"/>
    <n v="2024"/>
    <d v="2024-03-25T00:00:00"/>
    <s v="Credit Card"/>
    <s v="F"/>
    <n v="2"/>
    <s v="Kolkata"/>
    <x v="1119"/>
  </r>
  <r>
    <n v="8430"/>
    <s v="City Fresh Store"/>
    <d v="2023-10-02T00:00:00"/>
    <s v="Beverages"/>
    <s v="Salmon"/>
    <n v="5"/>
    <n v="175.96"/>
    <n v="879.8"/>
    <n v="0"/>
    <n v="879.8"/>
    <n v="46"/>
    <s v="21:32:16"/>
    <n v="2"/>
    <n v="10"/>
    <n v="2023"/>
    <d v="2023-10-02T00:00:00"/>
    <s v="UPI"/>
    <s v="M"/>
    <n v="3"/>
    <s v="Ahmedabad"/>
    <x v="1120"/>
  </r>
  <r>
    <n v="1981"/>
    <s v="City Fresh Store"/>
    <d v="2023-12-07T00:00:00"/>
    <s v="Canned Goods"/>
    <s v="Rice"/>
    <n v="4"/>
    <n v="1557.91"/>
    <n v="6231.64"/>
    <n v="623.33000000000004"/>
    <n v="5608.31"/>
    <n v="414"/>
    <s v="13:23:09"/>
    <n v="7"/>
    <n v="12"/>
    <n v="2023"/>
    <d v="2023-12-07T00:00:00"/>
    <s v="UPI"/>
    <s v="F"/>
    <n v="3"/>
    <s v="Mumbai"/>
    <x v="1121"/>
  </r>
  <r>
    <n v="8202"/>
    <s v="FamilyFood Express"/>
    <d v="2024-06-24T00:00:00"/>
    <s v="Meat &amp; Seafood"/>
    <s v="Cheese"/>
    <n v="4"/>
    <n v="1008.45"/>
    <n v="4033.8"/>
    <n v="0"/>
    <n v="4033.8"/>
    <n v="337"/>
    <s v="23:59:30"/>
    <n v="24"/>
    <n v="6"/>
    <n v="2024"/>
    <d v="2024-06-24T00:00:00"/>
    <s v="Credit Card"/>
    <s v="F"/>
    <n v="1"/>
    <s v="Lucknow"/>
    <x v="1122"/>
  </r>
  <r>
    <n v="8933"/>
    <s v="GreenGrocer Plaza"/>
    <d v="2024-08-01T00:00:00"/>
    <s v="Snacks &amp; Candy"/>
    <s v="Milk"/>
    <n v="2"/>
    <n v="2213.61"/>
    <n v="4427.22"/>
    <n v="0"/>
    <n v="4427.22"/>
    <n v="80"/>
    <s v="08:14:02"/>
    <n v="1"/>
    <n v="8"/>
    <n v="2024"/>
    <d v="2024-08-01T00:00:00"/>
    <s v="Credit Card"/>
    <s v="M"/>
    <n v="1"/>
    <s v="Mumbai"/>
    <x v="1123"/>
  </r>
  <r>
    <n v="4342"/>
    <s v="ValuePlus Market"/>
    <d v="2024-04-27T00:00:00"/>
    <s v="Frozen Foods"/>
    <s v="Bread"/>
    <n v="2"/>
    <n v="2269.2199999999998"/>
    <n v="4538.4399999999996"/>
    <n v="680.6"/>
    <n v="3857.84"/>
    <n v="210"/>
    <s v="10:07:12"/>
    <n v="27"/>
    <n v="4"/>
    <n v="2024"/>
    <d v="2024-04-27T00:00:00"/>
    <s v="Credit Card"/>
    <s v="F"/>
    <n v="5"/>
    <s v="Lucknow"/>
    <x v="1124"/>
  </r>
  <r>
    <n v="3353"/>
    <s v="GreenGrocer Plaza"/>
    <d v="2024-04-05T00:00:00"/>
    <s v="Dairy"/>
    <s v="Carrots"/>
    <n v="3"/>
    <n v="1069.04"/>
    <n v="3207.12"/>
    <n v="641.59"/>
    <n v="2565.5300000000002"/>
    <n v="84"/>
    <s v="04:37:54"/>
    <n v="5"/>
    <n v="4"/>
    <n v="2024"/>
    <d v="2024-04-05T00:00:00"/>
    <s v="Credit Card"/>
    <s v="M"/>
    <n v="2"/>
    <s v="Pune"/>
    <x v="1125"/>
  </r>
  <r>
    <n v="6231"/>
    <s v="ValuePlus Market"/>
    <d v="2025-02-27T00:00:00"/>
    <s v="Produce"/>
    <s v="Salmon"/>
    <n v="1"/>
    <n v="258.13"/>
    <n v="258.13"/>
    <n v="25.73"/>
    <n v="232.4"/>
    <n v="355"/>
    <s v="10:43:34"/>
    <n v="27"/>
    <n v="2"/>
    <n v="2025"/>
    <d v="2025-02-27T00:00:00"/>
    <s v="Credit Card"/>
    <s v="M"/>
    <n v="1"/>
    <s v="Ahmedabad"/>
    <x v="1126"/>
  </r>
  <r>
    <n v="6658"/>
    <s v="GreenGrocer Plaza"/>
    <d v="2024-06-11T00:00:00"/>
    <s v="Snacks &amp; Candy"/>
    <s v="Yogurt"/>
    <n v="4"/>
    <n v="173.47"/>
    <n v="693.88"/>
    <n v="0"/>
    <n v="693.88"/>
    <n v="128"/>
    <s v="09:19:34"/>
    <n v="11"/>
    <n v="6"/>
    <n v="2024"/>
    <d v="2024-06-11T00:00:00"/>
    <s v="Credit Card"/>
    <s v="F"/>
    <n v="1"/>
    <s v="Hyderabad"/>
    <x v="1127"/>
  </r>
  <r>
    <n v="3142"/>
    <s v="SuperSave Central"/>
    <d v="2025-03-19T00:00:00"/>
    <s v="Canned Goods"/>
    <s v="Salmon"/>
    <n v="4"/>
    <n v="1192.71"/>
    <n v="4770.84"/>
    <n v="0"/>
    <n v="4770.84"/>
    <n v="42"/>
    <s v="07:08:01"/>
    <n v="19"/>
    <n v="3"/>
    <n v="2025"/>
    <d v="2025-03-19T00:00:00"/>
    <s v="Debit Card"/>
    <s v="F"/>
    <n v="2"/>
    <s v="Lucknow"/>
    <x v="1128"/>
  </r>
  <r>
    <n v="7070"/>
    <s v="City Fresh Store"/>
    <d v="2024-09-09T00:00:00"/>
    <s v="Meat &amp; Seafood"/>
    <s v="Potatoes"/>
    <n v="3"/>
    <n v="2108.1999999999998"/>
    <n v="6324.6"/>
    <n v="116.2"/>
    <n v="6208.4"/>
    <n v="87"/>
    <s v="20:21:19"/>
    <n v="9"/>
    <n v="9"/>
    <n v="2024"/>
    <d v="2024-09-09T00:00:00"/>
    <s v="Debit Card"/>
    <s v="F"/>
    <n v="5"/>
    <s v="Chennai"/>
    <x v="1129"/>
  </r>
  <r>
    <n v="2739"/>
    <s v="QuickStop Market"/>
    <d v="2024-04-10T00:00:00"/>
    <s v="Dairy"/>
    <s v="Onions"/>
    <n v="4"/>
    <n v="488.04"/>
    <n v="1952.16"/>
    <n v="0"/>
    <n v="1952.16"/>
    <n v="343"/>
    <s v="02:58:37"/>
    <n v="10"/>
    <n v="4"/>
    <n v="2024"/>
    <d v="2024-04-10T00:00:00"/>
    <s v="Debit Card"/>
    <s v="M"/>
    <n v="1"/>
    <s v="Hyderabad"/>
    <x v="1130"/>
  </r>
  <r>
    <n v="4960"/>
    <s v="QuickStop Market"/>
    <d v="2024-08-03T00:00:00"/>
    <s v="Meat &amp; Seafood"/>
    <s v="Salmon"/>
    <n v="3"/>
    <n v="510.45"/>
    <n v="1531.35"/>
    <n v="0"/>
    <n v="1531.35"/>
    <n v="365"/>
    <s v="20:23:36"/>
    <n v="3"/>
    <n v="8"/>
    <n v="2024"/>
    <d v="2024-08-03T00:00:00"/>
    <s v="Debit Card"/>
    <s v="M"/>
    <n v="5"/>
    <s v="Hyderabad"/>
    <x v="1131"/>
  </r>
  <r>
    <n v="3007"/>
    <s v="ValuePlus Market"/>
    <d v="2024-03-01T00:00:00"/>
    <s v="Bakery"/>
    <s v="Salmon"/>
    <n v="1"/>
    <n v="2095.75"/>
    <n v="2095.75"/>
    <n v="209.99"/>
    <n v="1885.76"/>
    <n v="415"/>
    <s v="05:21:35"/>
    <n v="1"/>
    <n v="3"/>
    <n v="2024"/>
    <d v="2024-03-01T00:00:00"/>
    <s v="Credit Card"/>
    <s v="F"/>
    <n v="4"/>
    <s v="Lucknow"/>
    <x v="1132"/>
  </r>
  <r>
    <n v="8366"/>
    <s v="QuickStop Market"/>
    <d v="2024-02-15T00:00:00"/>
    <s v="Beverages"/>
    <s v="Milk"/>
    <n v="5"/>
    <n v="93.79"/>
    <n v="468.95"/>
    <n v="93.79"/>
    <n v="375.16"/>
    <n v="395"/>
    <s v="18:11:29"/>
    <n v="15"/>
    <n v="2"/>
    <n v="2024"/>
    <d v="2024-02-15T00:00:00"/>
    <s v="UPI"/>
    <s v="F"/>
    <n v="5"/>
    <s v="Ahmedabad"/>
    <x v="1133"/>
  </r>
  <r>
    <n v="3308"/>
    <s v="FamilyFood Express"/>
    <d v="2023-10-21T00:00:00"/>
    <s v="Canned Goods"/>
    <s v="Ground Beef"/>
    <n v="2"/>
    <n v="302.12"/>
    <n v="604.24"/>
    <n v="195.05"/>
    <n v="409.19"/>
    <n v="215"/>
    <s v="12:10:52"/>
    <n v="21"/>
    <n v="10"/>
    <n v="2023"/>
    <d v="2023-10-21T00:00:00"/>
    <s v="Cash"/>
    <s v="F"/>
    <n v="3"/>
    <s v="Bangalore"/>
    <x v="1134"/>
  </r>
  <r>
    <n v="1829"/>
    <s v="FamilyFood Express"/>
    <d v="2024-03-19T00:00:00"/>
    <s v="Health &amp; Wellness"/>
    <s v="Bread"/>
    <n v="2"/>
    <n v="2389.5700000000002"/>
    <n v="4779.1400000000003"/>
    <n v="0"/>
    <n v="4779.1400000000003"/>
    <n v="49"/>
    <s v="12:57:15"/>
    <n v="19"/>
    <n v="3"/>
    <n v="2024"/>
    <d v="2024-03-19T00:00:00"/>
    <s v="Credit Card"/>
    <s v="F"/>
    <n v="3"/>
    <s v="Delhi"/>
    <x v="1135"/>
  </r>
  <r>
    <n v="7293"/>
    <s v="SuperSave Central"/>
    <d v="2025-06-08T00:00:00"/>
    <s v="Produce"/>
    <s v="Cheese"/>
    <n v="5"/>
    <n v="341.13"/>
    <n v="1705.65"/>
    <n v="291.33"/>
    <n v="1414.32"/>
    <n v="167"/>
    <s v="18:06:07"/>
    <n v="8"/>
    <n v="6"/>
    <n v="2025"/>
    <d v="2025-06-08T00:00:00"/>
    <s v="Cash"/>
    <s v="M"/>
    <n v="5"/>
    <s v="Mumbai"/>
    <x v="1136"/>
  </r>
  <r>
    <n v="7850"/>
    <s v="FamilyFood Express"/>
    <d v="2024-02-15T00:00:00"/>
    <s v="Personal Care"/>
    <s v="Tomatoes"/>
    <n v="4"/>
    <n v="372.67"/>
    <n v="1490.68"/>
    <n v="223.27"/>
    <n v="1267.4100000000001"/>
    <n v="109"/>
    <s v="20:08:17"/>
    <n v="15"/>
    <n v="2"/>
    <n v="2024"/>
    <d v="2024-02-15T00:00:00"/>
    <s v="UPI"/>
    <s v="F"/>
    <n v="3"/>
    <s v="Ahmedabad"/>
    <x v="1137"/>
  </r>
  <r>
    <n v="3616"/>
    <s v="MegaMart Westside"/>
    <d v="2025-04-29T00:00:00"/>
    <s v="Meat &amp; Seafood"/>
    <s v="Bananas"/>
    <n v="4"/>
    <n v="1656.68"/>
    <n v="6626.72"/>
    <n v="1325.51"/>
    <n v="5301.21"/>
    <n v="6"/>
    <s v="07:09:24"/>
    <n v="29"/>
    <n v="4"/>
    <n v="2025"/>
    <d v="2025-04-29T00:00:00"/>
    <s v="Debit Card"/>
    <s v="M"/>
    <n v="4"/>
    <s v="Pune"/>
    <x v="1138"/>
  </r>
  <r>
    <n v="6364"/>
    <s v="City Fresh Store"/>
    <d v="2025-08-01T00:00:00"/>
    <s v="Bakery"/>
    <s v="Bread"/>
    <n v="3"/>
    <n v="1646.72"/>
    <n v="4940.16"/>
    <n v="376.82"/>
    <n v="4563.34"/>
    <n v="188"/>
    <s v="17:11:24"/>
    <n v="1"/>
    <n v="8"/>
    <n v="2025"/>
    <d v="2025-08-01T00:00:00"/>
    <s v="UPI"/>
    <s v="M"/>
    <n v="2"/>
    <s v="Mumbai"/>
    <x v="1139"/>
  </r>
  <r>
    <n v="6123"/>
    <s v="Corner Grocery"/>
    <d v="2024-01-01T00:00:00"/>
    <s v="Frozen Foods"/>
    <s v="Potatoes"/>
    <n v="1"/>
    <n v="1796.95"/>
    <n v="1796.95"/>
    <n v="269.75"/>
    <n v="1527.2"/>
    <n v="405"/>
    <s v="22:59:19"/>
    <n v="1"/>
    <n v="1"/>
    <n v="2024"/>
    <d v="2024-01-01T00:00:00"/>
    <s v="Credit Card"/>
    <s v="F"/>
    <n v="3"/>
    <s v="Lucknow"/>
    <x v="1140"/>
  </r>
  <r>
    <n v="3610"/>
    <s v="GreenGrocer Plaza"/>
    <d v="2024-08-28T00:00:00"/>
    <s v="Household Items"/>
    <s v="Cereal"/>
    <n v="4"/>
    <n v="1713.95"/>
    <n v="6855.8"/>
    <n v="1028.3699999999999"/>
    <n v="5827.43"/>
    <n v="497"/>
    <s v="16:54:39"/>
    <n v="28"/>
    <n v="8"/>
    <n v="2024"/>
    <d v="2024-08-28T00:00:00"/>
    <s v="Debit Card"/>
    <s v="F"/>
    <n v="3"/>
    <s v="Chennai"/>
    <x v="1141"/>
  </r>
  <r>
    <n v="9433"/>
    <s v="SuperSave Central"/>
    <d v="2024-08-03T00:00:00"/>
    <s v="Health &amp; Wellness"/>
    <s v="Cereal"/>
    <n v="4"/>
    <n v="244.85"/>
    <n v="979.4"/>
    <n v="97.94"/>
    <n v="881.46"/>
    <n v="9"/>
    <s v="14:27:50"/>
    <n v="3"/>
    <n v="8"/>
    <n v="2024"/>
    <d v="2024-08-03T00:00:00"/>
    <s v="Credit Card"/>
    <s v="F"/>
    <n v="5"/>
    <s v="Bangalore"/>
    <x v="1142"/>
  </r>
  <r>
    <n v="9171"/>
    <s v="ValuePlus Market"/>
    <d v="2025-06-19T00:00:00"/>
    <s v="Health &amp; Wellness"/>
    <s v="Ground Beef"/>
    <n v="5"/>
    <n v="1496.49"/>
    <n v="7482.45"/>
    <n v="288.01"/>
    <n v="7194.44"/>
    <n v="6"/>
    <s v="07:52:48"/>
    <n v="19"/>
    <n v="6"/>
    <n v="2025"/>
    <d v="2025-06-19T00:00:00"/>
    <s v="Debit Card"/>
    <s v="M"/>
    <n v="4"/>
    <s v="Delhi"/>
    <x v="1143"/>
  </r>
  <r>
    <n v="6055"/>
    <s v="GreenGrocer Plaza"/>
    <d v="2024-08-27T00:00:00"/>
    <s v="Frozen Foods"/>
    <s v="Ground Beef"/>
    <n v="4"/>
    <n v="1904.85"/>
    <n v="7619.4"/>
    <n v="128.65"/>
    <n v="7490.75"/>
    <n v="317"/>
    <s v="03:03:20"/>
    <n v="27"/>
    <n v="8"/>
    <n v="2024"/>
    <d v="2024-08-27T00:00:00"/>
    <s v="Cash"/>
    <s v="F"/>
    <n v="2"/>
    <s v="Ahmedabad"/>
    <x v="1144"/>
  </r>
  <r>
    <n v="1379"/>
    <s v="City Fresh Store"/>
    <d v="2023-10-15T00:00:00"/>
    <s v="Frozen Foods"/>
    <s v="Yogurt"/>
    <n v="2"/>
    <n v="986.87"/>
    <n v="1973.74"/>
    <n v="395.08"/>
    <n v="1578.66"/>
    <n v="328"/>
    <s v="03:52:20"/>
    <n v="15"/>
    <n v="10"/>
    <n v="2023"/>
    <d v="2023-10-15T00:00:00"/>
    <s v="Cash"/>
    <s v="F"/>
    <n v="5"/>
    <s v="Chennai"/>
    <x v="1145"/>
  </r>
  <r>
    <n v="7442"/>
    <s v="City Fresh Store"/>
    <d v="2024-09-02T00:00:00"/>
    <s v="Canned Goods"/>
    <s v="Eggs"/>
    <n v="3"/>
    <n v="846.6"/>
    <n v="2539.8000000000002"/>
    <n v="346.11"/>
    <n v="2193.69"/>
    <n v="402"/>
    <s v="09:42:56"/>
    <n v="2"/>
    <n v="9"/>
    <n v="2024"/>
    <d v="2024-09-02T00:00:00"/>
    <s v="Cash"/>
    <s v="M"/>
    <n v="5"/>
    <s v="Kolkata"/>
    <x v="1146"/>
  </r>
  <r>
    <n v="8491"/>
    <s v="Corner Grocery"/>
    <d v="2024-02-09T00:00:00"/>
    <s v="Health &amp; Wellness"/>
    <s v="Rice"/>
    <n v="1"/>
    <n v="633.29"/>
    <n v="633.29"/>
    <n v="94.62"/>
    <n v="538.66999999999996"/>
    <n v="375"/>
    <s v="20:19:07"/>
    <n v="9"/>
    <n v="2"/>
    <n v="2024"/>
    <d v="2024-02-09T00:00:00"/>
    <s v="UPI"/>
    <s v="F"/>
    <n v="4"/>
    <s v="Bangalore"/>
    <x v="1147"/>
  </r>
  <r>
    <n v="4524"/>
    <s v="FamilyFood Express"/>
    <d v="2024-11-02T00:00:00"/>
    <s v="Bakery"/>
    <s v="Onions"/>
    <n v="1"/>
    <n v="2264.2399999999998"/>
    <n v="2264.2399999999998"/>
    <n v="0"/>
    <n v="2264.2399999999998"/>
    <n v="340"/>
    <s v="15:38:15"/>
    <n v="2"/>
    <n v="11"/>
    <n v="2024"/>
    <d v="2024-11-02T00:00:00"/>
    <s v="Credit Card"/>
    <s v="M"/>
    <n v="2"/>
    <s v="Hyderabad"/>
    <x v="1148"/>
  </r>
  <r>
    <n v="6781"/>
    <s v="FamilyFood Express"/>
    <d v="2023-09-13T00:00:00"/>
    <s v="Household Items"/>
    <s v="Tomatoes"/>
    <n v="5"/>
    <n v="856.56"/>
    <n v="4282.8"/>
    <n v="371.84"/>
    <n v="3910.96"/>
    <n v="226"/>
    <s v="20:55:47"/>
    <n v="13"/>
    <n v="9"/>
    <n v="2023"/>
    <d v="2023-09-13T00:00:00"/>
    <s v="UPI"/>
    <s v="F"/>
    <n v="4"/>
    <s v="Bangalore"/>
    <x v="1149"/>
  </r>
  <r>
    <n v="1828"/>
    <s v="GreenGrocer Plaza"/>
    <d v="2024-03-12T00:00:00"/>
    <s v="Bakery"/>
    <s v="Milk"/>
    <n v="2"/>
    <n v="2340.6"/>
    <n v="4681.2"/>
    <n v="936.24"/>
    <n v="3744.96"/>
    <n v="64"/>
    <s v="22:34:17"/>
    <n v="12"/>
    <n v="3"/>
    <n v="2024"/>
    <d v="2024-03-12T00:00:00"/>
    <s v="Cash"/>
    <s v="M"/>
    <n v="2"/>
    <s v="Jaipur"/>
    <x v="1150"/>
  </r>
  <r>
    <n v="9108"/>
    <s v="ValuePlus Market"/>
    <d v="2024-11-13T00:00:00"/>
    <s v="Bakery"/>
    <s v="Ground Beef"/>
    <n v="5"/>
    <n v="270.58"/>
    <n v="1352.9"/>
    <n v="202.52"/>
    <n v="1150.3800000000001"/>
    <n v="371"/>
    <s v="10:29:29"/>
    <n v="13"/>
    <n v="11"/>
    <n v="2024"/>
    <d v="2024-11-13T00:00:00"/>
    <s v="Credit Card"/>
    <s v="F"/>
    <n v="4"/>
    <s v="Chennai"/>
    <x v="1151"/>
  </r>
  <r>
    <n v="8710"/>
    <s v="SuperSave Central"/>
    <d v="2024-03-15T00:00:00"/>
    <s v="Bakery"/>
    <s v="Ground Beef"/>
    <n v="4"/>
    <n v="507.13"/>
    <n v="2028.52"/>
    <n v="304.61"/>
    <n v="1723.91"/>
    <n v="127"/>
    <s v="22:55:46"/>
    <n v="15"/>
    <n v="3"/>
    <n v="2024"/>
    <d v="2024-03-15T00:00:00"/>
    <s v="Cash"/>
    <s v="F"/>
    <n v="5"/>
    <s v="Jaipur"/>
    <x v="1152"/>
  </r>
  <r>
    <n v="9793"/>
    <s v="City Fresh Store"/>
    <d v="2023-08-13T00:00:00"/>
    <s v="Health &amp; Wellness"/>
    <s v="Yogurt"/>
    <n v="3"/>
    <n v="2158"/>
    <n v="6474"/>
    <n v="971.1"/>
    <n v="5502.9"/>
    <n v="246"/>
    <s v="01:29:03"/>
    <n v="13"/>
    <n v="8"/>
    <n v="2023"/>
    <d v="2023-08-13T00:00:00"/>
    <s v="UPI"/>
    <s v="M"/>
    <n v="5"/>
    <s v="Jaipur"/>
    <x v="1153"/>
  </r>
  <r>
    <n v="2761"/>
    <s v="Corner Grocery"/>
    <d v="2024-07-06T00:00:00"/>
    <s v="Snacks &amp; Candy"/>
    <s v="Apples"/>
    <n v="4"/>
    <n v="1144.57"/>
    <n v="4578.28"/>
    <n v="915.49"/>
    <n v="3662.79"/>
    <n v="258"/>
    <s v="17:30:17"/>
    <n v="6"/>
    <n v="7"/>
    <n v="2024"/>
    <d v="2024-07-06T00:00:00"/>
    <s v="UPI"/>
    <s v="M"/>
    <n v="1"/>
    <s v="Ahmedabad"/>
    <x v="1154"/>
  </r>
  <r>
    <n v="3194"/>
    <s v="City Fresh Store"/>
    <d v="2025-06-22T00:00:00"/>
    <s v="Produce"/>
    <s v="Tomatoes"/>
    <n v="4"/>
    <n v="2138.08"/>
    <n v="8552.32"/>
    <n v="261.45"/>
    <n v="8290.8700000000008"/>
    <n v="388"/>
    <s v="00:57:15"/>
    <n v="22"/>
    <n v="6"/>
    <n v="2025"/>
    <d v="2025-06-22T00:00:00"/>
    <s v="UPI"/>
    <s v="F"/>
    <n v="3"/>
    <s v="Bangalore"/>
    <x v="1155"/>
  </r>
  <r>
    <n v="5333"/>
    <s v="ValuePlus Market"/>
    <d v="2025-02-22T00:00:00"/>
    <s v="Meat &amp; Seafood"/>
    <s v="Pasta"/>
    <n v="4"/>
    <n v="1198.52"/>
    <n v="4794.08"/>
    <n v="479.74"/>
    <n v="4314.34"/>
    <n v="232"/>
    <s v="17:30:05"/>
    <n v="22"/>
    <n v="2"/>
    <n v="2025"/>
    <d v="2025-02-22T00:00:00"/>
    <s v="Cash"/>
    <s v="M"/>
    <n v="4"/>
    <s v="Ahmedabad"/>
    <x v="1156"/>
  </r>
  <r>
    <n v="6992"/>
    <s v="ValuePlus Market"/>
    <d v="2025-03-22T00:00:00"/>
    <s v="Household Items"/>
    <s v="Potatoes"/>
    <n v="1"/>
    <n v="883.95"/>
    <n v="883.95"/>
    <n v="176.79"/>
    <n v="707.16"/>
    <n v="366"/>
    <s v="09:47:02"/>
    <n v="22"/>
    <n v="3"/>
    <n v="2025"/>
    <d v="2025-03-22T00:00:00"/>
    <s v="Credit Card"/>
    <s v="M"/>
    <n v="1"/>
    <s v="Pune"/>
    <x v="1157"/>
  </r>
  <r>
    <n v="7606"/>
    <s v="SuperSave Central"/>
    <d v="2024-05-17T00:00:00"/>
    <s v="Bakery"/>
    <s v="Bananas"/>
    <n v="1"/>
    <n v="2156.34"/>
    <n v="2156.34"/>
    <n v="215.8"/>
    <n v="1940.54"/>
    <n v="373"/>
    <s v="21:44:19"/>
    <n v="17"/>
    <n v="5"/>
    <n v="2024"/>
    <d v="2024-05-17T00:00:00"/>
    <s v="Credit Card"/>
    <s v="M"/>
    <n v="3"/>
    <s v="Ahmedabad"/>
    <x v="1158"/>
  </r>
  <r>
    <n v="1741"/>
    <s v="Corner Grocery"/>
    <d v="2024-06-13T00:00:00"/>
    <s v="Snacks &amp; Candy"/>
    <s v="Tomatoes"/>
    <n v="3"/>
    <n v="1006.79"/>
    <n v="3020.37"/>
    <n v="302.12"/>
    <n v="2718.25"/>
    <n v="157"/>
    <s v="02:00:58"/>
    <n v="13"/>
    <n v="6"/>
    <n v="2024"/>
    <d v="2024-06-13T00:00:00"/>
    <s v="Cash"/>
    <s v="M"/>
    <n v="4"/>
    <s v="Chennai"/>
    <x v="1159"/>
  </r>
  <r>
    <n v="1838"/>
    <s v="FreshMart Downtown"/>
    <d v="2024-10-22T00:00:00"/>
    <s v="Dairy"/>
    <s v="Tomatoes"/>
    <n v="5"/>
    <n v="473.1"/>
    <n v="2365.5"/>
    <n v="354.41"/>
    <n v="2011.09"/>
    <n v="390"/>
    <s v="13:20:46"/>
    <n v="22"/>
    <n v="10"/>
    <n v="2024"/>
    <d v="2024-10-22T00:00:00"/>
    <s v="Credit Card"/>
    <s v="F"/>
    <n v="2"/>
    <s v="Delhi"/>
    <x v="1160"/>
  </r>
  <r>
    <n v="4189"/>
    <s v="MegaMart Westside"/>
    <d v="2024-05-14T00:00:00"/>
    <s v="Personal Care"/>
    <s v="Potatoes"/>
    <n v="3"/>
    <n v="1758.77"/>
    <n v="5276.31"/>
    <n v="527.88"/>
    <n v="4748.43"/>
    <n v="333"/>
    <s v="16:25:21"/>
    <n v="14"/>
    <n v="5"/>
    <n v="2024"/>
    <d v="2024-05-14T00:00:00"/>
    <s v="Cash"/>
    <s v="F"/>
    <n v="3"/>
    <s v="Pune"/>
    <x v="1161"/>
  </r>
  <r>
    <n v="5728"/>
    <s v="FamilyFood Express"/>
    <d v="2023-10-03T00:00:00"/>
    <s v="Bakery"/>
    <s v="Potatoes"/>
    <n v="1"/>
    <n v="2299.9299999999998"/>
    <n v="2299.9299999999998"/>
    <n v="0"/>
    <n v="2299.9299999999998"/>
    <n v="185"/>
    <s v="06:59:00"/>
    <n v="3"/>
    <n v="10"/>
    <n v="2023"/>
    <d v="2023-10-03T00:00:00"/>
    <s v="Credit Card"/>
    <s v="M"/>
    <n v="5"/>
    <s v="Delhi"/>
    <x v="1162"/>
  </r>
  <r>
    <n v="7329"/>
    <s v="SuperSave Central"/>
    <d v="2024-09-01T00:00:00"/>
    <s v="Frozen Foods"/>
    <s v="Salmon"/>
    <n v="2"/>
    <n v="693.88"/>
    <n v="1387.76"/>
    <n v="122.01"/>
    <n v="1265.75"/>
    <n v="308"/>
    <s v="07:25:10"/>
    <n v="1"/>
    <n v="9"/>
    <n v="2024"/>
    <d v="2024-09-01T00:00:00"/>
    <s v="Debit Card"/>
    <s v="M"/>
    <n v="1"/>
    <s v="Bangalore"/>
    <x v="1163"/>
  </r>
  <r>
    <n v="8378"/>
    <s v="GreenGrocer Plaza"/>
    <d v="2025-03-22T00:00:00"/>
    <s v="Health &amp; Wellness"/>
    <s v="Tomatoes"/>
    <n v="4"/>
    <n v="1782.01"/>
    <n v="7128.04"/>
    <n v="385.12"/>
    <n v="6742.92"/>
    <n v="498"/>
    <s v="08:32:43"/>
    <n v="22"/>
    <n v="3"/>
    <n v="2025"/>
    <d v="2025-03-22T00:00:00"/>
    <s v="Debit Card"/>
    <s v="M"/>
    <n v="3"/>
    <s v="Hyderabad"/>
    <x v="1164"/>
  </r>
  <r>
    <n v="5582"/>
    <s v="Corner Grocery"/>
    <d v="2025-05-09T00:00:00"/>
    <s v="Meat &amp; Seafood"/>
    <s v="Cheese"/>
    <n v="3"/>
    <n v="1747.15"/>
    <n v="5241.45"/>
    <n v="185.09"/>
    <n v="5056.3599999999997"/>
    <n v="256"/>
    <s v="08:19:05"/>
    <n v="9"/>
    <n v="5"/>
    <n v="2025"/>
    <d v="2025-05-09T00:00:00"/>
    <s v="UPI"/>
    <s v="M"/>
    <n v="3"/>
    <s v="Kolkata"/>
    <x v="1165"/>
  </r>
  <r>
    <n v="2946"/>
    <s v="Corner Grocery"/>
    <d v="2023-11-14T00:00:00"/>
    <s v="Dairy"/>
    <s v="Chicken Breast"/>
    <n v="5"/>
    <n v="1951.33"/>
    <n v="9756.65"/>
    <n v="1463.29"/>
    <n v="8293.36"/>
    <n v="176"/>
    <s v="02:50:31"/>
    <n v="14"/>
    <n v="11"/>
    <n v="2023"/>
    <d v="2023-11-14T00:00:00"/>
    <s v="Debit Card"/>
    <s v="F"/>
    <n v="5"/>
    <s v="Jaipur"/>
    <x v="1166"/>
  </r>
  <r>
    <n v="2584"/>
    <s v="FamilyFood Express"/>
    <d v="2024-06-07T00:00:00"/>
    <s v="Snacks &amp; Candy"/>
    <s v="Rice"/>
    <n v="1"/>
    <n v="2457.63"/>
    <n v="2457.63"/>
    <n v="115.37"/>
    <n v="2342.2600000000002"/>
    <n v="417"/>
    <s v="01:50:50"/>
    <n v="7"/>
    <n v="6"/>
    <n v="2024"/>
    <d v="2024-06-07T00:00:00"/>
    <s v="Debit Card"/>
    <s v="F"/>
    <n v="4"/>
    <s v="Chennai"/>
    <x v="1167"/>
  </r>
  <r>
    <n v="7114"/>
    <s v="Corner Grocery"/>
    <d v="2025-04-15T00:00:00"/>
    <s v="Personal Care"/>
    <s v="Cheese"/>
    <n v="3"/>
    <n v="1846.75"/>
    <n v="5540.25"/>
    <n v="830.83"/>
    <n v="4709.42"/>
    <n v="87"/>
    <s v="19:08:12"/>
    <n v="15"/>
    <n v="4"/>
    <n v="2025"/>
    <d v="2025-04-15T00:00:00"/>
    <s v="Debit Card"/>
    <s v="M"/>
    <n v="2"/>
    <s v="Delhi"/>
    <x v="1168"/>
  </r>
  <r>
    <n v="6555"/>
    <s v="SuperSave Central"/>
    <d v="2024-10-13T00:00:00"/>
    <s v="Meat &amp; Seafood"/>
    <s v="Yogurt"/>
    <n v="4"/>
    <n v="520.41"/>
    <n v="2081.64"/>
    <n v="208.33"/>
    <n v="1873.31"/>
    <n v="485"/>
    <s v="12:16:57"/>
    <n v="13"/>
    <n v="10"/>
    <n v="2024"/>
    <d v="2024-10-13T00:00:00"/>
    <s v="Cash"/>
    <s v="M"/>
    <n v="5"/>
    <s v="Kolkata"/>
    <x v="1169"/>
  </r>
  <r>
    <n v="6990"/>
    <s v="FamilyFood Express"/>
    <d v="2025-03-15T00:00:00"/>
    <s v="Meat &amp; Seafood"/>
    <s v="Yogurt"/>
    <n v="1"/>
    <n v="1887.42"/>
    <n v="1887.42"/>
    <n v="283.02999999999997"/>
    <n v="1604.39"/>
    <n v="414"/>
    <s v="19:34:03"/>
    <n v="15"/>
    <n v="3"/>
    <n v="2025"/>
    <d v="2025-03-15T00:00:00"/>
    <s v="Debit Card"/>
    <s v="M"/>
    <n v="2"/>
    <s v="Mumbai"/>
    <x v="1170"/>
  </r>
  <r>
    <n v="3363"/>
    <s v="Corner Grocery"/>
    <d v="2024-01-08T00:00:00"/>
    <s v="Beverages"/>
    <s v="Chicken Breast"/>
    <n v="2"/>
    <n v="273.89999999999998"/>
    <n v="547.79999999999995"/>
    <n v="175.13"/>
    <n v="372.67"/>
    <n v="43"/>
    <s v="01:50:05"/>
    <n v="8"/>
    <n v="1"/>
    <n v="2024"/>
    <d v="2024-01-08T00:00:00"/>
    <s v="Debit Card"/>
    <s v="F"/>
    <n v="4"/>
    <s v="Ahmedabad"/>
    <x v="390"/>
  </r>
  <r>
    <n v="9341"/>
    <s v="MegaMart Westside"/>
    <d v="2024-06-13T00:00:00"/>
    <s v="Produce"/>
    <s v="Ground Beef"/>
    <n v="4"/>
    <n v="1249.98"/>
    <n v="4999.92"/>
    <n v="102.92"/>
    <n v="4897"/>
    <n v="389"/>
    <s v="11:28:47"/>
    <n v="13"/>
    <n v="6"/>
    <n v="2024"/>
    <d v="2024-06-13T00:00:00"/>
    <s v="UPI"/>
    <s v="M"/>
    <n v="3"/>
    <s v="Jaipur"/>
    <x v="1171"/>
  </r>
  <r>
    <n v="9193"/>
    <s v="FreshMart Downtown"/>
    <d v="2023-09-07T00:00:00"/>
    <s v="Health &amp; Wellness"/>
    <s v="Milk"/>
    <n v="1"/>
    <n v="590.13"/>
    <n v="590.13"/>
    <n v="58.93"/>
    <n v="531.20000000000005"/>
    <n v="405"/>
    <s v="09:39:00"/>
    <n v="7"/>
    <n v="9"/>
    <n v="2023"/>
    <d v="2023-09-07T00:00:00"/>
    <s v="Debit Card"/>
    <s v="F"/>
    <n v="2"/>
    <s v="Delhi"/>
    <x v="1172"/>
  </r>
  <r>
    <n v="1742"/>
    <s v="ValuePlus Market"/>
    <d v="2023-09-06T00:00:00"/>
    <s v="Frozen Foods"/>
    <s v="Potatoes"/>
    <n v="4"/>
    <n v="1904.02"/>
    <n v="7616.08"/>
    <n v="1142.08"/>
    <n v="6474"/>
    <n v="309"/>
    <s v="21:59:20"/>
    <n v="6"/>
    <n v="9"/>
    <n v="2023"/>
    <d v="2023-09-06T00:00:00"/>
    <s v="Debit Card"/>
    <s v="M"/>
    <n v="1"/>
    <s v="Pune"/>
    <x v="1173"/>
  </r>
  <r>
    <n v="3245"/>
    <s v="MegaMart Westside"/>
    <d v="2025-02-11T00:00:00"/>
    <s v="Health &amp; Wellness"/>
    <s v="Cereal"/>
    <n v="3"/>
    <n v="2048.44"/>
    <n v="6145.32"/>
    <n v="0"/>
    <n v="6145.32"/>
    <n v="481"/>
    <s v="05:04:17"/>
    <n v="11"/>
    <n v="2"/>
    <n v="2025"/>
    <d v="2025-02-11T00:00:00"/>
    <s v="Credit Card"/>
    <s v="F"/>
    <n v="1"/>
    <s v="Chennai"/>
    <x v="1174"/>
  </r>
  <r>
    <n v="6456"/>
    <s v="Corner Grocery"/>
    <d v="2025-04-22T00:00:00"/>
    <s v="Snacks &amp; Candy"/>
    <s v="Milk"/>
    <n v="3"/>
    <n v="2183.73"/>
    <n v="6551.19"/>
    <n v="234.89"/>
    <n v="6316.3"/>
    <n v="412"/>
    <s v="11:37:09"/>
    <n v="22"/>
    <n v="4"/>
    <n v="2025"/>
    <d v="2025-04-22T00:00:00"/>
    <s v="UPI"/>
    <s v="M"/>
    <n v="5"/>
    <s v="Ahmedabad"/>
    <x v="1175"/>
  </r>
  <r>
    <n v="8761"/>
    <s v="Corner Grocery"/>
    <d v="2024-09-13T00:00:00"/>
    <s v="Meat &amp; Seafood"/>
    <s v="Bananas"/>
    <n v="5"/>
    <n v="377.65"/>
    <n v="1888.25"/>
    <n v="0"/>
    <n v="1888.25"/>
    <n v="271"/>
    <s v="17:25:38"/>
    <n v="13"/>
    <n v="9"/>
    <n v="2024"/>
    <d v="2024-09-13T00:00:00"/>
    <s v="UPI"/>
    <s v="F"/>
    <n v="4"/>
    <s v="Lucknow"/>
    <x v="1176"/>
  </r>
  <r>
    <n v="8487"/>
    <s v="FamilyFood Express"/>
    <d v="2023-11-30T00:00:00"/>
    <s v="Canned Goods"/>
    <s v="Salmon"/>
    <n v="5"/>
    <n v="1733.87"/>
    <n v="8669.35"/>
    <n v="219.95"/>
    <n v="8449.4"/>
    <n v="445"/>
    <s v="18:27:11"/>
    <n v="30"/>
    <n v="11"/>
    <n v="2023"/>
    <d v="2023-11-30T00:00:00"/>
    <s v="UPI"/>
    <s v="M"/>
    <n v="5"/>
    <s v="Kolkata"/>
    <x v="1177"/>
  </r>
  <r>
    <n v="9446"/>
    <s v="FamilyFood Express"/>
    <d v="2023-11-23T00:00:00"/>
    <s v="Produce"/>
    <s v="Cereal"/>
    <n v="1"/>
    <n v="1607.71"/>
    <n v="1607.71"/>
    <n v="0"/>
    <n v="1607.71"/>
    <n v="447"/>
    <s v="21:08:44"/>
    <n v="23"/>
    <n v="11"/>
    <n v="2023"/>
    <d v="2023-11-23T00:00:00"/>
    <s v="UPI"/>
    <s v="M"/>
    <n v="5"/>
    <s v="Chennai"/>
    <x v="1178"/>
  </r>
  <r>
    <n v="6373"/>
    <s v="MegaMart Westside"/>
    <d v="2025-07-30T00:00:00"/>
    <s v="Health &amp; Wellness"/>
    <s v="Salmon"/>
    <n v="2"/>
    <n v="1542.97"/>
    <n v="3085.94"/>
    <n v="463.14"/>
    <n v="2622.8"/>
    <n v="204"/>
    <s v="20:09:17"/>
    <n v="30"/>
    <n v="7"/>
    <n v="2025"/>
    <d v="2025-07-30T00:00:00"/>
    <s v="UPI"/>
    <s v="M"/>
    <n v="5"/>
    <s v="Delhi"/>
    <x v="1179"/>
  </r>
  <r>
    <n v="6218"/>
    <s v="Corner Grocery"/>
    <d v="2023-12-11T00:00:00"/>
    <s v="Beverages"/>
    <s v="Chicken Breast"/>
    <n v="4"/>
    <n v="789.33"/>
    <n v="3157.32"/>
    <n v="373.5"/>
    <n v="2783.82"/>
    <n v="99"/>
    <s v="14:46:30"/>
    <n v="11"/>
    <n v="12"/>
    <n v="2023"/>
    <d v="2023-12-11T00:00:00"/>
    <s v="UPI"/>
    <s v="F"/>
    <n v="1"/>
    <s v="Hyderabad"/>
    <x v="1180"/>
  </r>
  <r>
    <n v="7438"/>
    <s v="ValuePlus Market"/>
    <d v="2024-11-27T00:00:00"/>
    <s v="Produce"/>
    <s v="Eggs"/>
    <n v="4"/>
    <n v="2000.3"/>
    <n v="8001.2"/>
    <n v="1600.24"/>
    <n v="6400.96"/>
    <n v="154"/>
    <s v="09:33:16"/>
    <n v="27"/>
    <n v="11"/>
    <n v="2024"/>
    <d v="2024-11-27T00:00:00"/>
    <s v="Cash"/>
    <s v="M"/>
    <n v="1"/>
    <s v="Pune"/>
    <x v="1181"/>
  </r>
  <r>
    <n v="5902"/>
    <s v="City Fresh Store"/>
    <d v="2024-11-10T00:00:00"/>
    <s v="Dairy"/>
    <s v="Potatoes"/>
    <n v="5"/>
    <n v="662.34"/>
    <n v="3311.7"/>
    <n v="0"/>
    <n v="3311.7"/>
    <n v="108"/>
    <s v="07:05:15"/>
    <n v="10"/>
    <n v="11"/>
    <n v="2024"/>
    <d v="2024-11-10T00:00:00"/>
    <s v="Debit Card"/>
    <s v="F"/>
    <n v="5"/>
    <s v="Mumbai"/>
    <x v="1182"/>
  </r>
  <r>
    <n v="6511"/>
    <s v="GreenGrocer Plaza"/>
    <d v="2024-09-04T00:00:00"/>
    <s v="Dairy"/>
    <s v="Cheese"/>
    <n v="1"/>
    <n v="468.12"/>
    <n v="468.12"/>
    <n v="46.48"/>
    <n v="421.64"/>
    <n v="475"/>
    <s v="00:02:36"/>
    <n v="4"/>
    <n v="9"/>
    <n v="2024"/>
    <d v="2024-09-04T00:00:00"/>
    <s v="UPI"/>
    <s v="F"/>
    <n v="1"/>
    <s v="Lucknow"/>
    <x v="1183"/>
  </r>
  <r>
    <n v="9351"/>
    <s v="QuickStop Market"/>
    <d v="2024-09-23T00:00:00"/>
    <s v="Bakery"/>
    <s v="Pasta"/>
    <n v="4"/>
    <n v="2372.14"/>
    <n v="9488.56"/>
    <n v="0"/>
    <n v="9488.56"/>
    <n v="343"/>
    <s v="22:56:28"/>
    <n v="23"/>
    <n v="9"/>
    <n v="2024"/>
    <d v="2024-09-23T00:00:00"/>
    <s v="Debit Card"/>
    <s v="M"/>
    <n v="4"/>
    <s v="Jaipur"/>
    <x v="1184"/>
  </r>
  <r>
    <n v="9025"/>
    <s v="SuperSave Central"/>
    <d v="2025-02-07T00:00:00"/>
    <s v="Personal Care"/>
    <s v="Potatoes"/>
    <n v="1"/>
    <n v="1996.98"/>
    <n v="1996.98"/>
    <n v="337.81"/>
    <n v="1659.17"/>
    <n v="170"/>
    <s v="14:14:12"/>
    <n v="7"/>
    <n v="2"/>
    <n v="2025"/>
    <d v="2025-02-07T00:00:00"/>
    <s v="Debit Card"/>
    <s v="M"/>
    <n v="5"/>
    <s v="Chennai"/>
    <x v="1185"/>
  </r>
  <r>
    <n v="5911"/>
    <s v="GreenGrocer Plaza"/>
    <d v="2024-08-09T00:00:00"/>
    <s v="Health &amp; Wellness"/>
    <s v="Cereal"/>
    <n v="4"/>
    <n v="2272.54"/>
    <n v="9090.16"/>
    <n v="0"/>
    <n v="9090.16"/>
    <n v="380"/>
    <s v="12:51:07"/>
    <n v="9"/>
    <n v="8"/>
    <n v="2024"/>
    <d v="2024-08-09T00:00:00"/>
    <s v="Cash"/>
    <s v="M"/>
    <n v="1"/>
    <s v="Lucknow"/>
    <x v="1186"/>
  </r>
  <r>
    <n v="1272"/>
    <s v="ValuePlus Market"/>
    <d v="2024-05-19T00:00:00"/>
    <s v="Snacks &amp; Candy"/>
    <s v="Ground Beef"/>
    <n v="2"/>
    <n v="705.5"/>
    <n v="1411"/>
    <n v="112.88"/>
    <n v="1298.1199999999999"/>
    <n v="148"/>
    <s v="00:28:50"/>
    <n v="19"/>
    <n v="5"/>
    <n v="2024"/>
    <d v="2024-05-19T00:00:00"/>
    <s v="UPI"/>
    <s v="F"/>
    <n v="2"/>
    <s v="Hyderabad"/>
    <x v="1187"/>
  </r>
  <r>
    <n v="6427"/>
    <s v="FamilyFood Express"/>
    <d v="2025-01-11T00:00:00"/>
    <s v="Dairy"/>
    <s v="Orange Juice"/>
    <n v="2"/>
    <n v="2136.42"/>
    <n v="4272.84"/>
    <n v="327.85"/>
    <n v="3944.99"/>
    <n v="488"/>
    <s v="03:05:15"/>
    <n v="11"/>
    <n v="1"/>
    <n v="2025"/>
    <d v="2025-01-11T00:00:00"/>
    <s v="Credit Card"/>
    <s v="M"/>
    <n v="5"/>
    <s v="Delhi"/>
    <x v="1188"/>
  </r>
  <r>
    <n v="2795"/>
    <s v="QuickStop Market"/>
    <d v="2024-06-25T00:00:00"/>
    <s v="Produce"/>
    <s v="Onions"/>
    <n v="2"/>
    <n v="2121.48"/>
    <n v="4242.96"/>
    <n v="636.61"/>
    <n v="3606.35"/>
    <n v="216"/>
    <s v="09:07:13"/>
    <n v="25"/>
    <n v="6"/>
    <n v="2024"/>
    <d v="2024-06-25T00:00:00"/>
    <s v="Cash"/>
    <s v="F"/>
    <n v="5"/>
    <s v="Pune"/>
    <x v="1189"/>
  </r>
  <r>
    <n v="6040"/>
    <s v="SuperSave Central"/>
    <d v="2025-04-16T00:00:00"/>
    <s v="Personal Care"/>
    <s v="Ground Beef"/>
    <n v="1"/>
    <n v="1033.3499999999999"/>
    <n v="1033.3499999999999"/>
    <n v="155.21"/>
    <n v="878.14"/>
    <n v="275"/>
    <s v="03:04:05"/>
    <n v="16"/>
    <n v="4"/>
    <n v="2025"/>
    <d v="2025-04-16T00:00:00"/>
    <s v="Credit Card"/>
    <s v="F"/>
    <n v="4"/>
    <s v="Ahmedabad"/>
    <x v="1190"/>
  </r>
  <r>
    <n v="1436"/>
    <s v="SuperSave Central"/>
    <d v="2024-11-12T00:00:00"/>
    <s v="Frozen Foods"/>
    <s v="Ground Beef"/>
    <n v="4"/>
    <n v="1718.93"/>
    <n v="6875.72"/>
    <n v="1375.31"/>
    <n v="5500.41"/>
    <n v="75"/>
    <s v="21:44:42"/>
    <n v="12"/>
    <n v="11"/>
    <n v="2024"/>
    <d v="2024-11-12T00:00:00"/>
    <s v="Debit Card"/>
    <s v="M"/>
    <n v="3"/>
    <s v="Kolkata"/>
    <x v="1191"/>
  </r>
  <r>
    <n v="8775"/>
    <s v="FreshMart Downtown"/>
    <d v="2024-02-29T00:00:00"/>
    <s v="Household Items"/>
    <s v="Cereal"/>
    <n v="3"/>
    <n v="1291.48"/>
    <n v="3874.44"/>
    <n v="581"/>
    <n v="3293.44"/>
    <n v="352"/>
    <s v="15:23:12"/>
    <n v="29"/>
    <n v="2"/>
    <n v="2024"/>
    <d v="2024-02-29T00:00:00"/>
    <s v="Debit Card"/>
    <s v="M"/>
    <n v="3"/>
    <s v="Delhi"/>
    <x v="1192"/>
  </r>
  <r>
    <n v="4728"/>
    <s v="City Fresh Store"/>
    <d v="2025-02-17T00:00:00"/>
    <s v="Health &amp; Wellness"/>
    <s v="Yogurt"/>
    <n v="4"/>
    <n v="783.52"/>
    <n v="3134.08"/>
    <n v="408.36"/>
    <n v="2725.72"/>
    <n v="494"/>
    <s v="13:36:54"/>
    <n v="17"/>
    <n v="2"/>
    <n v="2025"/>
    <d v="2025-02-17T00:00:00"/>
    <s v="Cash"/>
    <s v="M"/>
    <n v="4"/>
    <s v="Bangalore"/>
    <x v="1193"/>
  </r>
  <r>
    <n v="1841"/>
    <s v="MegaMart Westside"/>
    <d v="2024-11-02T00:00:00"/>
    <s v="Meat &amp; Seafood"/>
    <s v="Yogurt"/>
    <n v="2"/>
    <n v="1767.9"/>
    <n v="3535.8"/>
    <n v="353.58"/>
    <n v="3182.22"/>
    <n v="26"/>
    <s v="08:47:22"/>
    <n v="2"/>
    <n v="11"/>
    <n v="2024"/>
    <d v="2024-11-02T00:00:00"/>
    <s v="Cash"/>
    <s v="M"/>
    <n v="4"/>
    <s v="Mumbai"/>
    <x v="1194"/>
  </r>
  <r>
    <n v="8871"/>
    <s v="Corner Grocery"/>
    <d v="2023-12-17T00:00:00"/>
    <s v="Frozen Foods"/>
    <s v="Apples"/>
    <n v="1"/>
    <n v="1401.04"/>
    <n v="1401.04"/>
    <n v="0"/>
    <n v="1401.04"/>
    <n v="172"/>
    <s v="21:45:40"/>
    <n v="17"/>
    <n v="12"/>
    <n v="2023"/>
    <d v="2023-12-17T00:00:00"/>
    <s v="Credit Card"/>
    <s v="M"/>
    <n v="4"/>
    <s v="Mumbai"/>
    <x v="1195"/>
  </r>
  <r>
    <n v="9589"/>
    <s v="City Fresh Store"/>
    <d v="2024-12-07T00:00:00"/>
    <s v="Canned Goods"/>
    <s v="Tomatoes"/>
    <n v="4"/>
    <n v="254.81"/>
    <n v="1019.24"/>
    <n v="152.72"/>
    <n v="866.52"/>
    <n v="372"/>
    <s v="06:11:40"/>
    <n v="7"/>
    <n v="12"/>
    <n v="2024"/>
    <d v="2024-12-07T00:00:00"/>
    <s v="UPI"/>
    <s v="M"/>
    <n v="3"/>
    <s v="Ahmedabad"/>
    <x v="1196"/>
  </r>
  <r>
    <n v="7229"/>
    <s v="FamilyFood Express"/>
    <d v="2023-11-29T00:00:00"/>
    <s v="Personal Care"/>
    <s v="Tomatoes"/>
    <n v="1"/>
    <n v="397.57"/>
    <n v="397.57"/>
    <n v="0"/>
    <n v="397.57"/>
    <n v="385"/>
    <s v="15:42:04"/>
    <n v="29"/>
    <n v="11"/>
    <n v="2023"/>
    <d v="2023-11-29T00:00:00"/>
    <s v="Credit Card"/>
    <s v="F"/>
    <n v="4"/>
    <s v="Pune"/>
    <x v="1197"/>
  </r>
  <r>
    <n v="4968"/>
    <s v="QuickStop Market"/>
    <d v="2023-08-31T00:00:00"/>
    <s v="Beverages"/>
    <s v="Apples"/>
    <n v="5"/>
    <n v="413.34"/>
    <n v="2066.6999999999998"/>
    <n v="309.58999999999997"/>
    <n v="1757.11"/>
    <n v="356"/>
    <s v="04:16:47"/>
    <n v="31"/>
    <n v="8"/>
    <n v="2023"/>
    <d v="2023-08-31T00:00:00"/>
    <s v="Cash"/>
    <s v="F"/>
    <n v="1"/>
    <s v="Delhi"/>
    <x v="1198"/>
  </r>
  <r>
    <n v="2800"/>
    <s v="SuperSave Central"/>
    <d v="2024-01-02T00:00:00"/>
    <s v="Bakery"/>
    <s v="Yogurt"/>
    <n v="2"/>
    <n v="1851.73"/>
    <n v="3703.46"/>
    <n v="0"/>
    <n v="3703.46"/>
    <n v="4"/>
    <s v="09:59:32"/>
    <n v="2"/>
    <n v="1"/>
    <n v="2024"/>
    <d v="2024-01-02T00:00:00"/>
    <s v="Credit Card"/>
    <s v="F"/>
    <n v="5"/>
    <s v="Delhi"/>
    <x v="1199"/>
  </r>
  <r>
    <n v="1310"/>
    <s v="GreenGrocer Plaza"/>
    <d v="2024-07-14T00:00:00"/>
    <s v="Health &amp; Wellness"/>
    <s v="Eggs"/>
    <n v="4"/>
    <n v="2369.65"/>
    <n v="9478.6"/>
    <n v="114.54"/>
    <n v="9364.06"/>
    <n v="218"/>
    <s v="11:59:49"/>
    <n v="14"/>
    <n v="7"/>
    <n v="2024"/>
    <d v="2024-07-14T00:00:00"/>
    <s v="Cash"/>
    <s v="M"/>
    <n v="5"/>
    <s v="Hyderabad"/>
    <x v="1200"/>
  </r>
  <r>
    <n v="6139"/>
    <s v="City Fresh Store"/>
    <d v="2024-06-27T00:00:00"/>
    <s v="Meat &amp; Seafood"/>
    <s v="Milk"/>
    <n v="1"/>
    <n v="2441.86"/>
    <n v="2441.86"/>
    <n v="227.42"/>
    <n v="2214.44"/>
    <n v="332"/>
    <s v="12:56:22"/>
    <n v="27"/>
    <n v="6"/>
    <n v="2024"/>
    <d v="2024-06-27T00:00:00"/>
    <s v="Credit Card"/>
    <s v="F"/>
    <n v="2"/>
    <s v="Jaipur"/>
    <x v="1201"/>
  </r>
  <r>
    <n v="3481"/>
    <s v="SuperSave Central"/>
    <d v="2024-06-22T00:00:00"/>
    <s v="Health &amp; Wellness"/>
    <s v="Tomatoes"/>
    <n v="2"/>
    <n v="164.34"/>
    <n v="328.68"/>
    <n v="33.200000000000003"/>
    <n v="295.48"/>
    <n v="123"/>
    <s v="21:42:06"/>
    <n v="22"/>
    <n v="6"/>
    <n v="2024"/>
    <d v="2024-06-22T00:00:00"/>
    <s v="Cash"/>
    <s v="F"/>
    <n v="2"/>
    <s v="Bangalore"/>
    <x v="1202"/>
  </r>
  <r>
    <n v="4340"/>
    <s v="QuickStop Market"/>
    <d v="2024-06-20T00:00:00"/>
    <s v="Household Items"/>
    <s v="Apples"/>
    <n v="4"/>
    <n v="1949.67"/>
    <n v="7798.68"/>
    <n v="780.2"/>
    <n v="7018.48"/>
    <n v="407"/>
    <s v="16:44:57"/>
    <n v="20"/>
    <n v="6"/>
    <n v="2024"/>
    <d v="2024-06-20T00:00:00"/>
    <s v="Cash"/>
    <s v="F"/>
    <n v="5"/>
    <s v="Kolkata"/>
    <x v="1203"/>
  </r>
  <r>
    <n v="9221"/>
    <s v="Corner Grocery"/>
    <d v="2025-03-30T00:00:00"/>
    <s v="Frozen Foods"/>
    <s v="Salmon"/>
    <n v="3"/>
    <n v="110.39"/>
    <n v="331.17"/>
    <n v="245.68"/>
    <n v="85.49"/>
    <n v="59"/>
    <s v="17:36:14"/>
    <n v="30"/>
    <n v="3"/>
    <n v="2025"/>
    <d v="2025-03-30T00:00:00"/>
    <s v="Cash"/>
    <s v="F"/>
    <n v="1"/>
    <s v="Pune"/>
    <x v="1204"/>
  </r>
  <r>
    <n v="8726"/>
    <s v="ValuePlus Market"/>
    <d v="2025-06-14T00:00:00"/>
    <s v="Bakery"/>
    <s v="Bananas"/>
    <n v="5"/>
    <n v="1461.63"/>
    <n v="7308.15"/>
    <n v="1096.43"/>
    <n v="6211.72"/>
    <n v="293"/>
    <s v="16:42:19"/>
    <n v="14"/>
    <n v="6"/>
    <n v="2025"/>
    <d v="2025-06-14T00:00:00"/>
    <s v="UPI"/>
    <s v="F"/>
    <n v="3"/>
    <s v="Chennai"/>
    <x v="1205"/>
  </r>
  <r>
    <n v="2020"/>
    <s v="GreenGrocer Plaza"/>
    <d v="2025-02-05T00:00:00"/>
    <s v="Household Items"/>
    <s v="Apples"/>
    <n v="4"/>
    <n v="1247.49"/>
    <n v="4989.96"/>
    <n v="748.66"/>
    <n v="4241.3"/>
    <n v="330"/>
    <s v="22:40:31"/>
    <n v="5"/>
    <n v="2"/>
    <n v="2025"/>
    <d v="2025-02-05T00:00:00"/>
    <s v="Credit Card"/>
    <s v="M"/>
    <n v="3"/>
    <s v="Jaipur"/>
    <x v="1206"/>
  </r>
  <r>
    <n v="3262"/>
    <s v="SuperSave Central"/>
    <d v="2024-09-12T00:00:00"/>
    <s v="Dairy"/>
    <s v="Cereal"/>
    <n v="1"/>
    <n v="1800.27"/>
    <n v="1800.27"/>
    <n v="180.11"/>
    <n v="1620.16"/>
    <n v="441"/>
    <s v="02:01:04"/>
    <n v="12"/>
    <n v="9"/>
    <n v="2024"/>
    <d v="2024-09-12T00:00:00"/>
    <s v="Credit Card"/>
    <s v="M"/>
    <n v="1"/>
    <s v="Kolkata"/>
    <x v="1207"/>
  </r>
  <r>
    <n v="4397"/>
    <s v="FreshMart Downtown"/>
    <d v="2024-10-15T00:00:00"/>
    <s v="Snacks &amp; Candy"/>
    <s v="Onions"/>
    <n v="5"/>
    <n v="1967.93"/>
    <n v="9839.65"/>
    <n v="255.64"/>
    <n v="9584.01"/>
    <n v="271"/>
    <s v="15:20:28"/>
    <n v="15"/>
    <n v="10"/>
    <n v="2024"/>
    <d v="2024-10-15T00:00:00"/>
    <s v="Credit Card"/>
    <s v="F"/>
    <n v="3"/>
    <s v="Lucknow"/>
    <x v="1208"/>
  </r>
  <r>
    <n v="6325"/>
    <s v="ValuePlus Market"/>
    <d v="2025-01-02T00:00:00"/>
    <s v="Health &amp; Wellness"/>
    <s v="Chicken Breast"/>
    <n v="2"/>
    <n v="2406.17"/>
    <n v="4812.34"/>
    <n v="962.8"/>
    <n v="3849.54"/>
    <n v="459"/>
    <s v="17:47:02"/>
    <n v="2"/>
    <n v="1"/>
    <n v="2025"/>
    <d v="2025-01-02T00:00:00"/>
    <s v="Cash"/>
    <s v="F"/>
    <n v="4"/>
    <s v="Bangalore"/>
    <x v="1209"/>
  </r>
  <r>
    <n v="8837"/>
    <s v="SuperSave Central"/>
    <d v="2024-09-18T00:00:00"/>
    <s v="Produce"/>
    <s v="Onions"/>
    <n v="4"/>
    <n v="2008.6"/>
    <n v="8034.4"/>
    <n v="1606.88"/>
    <n v="6427.52"/>
    <n v="62"/>
    <s v="08:51:53"/>
    <n v="18"/>
    <n v="9"/>
    <n v="2024"/>
    <d v="2024-09-18T00:00:00"/>
    <s v="Credit Card"/>
    <s v="F"/>
    <n v="5"/>
    <s v="Kolkata"/>
    <x v="1210"/>
  </r>
  <r>
    <n v="7173"/>
    <s v="FamilyFood Express"/>
    <d v="2024-04-06T00:00:00"/>
    <s v="Health &amp; Wellness"/>
    <s v="Apples"/>
    <n v="1"/>
    <n v="1435.9"/>
    <n v="1435.9"/>
    <n v="408.36"/>
    <n v="1027.54"/>
    <n v="435"/>
    <s v="19:00:22"/>
    <n v="6"/>
    <n v="4"/>
    <n v="2024"/>
    <d v="2024-04-06T00:00:00"/>
    <s v="Credit Card"/>
    <s v="M"/>
    <n v="5"/>
    <s v="Delhi"/>
    <x v="1211"/>
  </r>
  <r>
    <n v="3837"/>
    <s v="ValuePlus Market"/>
    <d v="2024-07-29T00:00:00"/>
    <s v="Frozen Foods"/>
    <s v="Orange Juice"/>
    <n v="5"/>
    <n v="495.51"/>
    <n v="2477.5500000000002"/>
    <n v="495.51"/>
    <n v="1982.04"/>
    <n v="500"/>
    <s v="23:22:42"/>
    <n v="29"/>
    <n v="7"/>
    <n v="2024"/>
    <d v="2024-07-29T00:00:00"/>
    <s v="Cash"/>
    <s v="M"/>
    <n v="1"/>
    <s v="Pune"/>
    <x v="1212"/>
  </r>
  <r>
    <n v="9734"/>
    <s v="QuickStop Market"/>
    <d v="2024-04-28T00:00:00"/>
    <s v="Produce"/>
    <s v="Carrots"/>
    <n v="3"/>
    <n v="1669.13"/>
    <n v="5007.3900000000003"/>
    <n v="245.68"/>
    <n v="4761.71"/>
    <n v="227"/>
    <s v="03:13:05"/>
    <n v="28"/>
    <n v="4"/>
    <n v="2024"/>
    <d v="2024-04-28T00:00:00"/>
    <s v="Debit Card"/>
    <s v="F"/>
    <n v="3"/>
    <s v="Lucknow"/>
    <x v="1213"/>
  </r>
  <r>
    <n v="9950"/>
    <s v="MegaMart Westside"/>
    <d v="2024-05-08T00:00:00"/>
    <s v="Personal Care"/>
    <s v="Orange Juice"/>
    <n v="5"/>
    <n v="1377.8"/>
    <n v="6889"/>
    <n v="0"/>
    <n v="6889"/>
    <n v="107"/>
    <s v="01:00:13"/>
    <n v="8"/>
    <n v="5"/>
    <n v="2024"/>
    <d v="2024-05-08T00:00:00"/>
    <s v="Cash"/>
    <s v="M"/>
    <n v="2"/>
    <s v="Kolkata"/>
    <x v="1214"/>
  </r>
  <r>
    <n v="5331"/>
    <s v="FreshMart Downtown"/>
    <d v="2024-11-22T00:00:00"/>
    <s v="Bakery"/>
    <s v="Milk"/>
    <n v="2"/>
    <n v="423.3"/>
    <n v="846.6"/>
    <n v="169.32"/>
    <n v="677.28"/>
    <n v="438"/>
    <s v="20:44:55"/>
    <n v="22"/>
    <n v="11"/>
    <n v="2024"/>
    <d v="2024-11-22T00:00:00"/>
    <s v="Credit Card"/>
    <s v="M"/>
    <n v="2"/>
    <s v="Ahmedabad"/>
    <x v="1215"/>
  </r>
  <r>
    <n v="8932"/>
    <s v="ValuePlus Market"/>
    <d v="2024-01-03T00:00:00"/>
    <s v="Bakery"/>
    <s v="Orange Juice"/>
    <n v="3"/>
    <n v="391.76"/>
    <n v="1175.28"/>
    <n v="265.60000000000002"/>
    <n v="909.68"/>
    <n v="318"/>
    <s v="01:08:30"/>
    <n v="3"/>
    <n v="1"/>
    <n v="2024"/>
    <d v="2024-01-03T00:00:00"/>
    <s v="Cash"/>
    <s v="F"/>
    <n v="3"/>
    <s v="Mumbai"/>
    <x v="1216"/>
  </r>
  <r>
    <n v="5038"/>
    <s v="QuickStop Market"/>
    <d v="2024-03-10T00:00:00"/>
    <s v="Snacks &amp; Candy"/>
    <s v="Apples"/>
    <n v="4"/>
    <n v="1180.26"/>
    <n v="4721.04"/>
    <n v="0"/>
    <n v="4721.04"/>
    <n v="483"/>
    <s v="21:47:21"/>
    <n v="10"/>
    <n v="3"/>
    <n v="2024"/>
    <d v="2024-03-10T00:00:00"/>
    <s v="Debit Card"/>
    <s v="M"/>
    <n v="2"/>
    <s v="Chennai"/>
    <x v="1217"/>
  </r>
  <r>
    <n v="5890"/>
    <s v="Corner Grocery"/>
    <d v="2024-01-28T00:00:00"/>
    <s v="Meat &amp; Seafood"/>
    <s v="Onions"/>
    <n v="2"/>
    <n v="252.32"/>
    <n v="504.64"/>
    <n v="0"/>
    <n v="504.64"/>
    <n v="375"/>
    <s v="17:33:57"/>
    <n v="28"/>
    <n v="1"/>
    <n v="2024"/>
    <d v="2024-01-28T00:00:00"/>
    <s v="Cash"/>
    <s v="M"/>
    <n v="1"/>
    <s v="Hyderabad"/>
    <x v="1218"/>
  </r>
  <r>
    <n v="5876"/>
    <s v="FamilyFood Express"/>
    <d v="2025-03-27T00:00:00"/>
    <s v="Canned Goods"/>
    <s v="Carrots"/>
    <n v="5"/>
    <n v="477.25"/>
    <n v="2386.25"/>
    <n v="357.73"/>
    <n v="2028.52"/>
    <n v="420"/>
    <s v="04:59:17"/>
    <n v="27"/>
    <n v="3"/>
    <n v="2025"/>
    <d v="2025-03-27T00:00:00"/>
    <s v="Credit Card"/>
    <s v="F"/>
    <n v="1"/>
    <s v="Pune"/>
    <x v="1219"/>
  </r>
  <r>
    <n v="5735"/>
    <s v="Corner Grocery"/>
    <d v="2025-02-04T00:00:00"/>
    <s v="Snacks &amp; Candy"/>
    <s v="Bananas"/>
    <n v="5"/>
    <n v="678.11"/>
    <n v="3390.55"/>
    <n v="119.52"/>
    <n v="3271.03"/>
    <n v="138"/>
    <s v="14:38:54"/>
    <n v="4"/>
    <n v="2"/>
    <n v="2025"/>
    <d v="2025-02-04T00:00:00"/>
    <s v="Debit Card"/>
    <s v="M"/>
    <n v="3"/>
    <s v="Pune"/>
    <x v="1220"/>
  </r>
  <r>
    <n v="4396"/>
    <s v="ValuePlus Market"/>
    <d v="2025-01-24T00:00:00"/>
    <s v="Snacks &amp; Candy"/>
    <s v="Bread"/>
    <n v="3"/>
    <n v="1623.48"/>
    <n v="4870.4399999999996"/>
    <n v="730.4"/>
    <n v="4140.04"/>
    <n v="185"/>
    <s v="01:09:50"/>
    <n v="24"/>
    <n v="1"/>
    <n v="2025"/>
    <d v="2025-01-24T00:00:00"/>
    <s v="UPI"/>
    <s v="M"/>
    <n v="2"/>
    <s v="Hyderabad"/>
    <x v="1221"/>
  </r>
  <r>
    <n v="9011"/>
    <s v="SuperSave Central"/>
    <d v="2024-04-09T00:00:00"/>
    <s v="Bakery"/>
    <s v="Pasta"/>
    <n v="1"/>
    <n v="317.89"/>
    <n v="317.89"/>
    <n v="31.54"/>
    <n v="286.35000000000002"/>
    <n v="496"/>
    <s v="17:34:49"/>
    <n v="9"/>
    <n v="4"/>
    <n v="2024"/>
    <d v="2024-04-09T00:00:00"/>
    <s v="Credit Card"/>
    <s v="F"/>
    <n v="1"/>
    <s v="Chennai"/>
    <x v="1222"/>
  </r>
  <r>
    <n v="8861"/>
    <s v="GreenGrocer Plaza"/>
    <d v="2024-05-03T00:00:00"/>
    <s v="Dairy"/>
    <s v="Apples"/>
    <n v="5"/>
    <n v="1835.13"/>
    <n v="9175.65"/>
    <n v="258.95999999999998"/>
    <n v="8916.69"/>
    <n v="156"/>
    <s v="02:28:49"/>
    <n v="3"/>
    <n v="5"/>
    <n v="2024"/>
    <d v="2024-05-03T00:00:00"/>
    <s v="Debit Card"/>
    <s v="M"/>
    <n v="1"/>
    <s v="Delhi"/>
    <x v="1223"/>
  </r>
  <r>
    <n v="5480"/>
    <s v="QuickStop Market"/>
    <d v="2024-03-17T00:00:00"/>
    <s v="Personal Care"/>
    <s v="Pasta"/>
    <n v="5"/>
    <n v="320.38"/>
    <n v="1601.9"/>
    <n v="240.7"/>
    <n v="1361.2"/>
    <n v="24"/>
    <s v="21:27:50"/>
    <n v="17"/>
    <n v="3"/>
    <n v="2024"/>
    <d v="2024-03-17T00:00:00"/>
    <s v="Debit Card"/>
    <s v="M"/>
    <n v="4"/>
    <s v="Chennai"/>
    <x v="1224"/>
  </r>
  <r>
    <n v="2996"/>
    <s v="Corner Grocery"/>
    <d v="2024-10-25T00:00:00"/>
    <s v="Meat &amp; Seafood"/>
    <s v="Orange Juice"/>
    <n v="5"/>
    <n v="1410.17"/>
    <n v="7050.85"/>
    <n v="705.5"/>
    <n v="6345.35"/>
    <n v="451"/>
    <s v="12:14:21"/>
    <n v="25"/>
    <n v="10"/>
    <n v="2024"/>
    <d v="2024-10-25T00:00:00"/>
    <s v="UPI"/>
    <s v="F"/>
    <n v="4"/>
    <s v="Jaipur"/>
    <x v="1225"/>
  </r>
  <r>
    <n v="9899"/>
    <s v="SuperSave Central"/>
    <d v="2024-05-27T00:00:00"/>
    <s v="Frozen Foods"/>
    <s v="Bananas"/>
    <n v="5"/>
    <n v="1798.61"/>
    <n v="8993.0499999999993"/>
    <n v="1798.61"/>
    <n v="7194.44"/>
    <n v="336"/>
    <s v="17:49:38"/>
    <n v="27"/>
    <n v="5"/>
    <n v="2024"/>
    <d v="2024-05-27T00:00:00"/>
    <s v="Cash"/>
    <s v="F"/>
    <n v="1"/>
    <s v="Chennai"/>
    <x v="1226"/>
  </r>
  <r>
    <n v="7464"/>
    <s v="Corner Grocery"/>
    <d v="2025-05-03T00:00:00"/>
    <s v="Household Items"/>
    <s v="Pasta"/>
    <n v="1"/>
    <n v="2292.46"/>
    <n v="2292.46"/>
    <n v="0"/>
    <n v="2292.46"/>
    <n v="327"/>
    <s v="19:35:28"/>
    <n v="3"/>
    <n v="5"/>
    <n v="2025"/>
    <d v="2025-05-03T00:00:00"/>
    <s v="Cash"/>
    <s v="F"/>
    <n v="3"/>
    <s v="Mumbai"/>
    <x v="1227"/>
  </r>
  <r>
    <n v="6654"/>
    <s v="FamilyFood Express"/>
    <d v="2025-03-29T00:00:00"/>
    <s v="Health &amp; Wellness"/>
    <s v="Cheese"/>
    <n v="4"/>
    <n v="522.9"/>
    <n v="2091.6"/>
    <n v="178.45"/>
    <n v="1913.15"/>
    <n v="181"/>
    <s v="04:58:31"/>
    <n v="29"/>
    <n v="3"/>
    <n v="2025"/>
    <d v="2025-03-29T00:00:00"/>
    <s v="Credit Card"/>
    <s v="M"/>
    <n v="5"/>
    <s v="Kolkata"/>
    <x v="1228"/>
  </r>
  <r>
    <n v="3399"/>
    <s v="Corner Grocery"/>
    <d v="2024-03-19T00:00:00"/>
    <s v="Personal Care"/>
    <s v="Ground Beef"/>
    <n v="3"/>
    <n v="1611.86"/>
    <n v="4835.58"/>
    <n v="483.89"/>
    <n v="4351.6899999999996"/>
    <n v="44"/>
    <s v="18:13:39"/>
    <n v="19"/>
    <n v="3"/>
    <n v="2024"/>
    <d v="2024-03-19T00:00:00"/>
    <s v="UPI"/>
    <s v="F"/>
    <n v="5"/>
    <s v="Ahmedabad"/>
    <x v="1229"/>
  </r>
  <r>
    <n v="1689"/>
    <s v="MegaMart Westside"/>
    <d v="2024-03-17T00:00:00"/>
    <s v="Dairy"/>
    <s v="Bread"/>
    <n v="1"/>
    <n v="1839.28"/>
    <n v="1839.28"/>
    <n v="367.69"/>
    <n v="1471.59"/>
    <n v="483"/>
    <s v="23:35:37"/>
    <n v="17"/>
    <n v="3"/>
    <n v="2024"/>
    <d v="2024-03-17T00:00:00"/>
    <s v="Cash"/>
    <s v="M"/>
    <n v="1"/>
    <s v="Hyderabad"/>
    <x v="1230"/>
  </r>
  <r>
    <n v="2294"/>
    <s v="FreshMart Downtown"/>
    <d v="2024-05-02T00:00:00"/>
    <s v="Dairy"/>
    <s v="Rice"/>
    <n v="5"/>
    <n v="2319.85"/>
    <n v="11599.25"/>
    <n v="1160.3399999999999"/>
    <n v="10438.91"/>
    <n v="413"/>
    <s v="09:21:55"/>
    <n v="2"/>
    <n v="5"/>
    <n v="2024"/>
    <d v="2024-05-02T00:00:00"/>
    <s v="UPI"/>
    <s v="F"/>
    <n v="1"/>
    <s v="Delhi"/>
    <x v="1231"/>
  </r>
  <r>
    <n v="8247"/>
    <s v="ValuePlus Market"/>
    <d v="2024-12-28T00:00:00"/>
    <s v="Meat &amp; Seafood"/>
    <s v="Potatoes"/>
    <n v="4"/>
    <n v="1322.19"/>
    <n v="5288.76"/>
    <n v="528.71"/>
    <n v="4760.05"/>
    <n v="346"/>
    <s v="12:33:41"/>
    <n v="28"/>
    <n v="12"/>
    <n v="2024"/>
    <d v="2024-12-28T00:00:00"/>
    <s v="Cash"/>
    <s v="M"/>
    <n v="1"/>
    <s v="Pune"/>
    <x v="1232"/>
  </r>
  <r>
    <n v="5201"/>
    <s v="FreshMart Downtown"/>
    <d v="2025-03-09T00:00:00"/>
    <s v="Household Items"/>
    <s v="Yogurt"/>
    <n v="1"/>
    <n v="1801.1"/>
    <n v="1801.1"/>
    <n v="360.22"/>
    <n v="1440.88"/>
    <n v="359"/>
    <s v="21:02:58"/>
    <n v="9"/>
    <n v="3"/>
    <n v="2025"/>
    <d v="2025-03-09T00:00:00"/>
    <s v="Debit Card"/>
    <s v="F"/>
    <n v="3"/>
    <s v="Delhi"/>
    <x v="1233"/>
  </r>
  <r>
    <n v="8849"/>
    <s v="ValuePlus Market"/>
    <d v="2024-01-20T00:00:00"/>
    <s v="Health &amp; Wellness"/>
    <s v="Milk"/>
    <n v="5"/>
    <n v="1162"/>
    <n v="5810"/>
    <n v="1162"/>
    <n v="4648"/>
    <n v="86"/>
    <s v="03:27:53"/>
    <n v="20"/>
    <n v="1"/>
    <n v="2024"/>
    <d v="2024-01-20T00:00:00"/>
    <s v="Cash"/>
    <s v="F"/>
    <n v="4"/>
    <s v="Hyderabad"/>
    <x v="1234"/>
  </r>
  <r>
    <n v="4310"/>
    <s v="GreenGrocer Plaza"/>
    <d v="2025-05-11T00:00:00"/>
    <s v="Canned Goods"/>
    <s v="Eggs"/>
    <n v="5"/>
    <n v="932.92"/>
    <n v="4664.6000000000004"/>
    <n v="466.46"/>
    <n v="4198.1400000000003"/>
    <n v="26"/>
    <s v="05:54:01"/>
    <n v="11"/>
    <n v="5"/>
    <n v="2025"/>
    <d v="2025-05-11T00:00:00"/>
    <s v="UPI"/>
    <s v="F"/>
    <n v="1"/>
    <s v="Lucknow"/>
    <x v="1235"/>
  </r>
  <r>
    <n v="9824"/>
    <s v="Corner Grocery"/>
    <d v="2024-03-04T00:00:00"/>
    <s v="Meat &amp; Seafood"/>
    <s v="Orange Juice"/>
    <n v="1"/>
    <n v="895.57"/>
    <n v="895.57"/>
    <n v="365.2"/>
    <n v="530.37"/>
    <n v="347"/>
    <s v="01:07:33"/>
    <n v="4"/>
    <n v="3"/>
    <n v="2024"/>
    <d v="2024-03-04T00:00:00"/>
    <s v="Debit Card"/>
    <s v="F"/>
    <n v="1"/>
    <s v="Mumbai"/>
    <x v="1236"/>
  </r>
  <r>
    <n v="5450"/>
    <s v="GreenGrocer Plaza"/>
    <d v="2023-11-21T00:00:00"/>
    <s v="Frozen Foods"/>
    <s v="Rice"/>
    <n v="4"/>
    <n v="788.5"/>
    <n v="3154"/>
    <n v="0"/>
    <n v="3154"/>
    <n v="109"/>
    <s v="10:42:30"/>
    <n v="21"/>
    <n v="11"/>
    <n v="2023"/>
    <d v="2023-11-21T00:00:00"/>
    <s v="Debit Card"/>
    <s v="M"/>
    <n v="2"/>
    <s v="Mumbai"/>
    <x v="1237"/>
  </r>
  <r>
    <n v="2789"/>
    <s v="Corner Grocery"/>
    <d v="2024-11-27T00:00:00"/>
    <s v="Bakery"/>
    <s v="Rice"/>
    <n v="5"/>
    <n v="2070.02"/>
    <n v="10350.1"/>
    <n v="364.37"/>
    <n v="9985.73"/>
    <n v="18"/>
    <s v="08:37:05"/>
    <n v="27"/>
    <n v="11"/>
    <n v="2024"/>
    <d v="2024-11-27T00:00:00"/>
    <s v="Debit Card"/>
    <s v="F"/>
    <n v="3"/>
    <s v="Chennai"/>
    <x v="1238"/>
  </r>
  <r>
    <n v="4920"/>
    <s v="FreshMart Downtown"/>
    <d v="2024-02-11T00:00:00"/>
    <s v="Canned Goods"/>
    <s v="Bananas"/>
    <n v="5"/>
    <n v="1190.22"/>
    <n v="5951.1"/>
    <n v="84.66"/>
    <n v="5866.44"/>
    <n v="152"/>
    <s v="02:05:36"/>
    <n v="11"/>
    <n v="2"/>
    <n v="2024"/>
    <d v="2024-02-11T00:00:00"/>
    <s v="UPI"/>
    <s v="F"/>
    <n v="1"/>
    <s v="Hyderabad"/>
    <x v="1239"/>
  </r>
  <r>
    <n v="1831"/>
    <s v="SuperSave Central"/>
    <d v="2025-01-08T00:00:00"/>
    <s v="Snacks &amp; Candy"/>
    <s v="Orange Juice"/>
    <n v="1"/>
    <n v="326.19"/>
    <n v="326.19"/>
    <n v="258.95999999999998"/>
    <n v="67.23"/>
    <n v="251"/>
    <s v="21:25:49"/>
    <n v="8"/>
    <n v="1"/>
    <n v="2025"/>
    <d v="2025-01-08T00:00:00"/>
    <s v="Credit Card"/>
    <s v="M"/>
    <n v="2"/>
    <s v="Bangalore"/>
    <x v="1240"/>
  </r>
  <r>
    <n v="9700"/>
    <s v="SuperSave Central"/>
    <d v="2024-01-29T00:00:00"/>
    <s v="Snacks &amp; Candy"/>
    <s v="Chicken Breast"/>
    <n v="4"/>
    <n v="98.77"/>
    <n v="395.08"/>
    <n v="78.849999999999994"/>
    <n v="316.23"/>
    <n v="393"/>
    <s v="19:08:04"/>
    <n v="29"/>
    <n v="1"/>
    <n v="2024"/>
    <d v="2024-01-29T00:00:00"/>
    <s v="Credit Card"/>
    <s v="F"/>
    <n v="5"/>
    <s v="Lucknow"/>
    <x v="1241"/>
  </r>
  <r>
    <n v="4814"/>
    <s v="City Fresh Store"/>
    <d v="2023-09-16T00:00:00"/>
    <s v="Snacks &amp; Candy"/>
    <s v="Orange Juice"/>
    <n v="3"/>
    <n v="959.48"/>
    <n v="2878.44"/>
    <n v="352.75"/>
    <n v="2525.69"/>
    <n v="456"/>
    <s v="13:54:10"/>
    <n v="16"/>
    <n v="9"/>
    <n v="2023"/>
    <d v="2023-09-16T00:00:00"/>
    <s v="Credit Card"/>
    <s v="M"/>
    <n v="1"/>
    <s v="Hyderabad"/>
    <x v="1242"/>
  </r>
  <r>
    <n v="2641"/>
    <s v="GreenGrocer Plaza"/>
    <d v="2024-06-23T00:00:00"/>
    <s v="Beverages"/>
    <s v="Salmon"/>
    <n v="2"/>
    <n v="419.15"/>
    <n v="838.3"/>
    <n v="202.52"/>
    <n v="635.78"/>
    <n v="382"/>
    <s v="08:56:26"/>
    <n v="23"/>
    <n v="6"/>
    <n v="2024"/>
    <d v="2024-06-23T00:00:00"/>
    <s v="UPI"/>
    <s v="F"/>
    <n v="1"/>
    <s v="Delhi"/>
    <x v="1243"/>
  </r>
  <r>
    <n v="6411"/>
    <s v="FamilyFood Express"/>
    <d v="2025-02-14T00:00:00"/>
    <s v="Dairy"/>
    <s v="Yogurt"/>
    <n v="3"/>
    <n v="179.28"/>
    <n v="537.84"/>
    <n v="0"/>
    <n v="537.84"/>
    <n v="202"/>
    <s v="01:03:01"/>
    <n v="14"/>
    <n v="2"/>
    <n v="2025"/>
    <d v="2025-02-14T00:00:00"/>
    <s v="Debit Card"/>
    <s v="F"/>
    <n v="2"/>
    <s v="Jaipur"/>
    <x v="1244"/>
  </r>
  <r>
    <n v="8739"/>
    <s v="MegaMart Westside"/>
    <d v="2023-10-24T00:00:00"/>
    <s v="Produce"/>
    <s v="Apples"/>
    <n v="2"/>
    <n v="2364.67"/>
    <n v="4729.34"/>
    <n v="222.44"/>
    <n v="4506.8999999999996"/>
    <n v="491"/>
    <s v="14:50:50"/>
    <n v="24"/>
    <n v="10"/>
    <n v="2023"/>
    <d v="2023-10-24T00:00:00"/>
    <s v="Credit Card"/>
    <s v="F"/>
    <n v="3"/>
    <s v="Hyderabad"/>
    <x v="1245"/>
  </r>
  <r>
    <n v="3252"/>
    <s v="ValuePlus Market"/>
    <d v="2023-08-11T00:00:00"/>
    <s v="Beverages"/>
    <s v="Eggs"/>
    <n v="3"/>
    <n v="1889.91"/>
    <n v="5669.73"/>
    <n v="323.7"/>
    <n v="5346.03"/>
    <n v="399"/>
    <s v="09:06:17"/>
    <n v="11"/>
    <n v="8"/>
    <n v="2023"/>
    <d v="2023-08-11T00:00:00"/>
    <s v="UPI"/>
    <s v="M"/>
    <n v="1"/>
    <s v="Lucknow"/>
    <x v="1246"/>
  </r>
  <r>
    <n v="3587"/>
    <s v="Corner Grocery"/>
    <d v="2024-06-18T00:00:00"/>
    <s v="Meat &amp; Seafood"/>
    <s v="Chicken Breast"/>
    <n v="1"/>
    <n v="1990.34"/>
    <n v="1990.34"/>
    <n v="298.8"/>
    <n v="1691.54"/>
    <n v="64"/>
    <s v="20:24:05"/>
    <n v="18"/>
    <n v="6"/>
    <n v="2024"/>
    <d v="2024-06-18T00:00:00"/>
    <s v="Credit Card"/>
    <s v="F"/>
    <n v="5"/>
    <s v="Hyderabad"/>
    <x v="1247"/>
  </r>
  <r>
    <n v="8793"/>
    <s v="ValuePlus Market"/>
    <d v="2024-08-11T00:00:00"/>
    <s v="Produce"/>
    <s v="Ground Beef"/>
    <n v="1"/>
    <n v="1714.78"/>
    <n v="1714.78"/>
    <n v="327.85"/>
    <n v="1386.93"/>
    <n v="175"/>
    <s v="14:31:17"/>
    <n v="11"/>
    <n v="8"/>
    <n v="2024"/>
    <d v="2024-08-11T00:00:00"/>
    <s v="Cash"/>
    <s v="F"/>
    <n v="1"/>
    <s v="Hyderabad"/>
    <x v="1248"/>
  </r>
  <r>
    <n v="4267"/>
    <s v="ValuePlus Market"/>
    <d v="2025-03-16T00:00:00"/>
    <s v="Beverages"/>
    <s v="Rice"/>
    <n v="3"/>
    <n v="1251.6400000000001"/>
    <n v="3754.92"/>
    <n v="751.15"/>
    <n v="3003.77"/>
    <n v="389"/>
    <s v="05:53:02"/>
    <n v="16"/>
    <n v="3"/>
    <n v="2025"/>
    <d v="2025-03-16T00:00:00"/>
    <s v="Credit Card"/>
    <s v="F"/>
    <n v="5"/>
    <s v="Chennai"/>
    <x v="1249"/>
  </r>
  <r>
    <n v="5706"/>
    <s v="SuperSave Central"/>
    <d v="2024-04-12T00:00:00"/>
    <s v="Personal Care"/>
    <s v="Apples"/>
    <n v="2"/>
    <n v="758.62"/>
    <n v="1517.24"/>
    <n v="0"/>
    <n v="1517.24"/>
    <n v="58"/>
    <s v="07:21:57"/>
    <n v="12"/>
    <n v="4"/>
    <n v="2024"/>
    <d v="2024-04-12T00:00:00"/>
    <s v="Credit Card"/>
    <s v="M"/>
    <n v="4"/>
    <s v="Bangalore"/>
    <x v="1250"/>
  </r>
  <r>
    <n v="5676"/>
    <s v="FamilyFood Express"/>
    <d v="2024-12-20T00:00:00"/>
    <s v="Health &amp; Wellness"/>
    <s v="Cheese"/>
    <n v="2"/>
    <n v="1222.5899999999999"/>
    <n v="2445.1799999999998"/>
    <n v="0"/>
    <n v="2445.1799999999998"/>
    <n v="400"/>
    <s v="13:29:37"/>
    <n v="20"/>
    <n v="12"/>
    <n v="2024"/>
    <d v="2024-12-20T00:00:00"/>
    <s v="Debit Card"/>
    <s v="M"/>
    <n v="4"/>
    <s v="Lucknow"/>
    <x v="1251"/>
  </r>
  <r>
    <n v="1969"/>
    <s v="ValuePlus Market"/>
    <d v="2025-07-12T00:00:00"/>
    <s v="Household Items"/>
    <s v="Apples"/>
    <n v="2"/>
    <n v="2470.91"/>
    <n v="4941.82"/>
    <n v="988.53"/>
    <n v="3953.29"/>
    <n v="302"/>
    <s v="17:38:34"/>
    <n v="12"/>
    <n v="7"/>
    <n v="2025"/>
    <d v="2025-07-12T00:00:00"/>
    <s v="UPI"/>
    <s v="F"/>
    <n v="5"/>
    <s v="Mumbai"/>
    <x v="1252"/>
  </r>
  <r>
    <n v="2465"/>
    <s v="GreenGrocer Plaza"/>
    <d v="2024-12-25T00:00:00"/>
    <s v="Meat &amp; Seafood"/>
    <s v="Tomatoes"/>
    <n v="1"/>
    <n v="741.19"/>
    <n v="741.19"/>
    <n v="73.87"/>
    <n v="667.32"/>
    <n v="98"/>
    <s v="11:02:22"/>
    <n v="25"/>
    <n v="12"/>
    <n v="2024"/>
    <d v="2024-12-25T00:00:00"/>
    <s v="Debit Card"/>
    <s v="M"/>
    <n v="3"/>
    <s v="Ahmedabad"/>
    <x v="1253"/>
  </r>
  <r>
    <n v="4804"/>
    <s v="FreshMart Downtown"/>
    <d v="2024-09-25T00:00:00"/>
    <s v="Household Items"/>
    <s v="Yogurt"/>
    <n v="1"/>
    <n v="2162.98"/>
    <n v="2162.98"/>
    <n v="185.09"/>
    <n v="1977.89"/>
    <n v="194"/>
    <s v="10:54:50"/>
    <n v="25"/>
    <n v="9"/>
    <n v="2024"/>
    <d v="2024-09-25T00:00:00"/>
    <s v="Debit Card"/>
    <s v="F"/>
    <n v="1"/>
    <s v="Bangalore"/>
    <x v="1254"/>
  </r>
  <r>
    <n v="1611"/>
    <s v="FamilyFood Express"/>
    <d v="2025-07-16T00:00:00"/>
    <s v="Bakery"/>
    <s v="Cereal"/>
    <n v="4"/>
    <n v="1235.8699999999999"/>
    <n v="4943.4799999999996"/>
    <n v="0"/>
    <n v="4943.4799999999996"/>
    <n v="261"/>
    <s v="16:27:07"/>
    <n v="16"/>
    <n v="7"/>
    <n v="2025"/>
    <d v="2025-07-16T00:00:00"/>
    <s v="Debit Card"/>
    <s v="F"/>
    <n v="1"/>
    <s v="Bangalore"/>
    <x v="1255"/>
  </r>
  <r>
    <n v="3868"/>
    <s v="FreshMart Downtown"/>
    <d v="2024-06-26T00:00:00"/>
    <s v="Frozen Foods"/>
    <s v="Chicken Breast"/>
    <n v="3"/>
    <n v="956.99"/>
    <n v="2870.97"/>
    <n v="0"/>
    <n v="2870.97"/>
    <n v="482"/>
    <s v="07:32:30"/>
    <n v="26"/>
    <n v="6"/>
    <n v="2024"/>
    <d v="2024-06-26T00:00:00"/>
    <s v="Debit Card"/>
    <s v="F"/>
    <n v="4"/>
    <s v="Jaipur"/>
    <x v="1256"/>
  </r>
  <r>
    <n v="3880"/>
    <s v="Corner Grocery"/>
    <d v="2025-08-01T00:00:00"/>
    <s v="Bakery"/>
    <s v="Cereal"/>
    <n v="1"/>
    <n v="519.58000000000004"/>
    <n v="519.58000000000004"/>
    <n v="0"/>
    <n v="519.58000000000004"/>
    <n v="0"/>
    <s v="23:52:20"/>
    <n v="1"/>
    <n v="8"/>
    <n v="2025"/>
    <d v="2025-08-01T00:00:00"/>
    <s v="Debit Card"/>
    <s v="F"/>
    <n v="5"/>
    <s v="Ahmedabad"/>
    <x v="1257"/>
  </r>
  <r>
    <n v="1595"/>
    <s v="MegaMart Westside"/>
    <d v="2025-05-17T00:00:00"/>
    <s v="Bakery"/>
    <s v="Rice"/>
    <n v="4"/>
    <n v="756.13"/>
    <n v="3024.52"/>
    <n v="302.12"/>
    <n v="2722.4"/>
    <n v="310"/>
    <s v="00:36:27"/>
    <n v="17"/>
    <n v="5"/>
    <n v="2025"/>
    <d v="2025-05-17T00:00:00"/>
    <s v="Credit Card"/>
    <s v="F"/>
    <n v="1"/>
    <s v="Bangalore"/>
    <x v="1258"/>
  </r>
  <r>
    <n v="7504"/>
    <s v="SuperSave Central"/>
    <d v="2025-04-10T00:00:00"/>
    <s v="Frozen Foods"/>
    <s v="Potatoes"/>
    <n v="3"/>
    <n v="886.44"/>
    <n v="2659.32"/>
    <n v="0"/>
    <n v="2659.32"/>
    <n v="57"/>
    <s v="13:14:53"/>
    <n v="10"/>
    <n v="4"/>
    <n v="2025"/>
    <d v="2025-04-10T00:00:00"/>
    <s v="Debit Card"/>
    <s v="F"/>
    <n v="1"/>
    <s v="Delhi"/>
    <x v="1259"/>
  </r>
  <r>
    <n v="9116"/>
    <s v="FreshMart Downtown"/>
    <d v="2023-12-29T00:00:00"/>
    <s v="Health &amp; Wellness"/>
    <s v="Onions"/>
    <n v="2"/>
    <n v="879.8"/>
    <n v="1759.6"/>
    <n v="0"/>
    <n v="1759.6"/>
    <n v="379"/>
    <s v="04:59:04"/>
    <n v="29"/>
    <n v="12"/>
    <n v="2023"/>
    <d v="2023-12-29T00:00:00"/>
    <s v="Debit Card"/>
    <s v="F"/>
    <n v="3"/>
    <s v="Mumbai"/>
    <x v="1260"/>
  </r>
  <r>
    <n v="5742"/>
    <s v="ValuePlus Market"/>
    <d v="2025-06-17T00:00:00"/>
    <s v="Household Items"/>
    <s v="Orange Juice"/>
    <n v="2"/>
    <n v="1647.55"/>
    <n v="3295.1"/>
    <n v="377.65"/>
    <n v="2917.45"/>
    <n v="107"/>
    <s v="01:24:43"/>
    <n v="17"/>
    <n v="6"/>
    <n v="2025"/>
    <d v="2025-06-17T00:00:00"/>
    <s v="UPI"/>
    <s v="M"/>
    <n v="2"/>
    <s v="Bangalore"/>
    <x v="1261"/>
  </r>
  <r>
    <n v="1613"/>
    <s v="SuperSave Central"/>
    <d v="2023-08-14T00:00:00"/>
    <s v="Health &amp; Wellness"/>
    <s v="Chicken Breast"/>
    <n v="1"/>
    <n v="1494"/>
    <n v="1494"/>
    <n v="298.8"/>
    <n v="1195.2"/>
    <n v="467"/>
    <s v="14:09:08"/>
    <n v="14"/>
    <n v="8"/>
    <n v="2023"/>
    <d v="2023-08-14T00:00:00"/>
    <s v="Cash"/>
    <s v="M"/>
    <n v="4"/>
    <s v="Mumbai"/>
    <x v="1262"/>
  </r>
  <r>
    <n v="5888"/>
    <s v="City Fresh Store"/>
    <d v="2024-10-21T00:00:00"/>
    <s v="Dairy"/>
    <s v="Bread"/>
    <n v="5"/>
    <n v="1572.02"/>
    <n v="7860.1"/>
    <n v="1572.02"/>
    <n v="6288.08"/>
    <n v="154"/>
    <s v="06:06:06"/>
    <n v="21"/>
    <n v="10"/>
    <n v="2024"/>
    <d v="2024-10-21T00:00:00"/>
    <s v="Credit Card"/>
    <s v="M"/>
    <n v="4"/>
    <s v="Chennai"/>
    <x v="1263"/>
  </r>
  <r>
    <n v="2758"/>
    <s v="ValuePlus Market"/>
    <d v="2025-07-28T00:00:00"/>
    <s v="Meat &amp; Seafood"/>
    <s v="Milk"/>
    <n v="2"/>
    <n v="543.65"/>
    <n v="1087.3"/>
    <n v="406.7"/>
    <n v="680.6"/>
    <n v="281"/>
    <s v="06:07:19"/>
    <n v="28"/>
    <n v="7"/>
    <n v="2025"/>
    <d v="2025-07-28T00:00:00"/>
    <s v="Credit Card"/>
    <s v="M"/>
    <n v="2"/>
    <s v="Hyderabad"/>
    <x v="1264"/>
  </r>
  <r>
    <n v="6489"/>
    <s v="MegaMart Westside"/>
    <d v="2024-03-15T00:00:00"/>
    <s v="Beverages"/>
    <s v="Chicken Breast"/>
    <n v="4"/>
    <n v="244.85"/>
    <n v="979.4"/>
    <n v="195.88"/>
    <n v="783.52"/>
    <n v="214"/>
    <s v="18:59:50"/>
    <n v="15"/>
    <n v="3"/>
    <n v="2024"/>
    <d v="2024-03-15T00:00:00"/>
    <s v="Credit Card"/>
    <s v="M"/>
    <n v="1"/>
    <s v="Lucknow"/>
    <x v="1265"/>
  </r>
  <r>
    <n v="8444"/>
    <s v="QuickStop Market"/>
    <d v="2024-12-17T00:00:00"/>
    <s v="Meat &amp; Seafood"/>
    <s v="Rice"/>
    <n v="1"/>
    <n v="2382.9299999999998"/>
    <n v="2382.9299999999998"/>
    <n v="0"/>
    <n v="2382.9299999999998"/>
    <n v="31"/>
    <s v="22:16:46"/>
    <n v="17"/>
    <n v="12"/>
    <n v="2024"/>
    <d v="2024-12-17T00:00:00"/>
    <s v="Debit Card"/>
    <s v="M"/>
    <n v="3"/>
    <s v="Chennai"/>
    <x v="1266"/>
  </r>
  <r>
    <n v="9901"/>
    <s v="Corner Grocery"/>
    <d v="2024-09-17T00:00:00"/>
    <s v="Beverages"/>
    <s v="Onions"/>
    <n v="5"/>
    <n v="2420.2800000000002"/>
    <n v="12101.4"/>
    <n v="210.82"/>
    <n v="11890.58"/>
    <n v="84"/>
    <s v="18:46:24"/>
    <n v="17"/>
    <n v="9"/>
    <n v="2024"/>
    <d v="2024-09-17T00:00:00"/>
    <s v="Debit Card"/>
    <s v="M"/>
    <n v="3"/>
    <s v="Mumbai"/>
    <x v="1267"/>
  </r>
  <r>
    <n v="9092"/>
    <s v="Corner Grocery"/>
    <d v="2025-06-27T00:00:00"/>
    <s v="Snacks &amp; Candy"/>
    <s v="Pasta"/>
    <n v="2"/>
    <n v="525.39"/>
    <n v="1050.78"/>
    <n v="314.57"/>
    <n v="736.21"/>
    <n v="81"/>
    <s v="04:46:11"/>
    <n v="27"/>
    <n v="6"/>
    <n v="2025"/>
    <d v="2025-06-27T00:00:00"/>
    <s v="Debit Card"/>
    <s v="F"/>
    <n v="4"/>
    <s v="Bangalore"/>
    <x v="1268"/>
  </r>
  <r>
    <n v="3198"/>
    <s v="ValuePlus Market"/>
    <d v="2025-05-29T00:00:00"/>
    <s v="Beverages"/>
    <s v="Carrots"/>
    <n v="5"/>
    <n v="705.5"/>
    <n v="3527.5"/>
    <n v="529.54"/>
    <n v="2997.96"/>
    <n v="436"/>
    <s v="04:39:04"/>
    <n v="29"/>
    <n v="5"/>
    <n v="2025"/>
    <d v="2025-05-29T00:00:00"/>
    <s v="UPI"/>
    <s v="F"/>
    <n v="3"/>
    <s v="Ahmedabad"/>
    <x v="1022"/>
  </r>
  <r>
    <n v="9261"/>
    <s v="QuickStop Market"/>
    <d v="2024-08-04T00:00:00"/>
    <s v="Personal Care"/>
    <s v="Chicken Breast"/>
    <n v="2"/>
    <n v="620.84"/>
    <n v="1241.68"/>
    <n v="185.92"/>
    <n v="1055.76"/>
    <n v="273"/>
    <s v="12:46:49"/>
    <n v="4"/>
    <n v="8"/>
    <n v="2024"/>
    <d v="2024-08-04T00:00:00"/>
    <s v="Cash"/>
    <s v="F"/>
    <n v="2"/>
    <s v="Mumbai"/>
    <x v="1269"/>
  </r>
  <r>
    <n v="5470"/>
    <s v="FreshMart Downtown"/>
    <d v="2024-01-03T00:00:00"/>
    <s v="Health &amp; Wellness"/>
    <s v="Eggs"/>
    <n v="3"/>
    <n v="2314.04"/>
    <n v="6942.12"/>
    <n v="0"/>
    <n v="6942.12"/>
    <n v="138"/>
    <s v="09:57:31"/>
    <n v="3"/>
    <n v="1"/>
    <n v="2024"/>
    <d v="2024-01-03T00:00:00"/>
    <s v="Debit Card"/>
    <s v="F"/>
    <n v="1"/>
    <s v="Bangalore"/>
    <x v="1270"/>
  </r>
  <r>
    <n v="2845"/>
    <s v="FamilyFood Express"/>
    <d v="2024-04-19T00:00:00"/>
    <s v="Bakery"/>
    <s v="Onions"/>
    <n v="1"/>
    <n v="85.49"/>
    <n v="85.49"/>
    <n v="12.45"/>
    <n v="73.040000000000006"/>
    <n v="177"/>
    <s v="03:36:48"/>
    <n v="19"/>
    <n v="4"/>
    <n v="2024"/>
    <d v="2024-04-19T00:00:00"/>
    <s v="Cash"/>
    <s v="M"/>
    <n v="2"/>
    <s v="Kolkata"/>
    <x v="1271"/>
  </r>
  <r>
    <n v="3662"/>
    <s v="GreenGrocer Plaza"/>
    <d v="2025-02-24T00:00:00"/>
    <s v="Personal Care"/>
    <s v="Pasta"/>
    <n v="2"/>
    <n v="1064.8900000000001"/>
    <n v="2129.7800000000002"/>
    <n v="319.55"/>
    <n v="1810.23"/>
    <n v="313"/>
    <s v="04:49:24"/>
    <n v="24"/>
    <n v="2"/>
    <n v="2025"/>
    <d v="2025-02-24T00:00:00"/>
    <s v="UPI"/>
    <s v="M"/>
    <n v="5"/>
    <s v="Jaipur"/>
    <x v="1272"/>
  </r>
  <r>
    <n v="8518"/>
    <s v="FreshMart Downtown"/>
    <d v="2024-12-22T00:00:00"/>
    <s v="Health &amp; Wellness"/>
    <s v="Bananas"/>
    <n v="3"/>
    <n v="610.04999999999995"/>
    <n v="1830.15"/>
    <n v="366.03"/>
    <n v="1464.12"/>
    <n v="494"/>
    <s v="13:42:51"/>
    <n v="22"/>
    <n v="12"/>
    <n v="2024"/>
    <d v="2024-12-22T00:00:00"/>
    <s v="Credit Card"/>
    <s v="F"/>
    <n v="4"/>
    <s v="Delhi"/>
    <x v="1273"/>
  </r>
  <r>
    <n v="5215"/>
    <s v="QuickStop Market"/>
    <d v="2025-02-15T00:00:00"/>
    <s v="Produce"/>
    <s v="Onions"/>
    <n v="5"/>
    <n v="338.64"/>
    <n v="1693.2"/>
    <n v="0"/>
    <n v="1693.2"/>
    <n v="381"/>
    <s v="16:10:05"/>
    <n v="15"/>
    <n v="2"/>
    <n v="2025"/>
    <d v="2025-02-15T00:00:00"/>
    <s v="Debit Card"/>
    <s v="F"/>
    <n v="3"/>
    <s v="Delhi"/>
    <x v="1274"/>
  </r>
  <r>
    <n v="4050"/>
    <s v="QuickStop Market"/>
    <d v="2023-08-17T00:00:00"/>
    <s v="Health &amp; Wellness"/>
    <s v="Onions"/>
    <n v="2"/>
    <n v="2048.44"/>
    <n v="4096.88"/>
    <n v="614.20000000000005"/>
    <n v="3482.68"/>
    <n v="112"/>
    <s v="03:59:06"/>
    <n v="17"/>
    <n v="8"/>
    <n v="2023"/>
    <d v="2023-08-17T00:00:00"/>
    <s v="Cash"/>
    <s v="M"/>
    <n v="5"/>
    <s v="Pune"/>
    <x v="1275"/>
  </r>
  <r>
    <n v="6523"/>
    <s v="FamilyFood Express"/>
    <d v="2025-04-12T00:00:00"/>
    <s v="Household Items"/>
    <s v="Tomatoes"/>
    <n v="2"/>
    <n v="1156.19"/>
    <n v="2312.38"/>
    <n v="346.94"/>
    <n v="1965.44"/>
    <n v="373"/>
    <s v="11:52:17"/>
    <n v="12"/>
    <n v="4"/>
    <n v="2025"/>
    <d v="2025-04-12T00:00:00"/>
    <s v="Cash"/>
    <s v="F"/>
    <n v="3"/>
    <s v="Pune"/>
    <x v="1276"/>
  </r>
  <r>
    <n v="5833"/>
    <s v="SuperSave Central"/>
    <d v="2024-10-21T00:00:00"/>
    <s v="Beverages"/>
    <s v="Bread"/>
    <n v="4"/>
    <n v="518.75"/>
    <n v="2075"/>
    <n v="415"/>
    <n v="1660"/>
    <n v="94"/>
    <s v="15:04:32"/>
    <n v="21"/>
    <n v="10"/>
    <n v="2024"/>
    <d v="2024-10-21T00:00:00"/>
    <s v="Debit Card"/>
    <s v="F"/>
    <n v="1"/>
    <s v="Chennai"/>
    <x v="1277"/>
  </r>
  <r>
    <n v="4164"/>
    <s v="City Fresh Store"/>
    <d v="2023-12-21T00:00:00"/>
    <s v="Meat &amp; Seafood"/>
    <s v="Rice"/>
    <n v="1"/>
    <n v="828.34"/>
    <n v="828.34"/>
    <n v="83"/>
    <n v="745.34"/>
    <n v="453"/>
    <s v="15:38:17"/>
    <n v="21"/>
    <n v="12"/>
    <n v="2023"/>
    <d v="2023-12-21T00:00:00"/>
    <s v="Credit Card"/>
    <s v="F"/>
    <n v="1"/>
    <s v="Jaipur"/>
    <x v="1278"/>
  </r>
  <r>
    <n v="7643"/>
    <s v="FamilyFood Express"/>
    <d v="2025-05-10T00:00:00"/>
    <s v="Dairy"/>
    <s v="Eggs"/>
    <n v="1"/>
    <n v="1108.8800000000001"/>
    <n v="1108.8800000000001"/>
    <n v="323.7"/>
    <n v="785.18"/>
    <n v="232"/>
    <s v="02:05:56"/>
    <n v="10"/>
    <n v="5"/>
    <n v="2025"/>
    <d v="2025-05-10T00:00:00"/>
    <s v="Credit Card"/>
    <s v="F"/>
    <n v="1"/>
    <s v="Lucknow"/>
    <x v="1279"/>
  </r>
  <r>
    <n v="8007"/>
    <s v="SuperSave Central"/>
    <d v="2024-09-10T00:00:00"/>
    <s v="Produce"/>
    <s v="Chicken Breast"/>
    <n v="4"/>
    <n v="1006.79"/>
    <n v="4027.16"/>
    <n v="0"/>
    <n v="4027.16"/>
    <n v="56"/>
    <s v="08:44:21"/>
    <n v="10"/>
    <n v="9"/>
    <n v="2024"/>
    <d v="2024-09-10T00:00:00"/>
    <s v="Credit Card"/>
    <s v="M"/>
    <n v="3"/>
    <s v="Delhi"/>
    <x v="1280"/>
  </r>
  <r>
    <n v="6372"/>
    <s v="FreshMart Downtown"/>
    <d v="2023-10-13T00:00:00"/>
    <s v="Meat &amp; Seafood"/>
    <s v="Ground Beef"/>
    <n v="1"/>
    <n v="726.25"/>
    <n v="726.25"/>
    <n v="400.89"/>
    <n v="325.36"/>
    <n v="480"/>
    <s v="08:44:11"/>
    <n v="13"/>
    <n v="10"/>
    <n v="2023"/>
    <d v="2023-10-13T00:00:00"/>
    <s v="UPI"/>
    <s v="F"/>
    <n v="5"/>
    <s v="Pune"/>
    <x v="1281"/>
  </r>
  <r>
    <n v="7567"/>
    <s v="GreenGrocer Plaza"/>
    <d v="2025-01-07T00:00:00"/>
    <s v="Personal Care"/>
    <s v="Cereal"/>
    <n v="1"/>
    <n v="569.38"/>
    <n v="569.38"/>
    <n v="113.71"/>
    <n v="455.67"/>
    <n v="245"/>
    <s v="00:51:58"/>
    <n v="7"/>
    <n v="1"/>
    <n v="2025"/>
    <d v="2025-01-07T00:00:00"/>
    <s v="Cash"/>
    <s v="F"/>
    <n v="1"/>
    <s v="Jaipur"/>
    <x v="1282"/>
  </r>
  <r>
    <n v="2562"/>
    <s v="QuickStop Market"/>
    <d v="2023-12-28T00:00:00"/>
    <s v="Canned Goods"/>
    <s v="Potatoes"/>
    <n v="2"/>
    <n v="668.98"/>
    <n v="1337.96"/>
    <n v="0"/>
    <n v="1337.96"/>
    <n v="278"/>
    <s v="11:51:08"/>
    <n v="28"/>
    <n v="12"/>
    <n v="2023"/>
    <d v="2023-12-28T00:00:00"/>
    <s v="Cash"/>
    <s v="M"/>
    <n v="5"/>
    <s v="Hyderabad"/>
    <x v="1283"/>
  </r>
  <r>
    <n v="3303"/>
    <s v="ValuePlus Market"/>
    <d v="2024-08-11T00:00:00"/>
    <s v="Dairy"/>
    <s v="Bananas"/>
    <n v="1"/>
    <n v="329.51"/>
    <n v="329.51"/>
    <n v="377.65"/>
    <n v="-48.14"/>
    <n v="151"/>
    <s v="09:46:46"/>
    <n v="11"/>
    <n v="8"/>
    <n v="2024"/>
    <d v="2024-08-11T00:00:00"/>
    <s v="Cash"/>
    <s v="M"/>
    <n v="3"/>
    <s v="Lucknow"/>
    <x v="1284"/>
  </r>
  <r>
    <n v="6301"/>
    <s v="Corner Grocery"/>
    <d v="2025-08-02T00:00:00"/>
    <s v="Meat &amp; Seafood"/>
    <s v="Bananas"/>
    <n v="2"/>
    <n v="140.27000000000001"/>
    <n v="280.54000000000002"/>
    <n v="56.44"/>
    <n v="224.1"/>
    <n v="218"/>
    <s v="11:04:54"/>
    <n v="2"/>
    <n v="8"/>
    <n v="2025"/>
    <d v="2025-08-02T00:00:00"/>
    <s v="UPI"/>
    <s v="F"/>
    <n v="5"/>
    <s v="Mumbai"/>
    <x v="1285"/>
  </r>
  <r>
    <n v="5064"/>
    <s v="MegaMart Westside"/>
    <d v="2023-08-12T00:00:00"/>
    <s v="Health &amp; Wellness"/>
    <s v="Rice"/>
    <n v="2"/>
    <n v="2300.7600000000002"/>
    <n v="4601.5200000000004"/>
    <n v="0"/>
    <n v="4601.5200000000004"/>
    <n v="350"/>
    <s v="17:31:28"/>
    <n v="12"/>
    <n v="8"/>
    <n v="2023"/>
    <d v="2023-08-12T00:00:00"/>
    <s v="Cash"/>
    <s v="M"/>
    <n v="3"/>
    <s v="Jaipur"/>
    <x v="1286"/>
  </r>
  <r>
    <n v="5272"/>
    <s v="GreenGrocer Plaza"/>
    <d v="2024-05-30T00:00:00"/>
    <s v="Beverages"/>
    <s v="Apples"/>
    <n v="1"/>
    <n v="622.5"/>
    <n v="622.5"/>
    <n v="92.96"/>
    <n v="529.54"/>
    <n v="489"/>
    <s v="20:11:27"/>
    <n v="30"/>
    <n v="5"/>
    <n v="2024"/>
    <d v="2024-05-30T00:00:00"/>
    <s v="UPI"/>
    <s v="F"/>
    <n v="3"/>
    <s v="Ahmedabad"/>
    <x v="1287"/>
  </r>
  <r>
    <n v="4858"/>
    <s v="GreenGrocer Plaza"/>
    <d v="2024-07-18T00:00:00"/>
    <s v="Household Items"/>
    <s v="Cereal"/>
    <n v="1"/>
    <n v="949.52"/>
    <n v="949.52"/>
    <n v="283.86"/>
    <n v="665.66"/>
    <n v="473"/>
    <s v="16:37:55"/>
    <n v="18"/>
    <n v="7"/>
    <n v="2024"/>
    <d v="2024-07-18T00:00:00"/>
    <s v="Credit Card"/>
    <s v="F"/>
    <n v="4"/>
    <s v="Pune"/>
    <x v="1288"/>
  </r>
  <r>
    <n v="5374"/>
    <s v="SuperSave Central"/>
    <d v="2024-04-19T00:00:00"/>
    <s v="Snacks &amp; Candy"/>
    <s v="Carrots"/>
    <n v="3"/>
    <n v="1525.54"/>
    <n v="4576.62"/>
    <n v="915.49"/>
    <n v="3661.13"/>
    <n v="347"/>
    <s v="02:50:03"/>
    <n v="19"/>
    <n v="4"/>
    <n v="2024"/>
    <d v="2024-04-19T00:00:00"/>
    <s v="Debit Card"/>
    <s v="M"/>
    <n v="3"/>
    <s v="Mumbai"/>
    <x v="1289"/>
  </r>
  <r>
    <n v="5947"/>
    <s v="QuickStop Market"/>
    <d v="2024-11-01T00:00:00"/>
    <s v="Household Items"/>
    <s v="Rice"/>
    <n v="3"/>
    <n v="2189.54"/>
    <n v="6568.62"/>
    <n v="0"/>
    <n v="6568.62"/>
    <n v="138"/>
    <s v="08:09:57"/>
    <n v="1"/>
    <n v="11"/>
    <n v="2024"/>
    <d v="2024-11-01T00:00:00"/>
    <s v="Cash"/>
    <s v="F"/>
    <n v="3"/>
    <s v="Mumbai"/>
    <x v="1290"/>
  </r>
  <r>
    <n v="1187"/>
    <s v="MegaMart Westside"/>
    <d v="2024-02-26T00:00:00"/>
    <s v="Frozen Foods"/>
    <s v="Bread"/>
    <n v="1"/>
    <n v="2156.34"/>
    <n v="2156.34"/>
    <n v="0"/>
    <n v="2156.34"/>
    <n v="500"/>
    <s v="23:19:39"/>
    <n v="26"/>
    <n v="2"/>
    <n v="2024"/>
    <d v="2024-02-26T00:00:00"/>
    <s v="Cash"/>
    <s v="F"/>
    <n v="2"/>
    <s v="Pune"/>
    <x v="1291"/>
  </r>
  <r>
    <n v="6890"/>
    <s v="SuperSave Central"/>
    <d v="2025-01-26T00:00:00"/>
    <s v="Canned Goods"/>
    <s v="Eggs"/>
    <n v="4"/>
    <n v="1157.02"/>
    <n v="4628.08"/>
    <n v="120.35"/>
    <n v="4507.7299999999996"/>
    <n v="407"/>
    <s v="02:04:42"/>
    <n v="26"/>
    <n v="1"/>
    <n v="2025"/>
    <d v="2025-01-26T00:00:00"/>
    <s v="Credit Card"/>
    <s v="F"/>
    <n v="1"/>
    <s v="Kolkata"/>
    <x v="1292"/>
  </r>
  <r>
    <n v="4871"/>
    <s v="Corner Grocery"/>
    <d v="2023-09-24T00:00:00"/>
    <s v="Frozen Foods"/>
    <s v="Eggs"/>
    <n v="1"/>
    <n v="859.88"/>
    <n v="859.88"/>
    <n v="86.32"/>
    <n v="773.56"/>
    <n v="65"/>
    <s v="13:25:03"/>
    <n v="24"/>
    <n v="9"/>
    <n v="2023"/>
    <d v="2023-09-24T00:00:00"/>
    <s v="Debit Card"/>
    <s v="F"/>
    <n v="4"/>
    <s v="Kolkata"/>
    <x v="1293"/>
  </r>
  <r>
    <n v="2936"/>
    <s v="MegaMart Westside"/>
    <d v="2024-08-02T00:00:00"/>
    <s v="Canned Goods"/>
    <s v="Potatoes"/>
    <n v="4"/>
    <n v="1240.8499999999999"/>
    <n v="4963.3999999999996"/>
    <n v="346.11"/>
    <n v="4617.29"/>
    <n v="498"/>
    <s v="07:55:22"/>
    <n v="2"/>
    <n v="8"/>
    <n v="2024"/>
    <d v="2024-08-02T00:00:00"/>
    <s v="UPI"/>
    <s v="M"/>
    <n v="4"/>
    <s v="Delhi"/>
    <x v="1294"/>
  </r>
  <r>
    <n v="6026"/>
    <s v="MegaMart Westside"/>
    <d v="2023-12-09T00:00:00"/>
    <s v="Meat &amp; Seafood"/>
    <s v="Ground Beef"/>
    <n v="4"/>
    <n v="1089.79"/>
    <n v="4359.16"/>
    <n v="260.62"/>
    <n v="4098.54"/>
    <n v="254"/>
    <s v="09:27:17"/>
    <n v="9"/>
    <n v="12"/>
    <n v="2023"/>
    <d v="2023-12-09T00:00:00"/>
    <s v="Debit Card"/>
    <s v="M"/>
    <n v="4"/>
    <s v="Pune"/>
    <x v="1295"/>
  </r>
  <r>
    <n v="7642"/>
    <s v="FamilyFood Express"/>
    <d v="2025-01-20T00:00:00"/>
    <s v="Snacks &amp; Candy"/>
    <s v="Bread"/>
    <n v="5"/>
    <n v="1802.76"/>
    <n v="9013.7999999999993"/>
    <n v="0"/>
    <n v="9013.7999999999993"/>
    <n v="269"/>
    <s v="07:02:22"/>
    <n v="20"/>
    <n v="1"/>
    <n v="2025"/>
    <d v="2025-01-20T00:00:00"/>
    <s v="Credit Card"/>
    <s v="F"/>
    <n v="2"/>
    <s v="Pune"/>
    <x v="1296"/>
  </r>
  <r>
    <n v="9233"/>
    <s v="GreenGrocer Plaza"/>
    <d v="2025-07-23T00:00:00"/>
    <s v="Bakery"/>
    <s v="Orange Juice"/>
    <n v="1"/>
    <n v="571.87"/>
    <n v="571.87"/>
    <n v="85.49"/>
    <n v="486.38"/>
    <n v="435"/>
    <s v="03:29:41"/>
    <n v="23"/>
    <n v="7"/>
    <n v="2025"/>
    <d v="2025-07-23T00:00:00"/>
    <s v="Credit Card"/>
    <s v="M"/>
    <n v="3"/>
    <s v="Delhi"/>
    <x v="1297"/>
  </r>
  <r>
    <n v="6095"/>
    <s v="ValuePlus Market"/>
    <d v="2025-01-24T00:00:00"/>
    <s v="Beverages"/>
    <s v="Eggs"/>
    <n v="1"/>
    <n v="225.76"/>
    <n v="225.76"/>
    <n v="44.82"/>
    <n v="180.94"/>
    <n v="178"/>
    <s v="00:07:57"/>
    <n v="24"/>
    <n v="1"/>
    <n v="2025"/>
    <d v="2025-01-24T00:00:00"/>
    <s v="Debit Card"/>
    <s v="F"/>
    <n v="1"/>
    <s v="Delhi"/>
    <x v="1298"/>
  </r>
  <r>
    <n v="2923"/>
    <s v="QuickStop Market"/>
    <d v="2024-12-15T00:00:00"/>
    <s v="Beverages"/>
    <s v="Eggs"/>
    <n v="5"/>
    <n v="2421.11"/>
    <n v="12105.55"/>
    <n v="2421.11"/>
    <n v="9684.44"/>
    <n v="467"/>
    <s v="10:29:10"/>
    <n v="15"/>
    <n v="12"/>
    <n v="2024"/>
    <d v="2024-12-15T00:00:00"/>
    <s v="UPI"/>
    <s v="F"/>
    <n v="5"/>
    <s v="Chennai"/>
    <x v="1299"/>
  </r>
  <r>
    <n v="5833"/>
    <s v="FamilyFood Express"/>
    <d v="2024-05-18T00:00:00"/>
    <s v="Bakery"/>
    <s v="Milk"/>
    <n v="2"/>
    <n v="364.37"/>
    <n v="728.74"/>
    <n v="73.040000000000006"/>
    <n v="655.7"/>
    <n v="356"/>
    <s v="22:55:18"/>
    <n v="18"/>
    <n v="5"/>
    <n v="2024"/>
    <d v="2024-05-18T00:00:00"/>
    <s v="UPI"/>
    <s v="F"/>
    <n v="3"/>
    <s v="Lucknow"/>
    <x v="1300"/>
  </r>
  <r>
    <n v="4618"/>
    <s v="FreshMart Downtown"/>
    <d v="2024-01-24T00:00:00"/>
    <s v="Snacks &amp; Candy"/>
    <s v="Orange Juice"/>
    <n v="1"/>
    <n v="1770.39"/>
    <n v="1770.39"/>
    <n v="176.79"/>
    <n v="1593.6"/>
    <n v="339"/>
    <s v="20:47:41"/>
    <n v="24"/>
    <n v="1"/>
    <n v="2024"/>
    <d v="2024-01-24T00:00:00"/>
    <s v="Cash"/>
    <s v="F"/>
    <n v="2"/>
    <s v="Bangalore"/>
    <x v="1301"/>
  </r>
  <r>
    <n v="3188"/>
    <s v="SuperSave Central"/>
    <d v="2024-08-12T00:00:00"/>
    <s v="Produce"/>
    <s v="Eggs"/>
    <n v="3"/>
    <n v="422.47"/>
    <n v="1267.4100000000001"/>
    <n v="272.24"/>
    <n v="995.17"/>
    <n v="125"/>
    <s v="15:46:19"/>
    <n v="12"/>
    <n v="8"/>
    <n v="2024"/>
    <d v="2024-08-12T00:00:00"/>
    <s v="UPI"/>
    <s v="F"/>
    <n v="3"/>
    <s v="Delhi"/>
    <x v="1302"/>
  </r>
  <r>
    <n v="3509"/>
    <s v="Corner Grocery"/>
    <d v="2024-07-25T00:00:00"/>
    <s v="Meat &amp; Seafood"/>
    <s v="Apples"/>
    <n v="4"/>
    <n v="1871.65"/>
    <n v="7486.6"/>
    <n v="748.66"/>
    <n v="6737.94"/>
    <n v="383"/>
    <s v="15:01:12"/>
    <n v="25"/>
    <n v="7"/>
    <n v="2024"/>
    <d v="2024-07-25T00:00:00"/>
    <s v="Debit Card"/>
    <s v="M"/>
    <n v="3"/>
    <s v="Bangalore"/>
    <x v="1303"/>
  </r>
  <r>
    <n v="7121"/>
    <s v="Corner Grocery"/>
    <d v="2024-06-24T00:00:00"/>
    <s v="Canned Goods"/>
    <s v="Salmon"/>
    <n v="1"/>
    <n v="772.73"/>
    <n v="772.73"/>
    <n v="0"/>
    <n v="772.73"/>
    <n v="79"/>
    <s v="01:22:23"/>
    <n v="24"/>
    <n v="6"/>
    <n v="2024"/>
    <d v="2024-06-24T00:00:00"/>
    <s v="Credit Card"/>
    <s v="F"/>
    <n v="2"/>
    <s v="Ahmedabad"/>
    <x v="1304"/>
  </r>
  <r>
    <n v="9998"/>
    <s v="FreshMart Downtown"/>
    <d v="2025-07-15T00:00:00"/>
    <s v="Household Items"/>
    <s v="Apples"/>
    <n v="5"/>
    <n v="468.12"/>
    <n v="2340.6"/>
    <n v="0"/>
    <n v="2340.6"/>
    <n v="202"/>
    <s v="02:00:47"/>
    <n v="15"/>
    <n v="7"/>
    <n v="2025"/>
    <d v="2025-07-15T00:00:00"/>
    <s v="Cash"/>
    <s v="M"/>
    <n v="4"/>
    <s v="Lucknow"/>
    <x v="1305"/>
  </r>
  <r>
    <n v="8714"/>
    <s v="City Fresh Store"/>
    <d v="2025-03-17T00:00:00"/>
    <s v="Personal Care"/>
    <s v="Pasta"/>
    <n v="5"/>
    <n v="1289.82"/>
    <n v="6449.1"/>
    <n v="644.91"/>
    <n v="5804.19"/>
    <n v="363"/>
    <s v="20:44:24"/>
    <n v="17"/>
    <n v="3"/>
    <n v="2025"/>
    <d v="2025-03-17T00:00:00"/>
    <s v="Cash"/>
    <s v="M"/>
    <n v="4"/>
    <s v="Lucknow"/>
    <x v="1306"/>
  </r>
  <r>
    <n v="9806"/>
    <s v="SuperSave Central"/>
    <d v="2025-04-20T00:00:00"/>
    <s v="Frozen Foods"/>
    <s v="Bread"/>
    <n v="5"/>
    <n v="991.02"/>
    <n v="4955.1000000000004"/>
    <n v="0"/>
    <n v="4955.1000000000004"/>
    <n v="486"/>
    <s v="02:45:35"/>
    <n v="20"/>
    <n v="4"/>
    <n v="2025"/>
    <d v="2025-04-20T00:00:00"/>
    <s v="Credit Card"/>
    <s v="F"/>
    <n v="1"/>
    <s v="Jaipur"/>
    <x v="1307"/>
  </r>
  <r>
    <n v="4578"/>
    <s v="FamilyFood Express"/>
    <d v="2025-03-20T00:00:00"/>
    <s v="Snacks &amp; Candy"/>
    <s v="Milk"/>
    <n v="2"/>
    <n v="1026.71"/>
    <n v="2053.42"/>
    <n v="0"/>
    <n v="2053.42"/>
    <n v="421"/>
    <s v="14:55:47"/>
    <n v="20"/>
    <n v="3"/>
    <n v="2025"/>
    <d v="2025-03-20T00:00:00"/>
    <s v="UPI"/>
    <s v="F"/>
    <n v="1"/>
    <s v="Chennai"/>
    <x v="1308"/>
  </r>
  <r>
    <n v="5054"/>
    <s v="City Fresh Store"/>
    <d v="2025-01-16T00:00:00"/>
    <s v="Beverages"/>
    <s v="Cereal"/>
    <n v="4"/>
    <n v="2073.34"/>
    <n v="8293.36"/>
    <n v="1244.17"/>
    <n v="7049.19"/>
    <n v="84"/>
    <s v="18:46:37"/>
    <n v="16"/>
    <n v="1"/>
    <n v="2025"/>
    <d v="2025-01-16T00:00:00"/>
    <s v="Credit Card"/>
    <s v="F"/>
    <n v="4"/>
    <s v="Kolkata"/>
    <x v="1309"/>
  </r>
  <r>
    <n v="2341"/>
    <s v="Corner Grocery"/>
    <d v="2024-09-18T00:00:00"/>
    <s v="Bakery"/>
    <s v="Pasta"/>
    <n v="1"/>
    <n v="333.66"/>
    <n v="333.66"/>
    <n v="162.68"/>
    <n v="170.98"/>
    <n v="185"/>
    <s v="22:31:21"/>
    <n v="18"/>
    <n v="9"/>
    <n v="2024"/>
    <d v="2024-09-18T00:00:00"/>
    <s v="UPI"/>
    <s v="F"/>
    <n v="5"/>
    <s v="Lucknow"/>
    <x v="1310"/>
  </r>
  <r>
    <n v="8319"/>
    <s v="SuperSave Central"/>
    <d v="2024-09-20T00:00:00"/>
    <s v="Personal Care"/>
    <s v="Chicken Breast"/>
    <n v="1"/>
    <n v="592.62"/>
    <n v="592.62"/>
    <n v="118.69"/>
    <n v="473.93"/>
    <n v="5"/>
    <s v="11:00:56"/>
    <n v="20"/>
    <n v="9"/>
    <n v="2024"/>
    <d v="2024-09-20T00:00:00"/>
    <s v="Credit Card"/>
    <s v="F"/>
    <n v="3"/>
    <s v="Jaipur"/>
    <x v="1311"/>
  </r>
  <r>
    <n v="6927"/>
    <s v="ValuePlus Market"/>
    <d v="2023-10-06T00:00:00"/>
    <s v="Bakery"/>
    <s v="Milk"/>
    <n v="2"/>
    <n v="730.4"/>
    <n v="1460.8"/>
    <n v="410.85"/>
    <n v="1049.95"/>
    <n v="500"/>
    <s v="04:22:40"/>
    <n v="6"/>
    <n v="10"/>
    <n v="2023"/>
    <d v="2023-10-06T00:00:00"/>
    <s v="Debit Card"/>
    <s v="M"/>
    <n v="5"/>
    <s v="Ahmedabad"/>
    <x v="1312"/>
  </r>
  <r>
    <n v="2838"/>
    <s v="City Fresh Store"/>
    <d v="2023-09-23T00:00:00"/>
    <s v="Produce"/>
    <s v="Milk"/>
    <n v="3"/>
    <n v="306.27"/>
    <n v="918.81"/>
    <n v="137.78"/>
    <n v="781.03"/>
    <n v="158"/>
    <s v="01:32:59"/>
    <n v="23"/>
    <n v="9"/>
    <n v="2023"/>
    <d v="2023-09-23T00:00:00"/>
    <s v="UPI"/>
    <s v="F"/>
    <n v="3"/>
    <s v="Pune"/>
    <x v="1313"/>
  </r>
  <r>
    <n v="9972"/>
    <s v="QuickStop Market"/>
    <d v="2025-07-08T00:00:00"/>
    <s v="Snacks &amp; Candy"/>
    <s v="Carrots"/>
    <n v="2"/>
    <n v="839.13"/>
    <n v="1678.26"/>
    <n v="335.32"/>
    <n v="1342.94"/>
    <n v="200"/>
    <s v="03:30:04"/>
    <n v="8"/>
    <n v="7"/>
    <n v="2025"/>
    <d v="2025-07-08T00:00:00"/>
    <s v="Debit Card"/>
    <s v="F"/>
    <n v="4"/>
    <s v="Jaipur"/>
    <x v="1314"/>
  </r>
  <r>
    <n v="9281"/>
    <s v="GreenGrocer Plaza"/>
    <d v="2024-01-11T00:00:00"/>
    <s v="Canned Goods"/>
    <s v="Cheese"/>
    <n v="5"/>
    <n v="325.36"/>
    <n v="1626.8"/>
    <n v="278.05"/>
    <n v="1348.75"/>
    <n v="413"/>
    <s v="13:10:53"/>
    <n v="11"/>
    <n v="1"/>
    <n v="2024"/>
    <d v="2024-01-11T00:00:00"/>
    <s v="Cash"/>
    <s v="M"/>
    <n v="1"/>
    <s v="Lucknow"/>
    <x v="1315"/>
  </r>
  <r>
    <n v="9792"/>
    <s v="Corner Grocery"/>
    <d v="2023-12-01T00:00:00"/>
    <s v="Beverages"/>
    <s v="Milk"/>
    <n v="3"/>
    <n v="470.61"/>
    <n v="1411.83"/>
    <n v="376.82"/>
    <n v="1035.01"/>
    <n v="349"/>
    <s v="06:05:05"/>
    <n v="1"/>
    <n v="12"/>
    <n v="2023"/>
    <d v="2023-12-01T00:00:00"/>
    <s v="Credit Card"/>
    <s v="M"/>
    <n v="1"/>
    <s v="Kolkata"/>
    <x v="1316"/>
  </r>
  <r>
    <n v="3695"/>
    <s v="GreenGrocer Plaza"/>
    <d v="2024-04-17T00:00:00"/>
    <s v="Bakery"/>
    <s v="Yogurt"/>
    <n v="2"/>
    <n v="1933.07"/>
    <n v="3866.14"/>
    <n v="386.78"/>
    <n v="3479.36"/>
    <n v="82"/>
    <s v="07:55:29"/>
    <n v="17"/>
    <n v="4"/>
    <n v="2024"/>
    <d v="2024-04-17T00:00:00"/>
    <s v="Cash"/>
    <s v="F"/>
    <n v="5"/>
    <s v="Delhi"/>
    <x v="1317"/>
  </r>
  <r>
    <n v="9525"/>
    <s v="SuperSave Central"/>
    <d v="2024-07-15T00:00:00"/>
    <s v="Canned Goods"/>
    <s v="Rice"/>
    <n v="3"/>
    <n v="1582.81"/>
    <n v="4748.43"/>
    <n v="378.48"/>
    <n v="4369.95"/>
    <n v="481"/>
    <s v="16:55:48"/>
    <n v="15"/>
    <n v="7"/>
    <n v="2024"/>
    <d v="2024-07-15T00:00:00"/>
    <s v="Cash"/>
    <s v="M"/>
    <n v="1"/>
    <s v="Delhi"/>
    <x v="1318"/>
  </r>
  <r>
    <n v="2904"/>
    <s v="Corner Grocery"/>
    <d v="2025-01-16T00:00:00"/>
    <s v="Bakery"/>
    <s v="Yogurt"/>
    <n v="5"/>
    <n v="1542.97"/>
    <n v="7714.85"/>
    <n v="291.33"/>
    <n v="7423.52"/>
    <n v="490"/>
    <s v="15:39:28"/>
    <n v="16"/>
    <n v="1"/>
    <n v="2025"/>
    <d v="2025-01-16T00:00:00"/>
    <s v="Cash"/>
    <s v="F"/>
    <n v="4"/>
    <s v="Jaipur"/>
    <x v="1319"/>
  </r>
  <r>
    <n v="4365"/>
    <s v="City Fresh Store"/>
    <d v="2025-02-13T00:00:00"/>
    <s v="Dairy"/>
    <s v="Bananas"/>
    <n v="2"/>
    <n v="1926.43"/>
    <n v="3852.86"/>
    <n v="385.12"/>
    <n v="3467.74"/>
    <n v="158"/>
    <s v="18:18:53"/>
    <n v="13"/>
    <n v="2"/>
    <n v="2025"/>
    <d v="2025-02-13T00:00:00"/>
    <s v="Cash"/>
    <s v="M"/>
    <n v="5"/>
    <s v="Hyderabad"/>
    <x v="1320"/>
  </r>
  <r>
    <n v="9008"/>
    <s v="GreenGrocer Plaza"/>
    <d v="2023-10-16T00:00:00"/>
    <s v="Beverages"/>
    <s v="Cereal"/>
    <n v="2"/>
    <n v="2330.64"/>
    <n v="4661.28"/>
    <n v="698.86"/>
    <n v="3962.42"/>
    <n v="82"/>
    <s v="07:34:50"/>
    <n v="16"/>
    <n v="10"/>
    <n v="2023"/>
    <d v="2023-10-16T00:00:00"/>
    <s v="Credit Card"/>
    <s v="M"/>
    <n v="3"/>
    <s v="Kolkata"/>
    <x v="1321"/>
  </r>
  <r>
    <n v="9361"/>
    <s v="MegaMart Westside"/>
    <d v="2024-07-18T00:00:00"/>
    <s v="Canned Goods"/>
    <s v="Bread"/>
    <n v="1"/>
    <n v="513.77"/>
    <n v="513.77"/>
    <n v="77.19"/>
    <n v="436.58"/>
    <n v="395"/>
    <s v="15:03:21"/>
    <n v="18"/>
    <n v="7"/>
    <n v="2024"/>
    <d v="2024-07-18T00:00:00"/>
    <s v="Cash"/>
    <s v="F"/>
    <n v="1"/>
    <s v="Pune"/>
    <x v="1322"/>
  </r>
  <r>
    <n v="1911"/>
    <s v="City Fresh Store"/>
    <d v="2024-07-24T00:00:00"/>
    <s v="Frozen Foods"/>
    <s v="Salmon"/>
    <n v="2"/>
    <n v="2344.75"/>
    <n v="4689.5"/>
    <n v="203.35"/>
    <n v="4486.1499999999996"/>
    <n v="497"/>
    <s v="18:12:44"/>
    <n v="24"/>
    <n v="7"/>
    <n v="2024"/>
    <d v="2024-07-24T00:00:00"/>
    <s v="Credit Card"/>
    <s v="M"/>
    <n v="2"/>
    <s v="Hyderabad"/>
    <x v="1323"/>
  </r>
  <r>
    <n v="3161"/>
    <s v="QuickStop Market"/>
    <d v="2024-09-08T00:00:00"/>
    <s v="Snacks &amp; Candy"/>
    <s v="Cheese"/>
    <n v="5"/>
    <n v="2289.9699999999998"/>
    <n v="11449.85"/>
    <n v="1717.27"/>
    <n v="9732.58"/>
    <n v="66"/>
    <s v="02:40:55"/>
    <n v="8"/>
    <n v="9"/>
    <n v="2024"/>
    <d v="2024-09-08T00:00:00"/>
    <s v="Credit Card"/>
    <s v="M"/>
    <n v="1"/>
    <s v="Kolkata"/>
    <x v="1324"/>
  </r>
  <r>
    <n v="7806"/>
    <s v="ValuePlus Market"/>
    <d v="2024-07-26T00:00:00"/>
    <s v="Household Items"/>
    <s v="Cereal"/>
    <n v="3"/>
    <n v="283.02999999999997"/>
    <n v="849.09"/>
    <n v="126.99"/>
    <n v="722.1"/>
    <n v="211"/>
    <s v="07:07:52"/>
    <n v="26"/>
    <n v="7"/>
    <n v="2024"/>
    <d v="2024-07-26T00:00:00"/>
    <s v="Debit Card"/>
    <s v="M"/>
    <n v="3"/>
    <s v="Chennai"/>
    <x v="1325"/>
  </r>
  <r>
    <n v="1945"/>
    <s v="FreshMart Downtown"/>
    <d v="2024-10-14T00:00:00"/>
    <s v="Household Items"/>
    <s v="Milk"/>
    <n v="2"/>
    <n v="1766.24"/>
    <n v="3532.48"/>
    <n v="706.33"/>
    <n v="2826.15"/>
    <n v="287"/>
    <s v="09:18:38"/>
    <n v="14"/>
    <n v="10"/>
    <n v="2024"/>
    <d v="2024-10-14T00:00:00"/>
    <s v="UPI"/>
    <s v="M"/>
    <n v="5"/>
    <s v="Pune"/>
    <x v="1326"/>
  </r>
  <r>
    <n v="8575"/>
    <s v="GreenGrocer Plaza"/>
    <d v="2025-01-10T00:00:00"/>
    <s v="Frozen Foods"/>
    <s v="Tomatoes"/>
    <n v="2"/>
    <n v="1454.16"/>
    <n v="2908.32"/>
    <n v="581.83000000000004"/>
    <n v="2326.4899999999998"/>
    <n v="437"/>
    <s v="05:31:42"/>
    <n v="10"/>
    <n v="1"/>
    <n v="2025"/>
    <d v="2025-01-10T00:00:00"/>
    <s v="UPI"/>
    <s v="M"/>
    <n v="3"/>
    <s v="Kolkata"/>
    <x v="1327"/>
  </r>
  <r>
    <n v="6049"/>
    <s v="Corner Grocery"/>
    <d v="2025-02-18T00:00:00"/>
    <s v="Beverages"/>
    <s v="Bread"/>
    <n v="3"/>
    <n v="1203.5"/>
    <n v="3610.5"/>
    <n v="111.22"/>
    <n v="3499.28"/>
    <n v="328"/>
    <s v="16:13:41"/>
    <n v="18"/>
    <n v="2"/>
    <n v="2025"/>
    <d v="2025-02-18T00:00:00"/>
    <s v="Credit Card"/>
    <s v="M"/>
    <n v="2"/>
    <s v="Kolkata"/>
    <x v="1328"/>
  </r>
  <r>
    <n v="1356"/>
    <s v="GreenGrocer Plaza"/>
    <d v="2024-06-09T00:00:00"/>
    <s v="Snacks &amp; Candy"/>
    <s v="Cheese"/>
    <n v="2"/>
    <n v="1048.29"/>
    <n v="2096.58"/>
    <n v="314.57"/>
    <n v="1782.01"/>
    <n v="33"/>
    <s v="13:51:49"/>
    <n v="9"/>
    <n v="6"/>
    <n v="2024"/>
    <d v="2024-06-09T00:00:00"/>
    <s v="Debit Card"/>
    <s v="F"/>
    <n v="4"/>
    <s v="Delhi"/>
    <x v="1329"/>
  </r>
  <r>
    <n v="5169"/>
    <s v="City Fresh Store"/>
    <d v="2025-05-02T00:00:00"/>
    <s v="Bakery"/>
    <s v="Potatoes"/>
    <n v="1"/>
    <n v="751.98"/>
    <n v="751.98"/>
    <n v="75.53"/>
    <n v="676.45"/>
    <n v="19"/>
    <s v="09:30:55"/>
    <n v="2"/>
    <n v="5"/>
    <n v="2025"/>
    <d v="2025-05-02T00:00:00"/>
    <s v="Credit Card"/>
    <s v="F"/>
    <n v="1"/>
    <s v="Chennai"/>
    <x v="1330"/>
  </r>
  <r>
    <n v="1049"/>
    <s v="SuperSave Central"/>
    <d v="2025-03-08T00:00:00"/>
    <s v="Health &amp; Wellness"/>
    <s v="Yogurt"/>
    <n v="3"/>
    <n v="1450.01"/>
    <n v="4350.03"/>
    <n v="394.25"/>
    <n v="3955.78"/>
    <n v="307"/>
    <s v="00:41:52"/>
    <n v="8"/>
    <n v="3"/>
    <n v="2025"/>
    <d v="2025-03-08T00:00:00"/>
    <s v="Credit Card"/>
    <s v="M"/>
    <n v="5"/>
    <s v="Kolkata"/>
    <x v="1331"/>
  </r>
  <r>
    <n v="4570"/>
    <s v="MegaMart Westside"/>
    <d v="2024-10-29T00:00:00"/>
    <s v="Snacks &amp; Candy"/>
    <s v="Potatoes"/>
    <n v="2"/>
    <n v="212.48"/>
    <n v="424.96"/>
    <n v="0"/>
    <n v="424.96"/>
    <n v="444"/>
    <s v="02:22:38"/>
    <n v="29"/>
    <n v="10"/>
    <n v="2024"/>
    <d v="2024-10-29T00:00:00"/>
    <s v="Credit Card"/>
    <s v="F"/>
    <n v="4"/>
    <s v="Chennai"/>
    <x v="1332"/>
  </r>
  <r>
    <n v="2196"/>
    <s v="Corner Grocery"/>
    <d v="2023-09-11T00:00:00"/>
    <s v="Frozen Foods"/>
    <s v="Pasta"/>
    <n v="2"/>
    <n v="283.02999999999997"/>
    <n v="566.05999999999995"/>
    <n v="56.44"/>
    <n v="509.62"/>
    <n v="35"/>
    <s v="14:49:36"/>
    <n v="11"/>
    <n v="9"/>
    <n v="2023"/>
    <d v="2023-09-11T00:00:00"/>
    <s v="Debit Card"/>
    <s v="F"/>
    <n v="3"/>
    <s v="Ahmedabad"/>
    <x v="1333"/>
  </r>
  <r>
    <n v="7941"/>
    <s v="GreenGrocer Plaza"/>
    <d v="2024-04-30T00:00:00"/>
    <s v="Frozen Foods"/>
    <s v="Salmon"/>
    <n v="4"/>
    <n v="1345.43"/>
    <n v="5381.72"/>
    <n v="1076.51"/>
    <n v="4305.21"/>
    <n v="342"/>
    <s v="05:24:35"/>
    <n v="30"/>
    <n v="4"/>
    <n v="2024"/>
    <d v="2024-04-30T00:00:00"/>
    <s v="UPI"/>
    <s v="F"/>
    <n v="5"/>
    <s v="Chennai"/>
    <x v="1334"/>
  </r>
  <r>
    <n v="2044"/>
    <s v="FreshMart Downtown"/>
    <d v="2024-09-30T00:00:00"/>
    <s v="Dairy"/>
    <s v="Cheese"/>
    <n v="3"/>
    <n v="2401.19"/>
    <n v="7203.57"/>
    <n v="1440.88"/>
    <n v="5762.69"/>
    <n v="152"/>
    <s v="11:28:14"/>
    <n v="30"/>
    <n v="9"/>
    <n v="2024"/>
    <d v="2024-09-30T00:00:00"/>
    <s v="Debit Card"/>
    <s v="M"/>
    <n v="4"/>
    <s v="Bangalore"/>
    <x v="1335"/>
  </r>
  <r>
    <n v="1987"/>
    <s v="MegaMart Westside"/>
    <d v="2025-08-01T00:00:00"/>
    <s v="Snacks &amp; Candy"/>
    <s v="Potatoes"/>
    <n v="4"/>
    <n v="1371.16"/>
    <n v="5484.64"/>
    <n v="0"/>
    <n v="5484.64"/>
    <n v="401"/>
    <s v="22:44:37"/>
    <n v="1"/>
    <n v="8"/>
    <n v="2025"/>
    <d v="2025-08-01T00:00:00"/>
    <s v="Cash"/>
    <s v="F"/>
    <n v="5"/>
    <s v="Pune"/>
    <x v="1336"/>
  </r>
  <r>
    <n v="2130"/>
    <s v="Corner Grocery"/>
    <d v="2025-08-01T00:00:00"/>
    <s v="Canned Goods"/>
    <s v="Tomatoes"/>
    <n v="1"/>
    <n v="1432.58"/>
    <n v="1432.58"/>
    <n v="322.87"/>
    <n v="1109.71"/>
    <n v="457"/>
    <s v="10:16:00"/>
    <n v="1"/>
    <n v="8"/>
    <n v="2025"/>
    <d v="2025-08-01T00:00:00"/>
    <s v="Debit Card"/>
    <s v="M"/>
    <n v="2"/>
    <s v="Delhi"/>
    <x v="1337"/>
  </r>
  <r>
    <n v="8734"/>
    <s v="SuperSave Central"/>
    <d v="2023-08-31T00:00:00"/>
    <s v="Canned Goods"/>
    <s v="Cereal"/>
    <n v="1"/>
    <n v="444.05"/>
    <n v="444.05"/>
    <n v="44.82"/>
    <n v="399.23"/>
    <n v="234"/>
    <s v="03:17:57"/>
    <n v="31"/>
    <n v="8"/>
    <n v="2023"/>
    <d v="2023-08-31T00:00:00"/>
    <s v="Debit Card"/>
    <s v="F"/>
    <n v="2"/>
    <s v="Delhi"/>
    <x v="1338"/>
  </r>
  <r>
    <n v="5703"/>
    <s v="MegaMart Westside"/>
    <d v="2024-06-19T00:00:00"/>
    <s v="Dairy"/>
    <s v="Cheese"/>
    <n v="3"/>
    <n v="1335.47"/>
    <n v="4006.41"/>
    <n v="800.95"/>
    <n v="3205.46"/>
    <n v="1"/>
    <s v="23:36:43"/>
    <n v="19"/>
    <n v="6"/>
    <n v="2024"/>
    <d v="2024-06-19T00:00:00"/>
    <s v="Debit Card"/>
    <s v="M"/>
    <n v="1"/>
    <s v="Delhi"/>
    <x v="1339"/>
  </r>
  <r>
    <n v="3948"/>
    <s v="City Fresh Store"/>
    <d v="2025-03-26T00:00:00"/>
    <s v="Health &amp; Wellness"/>
    <s v="Chicken Breast"/>
    <n v="1"/>
    <n v="608.39"/>
    <n v="608.39"/>
    <n v="0"/>
    <n v="608.39"/>
    <n v="96"/>
    <s v="08:41:41"/>
    <n v="26"/>
    <n v="3"/>
    <n v="2025"/>
    <d v="2025-03-26T00:00:00"/>
    <s v="Debit Card"/>
    <s v="M"/>
    <n v="1"/>
    <s v="Delhi"/>
    <x v="1340"/>
  </r>
  <r>
    <n v="3218"/>
    <s v="ValuePlus Market"/>
    <d v="2025-03-23T00:00:00"/>
    <s v="Meat &amp; Seafood"/>
    <s v="Tomatoes"/>
    <n v="2"/>
    <n v="919.64"/>
    <n v="1839.28"/>
    <n v="0"/>
    <n v="1839.28"/>
    <n v="487"/>
    <s v="12:25:47"/>
    <n v="23"/>
    <n v="3"/>
    <n v="2025"/>
    <d v="2025-03-23T00:00:00"/>
    <s v="UPI"/>
    <s v="F"/>
    <n v="2"/>
    <s v="Kolkata"/>
    <x v="1341"/>
  </r>
  <r>
    <n v="7887"/>
    <s v="SuperSave Central"/>
    <d v="2024-05-23T00:00:00"/>
    <s v="Canned Goods"/>
    <s v="Orange Juice"/>
    <n v="1"/>
    <n v="809.25"/>
    <n v="809.25"/>
    <n v="0"/>
    <n v="809.25"/>
    <n v="157"/>
    <s v="19:34:28"/>
    <n v="23"/>
    <n v="5"/>
    <n v="2024"/>
    <d v="2024-05-23T00:00:00"/>
    <s v="Cash"/>
    <s v="F"/>
    <n v="5"/>
    <s v="Delhi"/>
    <x v="1342"/>
  </r>
  <r>
    <n v="7266"/>
    <s v="City Fresh Store"/>
    <d v="2024-07-20T00:00:00"/>
    <s v="Health &amp; Wellness"/>
    <s v="Salmon"/>
    <n v="4"/>
    <n v="1069.8699999999999"/>
    <n v="4279.4799999999996"/>
    <n v="406.7"/>
    <n v="3872.78"/>
    <n v="180"/>
    <s v="11:21:48"/>
    <n v="20"/>
    <n v="7"/>
    <n v="2024"/>
    <d v="2024-07-20T00:00:00"/>
    <s v="UPI"/>
    <s v="M"/>
    <n v="2"/>
    <s v="Chennai"/>
    <x v="1343"/>
  </r>
  <r>
    <n v="7184"/>
    <s v="MegaMart Westside"/>
    <d v="2024-05-24T00:00:00"/>
    <s v="Dairy"/>
    <s v="Apples"/>
    <n v="4"/>
    <n v="1113.03"/>
    <n v="4452.12"/>
    <n v="227.42"/>
    <n v="4224.7"/>
    <n v="90"/>
    <s v="08:19:47"/>
    <n v="24"/>
    <n v="5"/>
    <n v="2024"/>
    <d v="2024-05-24T00:00:00"/>
    <s v="UPI"/>
    <s v="F"/>
    <n v="1"/>
    <s v="Bangalore"/>
    <x v="1344"/>
  </r>
  <r>
    <n v="2314"/>
    <s v="QuickStop Market"/>
    <d v="2025-01-18T00:00:00"/>
    <s v="Health &amp; Wellness"/>
    <s v="Cheese"/>
    <n v="3"/>
    <n v="1772.05"/>
    <n v="5316.15"/>
    <n v="350.26"/>
    <n v="4965.8900000000003"/>
    <n v="480"/>
    <s v="04:56:09"/>
    <n v="18"/>
    <n v="1"/>
    <n v="2025"/>
    <d v="2025-01-18T00:00:00"/>
    <s v="Debit Card"/>
    <s v="F"/>
    <n v="2"/>
    <s v="Jaipur"/>
    <x v="1345"/>
  </r>
  <r>
    <n v="9835"/>
    <s v="GreenGrocer Plaza"/>
    <d v="2023-11-18T00:00:00"/>
    <s v="Dairy"/>
    <s v="Bananas"/>
    <n v="5"/>
    <n v="2326.4899999999998"/>
    <n v="11632.45"/>
    <n v="0"/>
    <n v="11632.45"/>
    <n v="53"/>
    <s v="09:44:57"/>
    <n v="18"/>
    <n v="11"/>
    <n v="2023"/>
    <d v="2023-11-18T00:00:00"/>
    <s v="Credit Card"/>
    <s v="F"/>
    <n v="2"/>
    <s v="Mumbai"/>
    <x v="1346"/>
  </r>
  <r>
    <n v="6697"/>
    <s v="ValuePlus Market"/>
    <d v="2023-11-07T00:00:00"/>
    <s v="Dairy"/>
    <s v="Salmon"/>
    <n v="5"/>
    <n v="1481.55"/>
    <n v="7407.75"/>
    <n v="741.19"/>
    <n v="6666.56"/>
    <n v="16"/>
    <s v="23:30:41"/>
    <n v="7"/>
    <n v="11"/>
    <n v="2023"/>
    <d v="2023-11-07T00:00:00"/>
    <s v="Credit Card"/>
    <s v="M"/>
    <n v="5"/>
    <s v="Lucknow"/>
    <x v="1347"/>
  </r>
  <r>
    <n v="3924"/>
    <s v="FamilyFood Express"/>
    <d v="2024-09-27T00:00:00"/>
    <s v="Bakery"/>
    <s v="Salmon"/>
    <n v="5"/>
    <n v="999.32"/>
    <n v="4996.6000000000004"/>
    <n v="199.2"/>
    <n v="4797.3999999999996"/>
    <n v="100"/>
    <s v="18:42:09"/>
    <n v="27"/>
    <n v="9"/>
    <n v="2024"/>
    <d v="2024-09-27T00:00:00"/>
    <s v="UPI"/>
    <s v="M"/>
    <n v="4"/>
    <s v="Jaipur"/>
    <x v="1348"/>
  </r>
  <r>
    <n v="7439"/>
    <s v="City Fresh Store"/>
    <d v="2024-09-20T00:00:00"/>
    <s v="Snacks &amp; Candy"/>
    <s v="Tomatoes"/>
    <n v="1"/>
    <n v="2343.92"/>
    <n v="2343.92"/>
    <n v="176.79"/>
    <n v="2167.13"/>
    <n v="400"/>
    <s v="11:11:07"/>
    <n v="20"/>
    <n v="9"/>
    <n v="2024"/>
    <d v="2024-09-20T00:00:00"/>
    <s v="UPI"/>
    <s v="F"/>
    <n v="1"/>
    <s v="Jaipur"/>
    <x v="1349"/>
  </r>
  <r>
    <n v="3086"/>
    <s v="QuickStop Market"/>
    <d v="2025-02-22T00:00:00"/>
    <s v="Frozen Foods"/>
    <s v="Cheese"/>
    <n v="2"/>
    <n v="92.13"/>
    <n v="184.26"/>
    <n v="87.98"/>
    <n v="96.28"/>
    <n v="465"/>
    <s v="23:36:24"/>
    <n v="22"/>
    <n v="2"/>
    <n v="2025"/>
    <d v="2025-02-22T00:00:00"/>
    <s v="Debit Card"/>
    <s v="F"/>
    <n v="5"/>
    <s v="Chennai"/>
    <x v="1350"/>
  </r>
  <r>
    <n v="4648"/>
    <s v="SuperSave Central"/>
    <d v="2025-05-16T00:00:00"/>
    <s v="Canned Goods"/>
    <s v="Carrots"/>
    <n v="5"/>
    <n v="846.6"/>
    <n v="4233"/>
    <n v="846.6"/>
    <n v="3386.4"/>
    <n v="87"/>
    <s v="16:13:07"/>
    <n v="16"/>
    <n v="5"/>
    <n v="2025"/>
    <d v="2025-05-16T00:00:00"/>
    <s v="UPI"/>
    <s v="F"/>
    <n v="2"/>
    <s v="Delhi"/>
    <x v="1351"/>
  </r>
  <r>
    <n v="1056"/>
    <s v="ValuePlus Market"/>
    <d v="2025-03-16T00:00:00"/>
    <s v="Snacks &amp; Candy"/>
    <s v="Yogurt"/>
    <n v="5"/>
    <n v="1633.44"/>
    <n v="8167.2"/>
    <n v="225.76"/>
    <n v="7941.44"/>
    <n v="424"/>
    <s v="03:45:16"/>
    <n v="16"/>
    <n v="3"/>
    <n v="2025"/>
    <d v="2025-03-16T00:00:00"/>
    <s v="Debit Card"/>
    <s v="M"/>
    <n v="2"/>
    <s v="Kolkata"/>
    <x v="1352"/>
  </r>
  <r>
    <n v="1372"/>
    <s v="Corner Grocery"/>
    <d v="2024-03-25T00:00:00"/>
    <s v="Meat &amp; Seafood"/>
    <s v="Tomatoes"/>
    <n v="3"/>
    <n v="1327.17"/>
    <n v="3981.51"/>
    <n v="318.72000000000003"/>
    <n v="3662.79"/>
    <n v="223"/>
    <s v="19:27:33"/>
    <n v="25"/>
    <n v="3"/>
    <n v="2024"/>
    <d v="2024-03-25T00:00:00"/>
    <s v="Credit Card"/>
    <s v="M"/>
    <n v="4"/>
    <s v="Chennai"/>
    <x v="1353"/>
  </r>
  <r>
    <n v="8585"/>
    <s v="SuperSave Central"/>
    <d v="2025-01-11T00:00:00"/>
    <s v="Personal Care"/>
    <s v="Chicken Breast"/>
    <n v="5"/>
    <n v="1969.59"/>
    <n v="9847.9500000000007"/>
    <n v="136.12"/>
    <n v="9711.83"/>
    <n v="431"/>
    <s v="10:19:08"/>
    <n v="11"/>
    <n v="1"/>
    <n v="2025"/>
    <d v="2025-01-11T00:00:00"/>
    <s v="Credit Card"/>
    <s v="F"/>
    <n v="1"/>
    <s v="Kolkata"/>
    <x v="1354"/>
  </r>
  <r>
    <n v="9920"/>
    <s v="MegaMart Westside"/>
    <d v="2024-07-01T00:00:00"/>
    <s v="Bakery"/>
    <s v="Bread"/>
    <n v="1"/>
    <n v="143.59"/>
    <n v="143.59"/>
    <n v="288.01"/>
    <n v="-144.41999999999999"/>
    <n v="5"/>
    <s v="23:19:33"/>
    <n v="1"/>
    <n v="7"/>
    <n v="2024"/>
    <d v="2024-07-01T00:00:00"/>
    <s v="Cash"/>
    <s v="F"/>
    <n v="1"/>
    <s v="Mumbai"/>
    <x v="1355"/>
  </r>
  <r>
    <n v="9715"/>
    <s v="ValuePlus Market"/>
    <d v="2024-05-27T00:00:00"/>
    <s v="Dairy"/>
    <s v="Tomatoes"/>
    <n v="1"/>
    <n v="1869.16"/>
    <n v="1869.16"/>
    <n v="0"/>
    <n v="1869.16"/>
    <n v="66"/>
    <s v="03:13:35"/>
    <n v="27"/>
    <n v="5"/>
    <n v="2024"/>
    <d v="2024-05-27T00:00:00"/>
    <s v="Credit Card"/>
    <s v="F"/>
    <n v="3"/>
    <s v="Ahmedabad"/>
    <x v="1356"/>
  </r>
  <r>
    <n v="4762"/>
    <s v="MegaMart Westside"/>
    <d v="2024-02-15T00:00:00"/>
    <s v="Meat &amp; Seafood"/>
    <s v="Ground Beef"/>
    <n v="2"/>
    <n v="796.8"/>
    <n v="1593.6"/>
    <n v="0"/>
    <n v="1593.6"/>
    <n v="274"/>
    <s v="12:04:48"/>
    <n v="15"/>
    <n v="2"/>
    <n v="2024"/>
    <d v="2024-02-15T00:00:00"/>
    <s v="UPI"/>
    <s v="F"/>
    <n v="1"/>
    <s v="Lucknow"/>
    <x v="1357"/>
  </r>
  <r>
    <n v="8546"/>
    <s v="Corner Grocery"/>
    <d v="2024-05-01T00:00:00"/>
    <s v="Frozen Foods"/>
    <s v="Milk"/>
    <n v="3"/>
    <n v="282.2"/>
    <n v="846.6"/>
    <n v="0"/>
    <n v="846.6"/>
    <n v="73"/>
    <s v="18:27:08"/>
    <n v="1"/>
    <n v="5"/>
    <n v="2024"/>
    <d v="2024-05-01T00:00:00"/>
    <s v="Credit Card"/>
    <s v="F"/>
    <n v="4"/>
    <s v="Ahmedabad"/>
    <x v="1358"/>
  </r>
  <r>
    <n v="3541"/>
    <s v="GreenGrocer Plaza"/>
    <d v="2024-03-08T00:00:00"/>
    <s v="Dairy"/>
    <s v="Salmon"/>
    <n v="5"/>
    <n v="377.65"/>
    <n v="1888.25"/>
    <n v="283.02999999999997"/>
    <n v="1605.22"/>
    <n v="72"/>
    <s v="10:20:19"/>
    <n v="8"/>
    <n v="3"/>
    <n v="2024"/>
    <d v="2024-03-08T00:00:00"/>
    <s v="Debit Card"/>
    <s v="F"/>
    <n v="3"/>
    <s v="Chennai"/>
    <x v="1359"/>
  </r>
  <r>
    <n v="4088"/>
    <s v="SuperSave Central"/>
    <d v="2025-08-04T00:00:00"/>
    <s v="Dairy"/>
    <s v="Bread"/>
    <n v="4"/>
    <n v="2114.84"/>
    <n v="8459.36"/>
    <n v="845.77"/>
    <n v="7613.59"/>
    <n v="467"/>
    <s v="04:37:45"/>
    <n v="4"/>
    <n v="8"/>
    <n v="2025"/>
    <d v="2025-08-04T00:00:00"/>
    <s v="Credit Card"/>
    <s v="M"/>
    <n v="3"/>
    <s v="Delhi"/>
    <x v="1360"/>
  </r>
  <r>
    <n v="2848"/>
    <s v="GreenGrocer Plaza"/>
    <d v="2023-09-01T00:00:00"/>
    <s v="Beverages"/>
    <s v="Bananas"/>
    <n v="4"/>
    <n v="258.95999999999998"/>
    <n v="1035.8399999999999"/>
    <n v="207.5"/>
    <n v="828.34"/>
    <n v="491"/>
    <s v="11:08:04"/>
    <n v="1"/>
    <n v="9"/>
    <n v="2023"/>
    <d v="2023-09-01T00:00:00"/>
    <s v="Cash"/>
    <s v="F"/>
    <n v="2"/>
    <s v="Lucknow"/>
    <x v="1361"/>
  </r>
  <r>
    <n v="7868"/>
    <s v="Corner Grocery"/>
    <d v="2024-11-26T00:00:00"/>
    <s v="Snacks &amp; Candy"/>
    <s v="Cereal"/>
    <n v="4"/>
    <n v="2028.52"/>
    <n v="8114.08"/>
    <n v="382.63"/>
    <n v="7731.45"/>
    <n v="92"/>
    <s v="18:11:28"/>
    <n v="26"/>
    <n v="11"/>
    <n v="2024"/>
    <d v="2024-11-26T00:00:00"/>
    <s v="Credit Card"/>
    <s v="M"/>
    <n v="2"/>
    <s v="Jaipur"/>
    <x v="1362"/>
  </r>
  <r>
    <n v="1256"/>
    <s v="FreshMart Downtown"/>
    <d v="2024-02-09T00:00:00"/>
    <s v="Dairy"/>
    <s v="Cereal"/>
    <n v="3"/>
    <n v="1246.6600000000001"/>
    <n v="3739.98"/>
    <n v="747.83"/>
    <n v="2992.15"/>
    <n v="314"/>
    <s v="11:41:00"/>
    <n v="9"/>
    <n v="2"/>
    <n v="2024"/>
    <d v="2024-02-09T00:00:00"/>
    <s v="Debit Card"/>
    <s v="F"/>
    <n v="1"/>
    <s v="Hyderabad"/>
    <x v="1363"/>
  </r>
  <r>
    <n v="4376"/>
    <s v="Corner Grocery"/>
    <d v="2023-09-28T00:00:00"/>
    <s v="Frozen Foods"/>
    <s v="Chicken Breast"/>
    <n v="2"/>
    <n v="1541.31"/>
    <n v="3082.62"/>
    <n v="253.15"/>
    <n v="2829.47"/>
    <n v="274"/>
    <s v="12:48:16"/>
    <n v="28"/>
    <n v="9"/>
    <n v="2023"/>
    <d v="2023-09-28T00:00:00"/>
    <s v="Debit Card"/>
    <s v="F"/>
    <n v="3"/>
    <s v="Bangalore"/>
    <x v="1364"/>
  </r>
  <r>
    <n v="2653"/>
    <s v="SuperSave Central"/>
    <d v="2024-11-10T00:00:00"/>
    <s v="Bakery"/>
    <s v="Orange Juice"/>
    <n v="1"/>
    <n v="2245.15"/>
    <n v="2245.15"/>
    <n v="449.03"/>
    <n v="1796.12"/>
    <n v="15"/>
    <s v="04:56:51"/>
    <n v="10"/>
    <n v="11"/>
    <n v="2024"/>
    <d v="2024-11-10T00:00:00"/>
    <s v="UPI"/>
    <s v="M"/>
    <n v="2"/>
    <s v="Pune"/>
    <x v="1365"/>
  </r>
  <r>
    <n v="1550"/>
    <s v="FamilyFood Express"/>
    <d v="2024-07-18T00:00:00"/>
    <s v="Dairy"/>
    <s v="Eggs"/>
    <n v="3"/>
    <n v="741.19"/>
    <n v="2223.5700000000002"/>
    <n v="333.66"/>
    <n v="1889.91"/>
    <n v="102"/>
    <s v="09:32:47"/>
    <n v="18"/>
    <n v="7"/>
    <n v="2024"/>
    <d v="2024-07-18T00:00:00"/>
    <s v="Credit Card"/>
    <s v="M"/>
    <n v="4"/>
    <s v="Hyderabad"/>
    <x v="1366"/>
  </r>
  <r>
    <n v="1797"/>
    <s v="ValuePlus Market"/>
    <d v="2024-02-13T00:00:00"/>
    <s v="Health &amp; Wellness"/>
    <s v="Rice"/>
    <n v="4"/>
    <n v="1875.8"/>
    <n v="7503.2"/>
    <n v="397.57"/>
    <n v="7105.63"/>
    <n v="253"/>
    <s v="01:59:55"/>
    <n v="13"/>
    <n v="2"/>
    <n v="2024"/>
    <d v="2024-02-13T00:00:00"/>
    <s v="Debit Card"/>
    <s v="M"/>
    <n v="2"/>
    <s v="Delhi"/>
    <x v="1367"/>
  </r>
  <r>
    <n v="1724"/>
    <s v="FamilyFood Express"/>
    <d v="2024-06-14T00:00:00"/>
    <s v="Frozen Foods"/>
    <s v="Apples"/>
    <n v="2"/>
    <n v="1735.53"/>
    <n v="3471.06"/>
    <n v="346.94"/>
    <n v="3124.12"/>
    <n v="454"/>
    <s v="13:07:41"/>
    <n v="14"/>
    <n v="6"/>
    <n v="2024"/>
    <d v="2024-06-14T00:00:00"/>
    <s v="Cash"/>
    <s v="M"/>
    <n v="2"/>
    <s v="Chennai"/>
    <x v="1368"/>
  </r>
  <r>
    <n v="8191"/>
    <s v="GreenGrocer Plaza"/>
    <d v="2024-02-05T00:00:00"/>
    <s v="Household Items"/>
    <s v="Rice"/>
    <n v="2"/>
    <n v="1993.66"/>
    <n v="3987.32"/>
    <n v="398.4"/>
    <n v="3588.92"/>
    <n v="488"/>
    <s v="20:28:53"/>
    <n v="5"/>
    <n v="2"/>
    <n v="2024"/>
    <d v="2024-02-05T00:00:00"/>
    <s v="UPI"/>
    <s v="F"/>
    <n v="3"/>
    <s v="Jaipur"/>
    <x v="1369"/>
  </r>
  <r>
    <n v="9843"/>
    <s v="City Fresh Store"/>
    <d v="2024-01-22T00:00:00"/>
    <s v="Snacks &amp; Candy"/>
    <s v="Pasta"/>
    <n v="3"/>
    <n v="1581.15"/>
    <n v="4743.45"/>
    <n v="473.93"/>
    <n v="4269.5200000000004"/>
    <n v="310"/>
    <s v="18:18:14"/>
    <n v="22"/>
    <n v="1"/>
    <n v="2024"/>
    <d v="2024-01-22T00:00:00"/>
    <s v="Cash"/>
    <s v="M"/>
    <n v="3"/>
    <s v="Chennai"/>
    <x v="1370"/>
  </r>
  <r>
    <n v="1924"/>
    <s v="FamilyFood Express"/>
    <d v="2023-11-23T00:00:00"/>
    <s v="Household Items"/>
    <s v="Orange Juice"/>
    <n v="3"/>
    <n v="2243.4899999999998"/>
    <n v="6730.47"/>
    <n v="673.13"/>
    <n v="6057.34"/>
    <n v="419"/>
    <s v="02:23:11"/>
    <n v="23"/>
    <n v="11"/>
    <n v="2023"/>
    <d v="2023-11-23T00:00:00"/>
    <s v="Credit Card"/>
    <s v="F"/>
    <n v="5"/>
    <s v="Delhi"/>
    <x v="1371"/>
  </r>
  <r>
    <n v="9255"/>
    <s v="SuperSave Central"/>
    <d v="2024-03-18T00:00:00"/>
    <s v="Produce"/>
    <s v="Carrots"/>
    <n v="3"/>
    <n v="1494.83"/>
    <n v="4484.49"/>
    <n v="448.2"/>
    <n v="4036.29"/>
    <n v="150"/>
    <s v="18:14:59"/>
    <n v="18"/>
    <n v="3"/>
    <n v="2024"/>
    <d v="2024-03-18T00:00:00"/>
    <s v="Credit Card"/>
    <s v="M"/>
    <n v="4"/>
    <s v="Ahmedabad"/>
    <x v="1372"/>
  </r>
  <r>
    <n v="4836"/>
    <s v="FreshMart Downtown"/>
    <d v="2025-05-01T00:00:00"/>
    <s v="Dairy"/>
    <s v="Apples"/>
    <n v="3"/>
    <n v="1115.52"/>
    <n v="3346.56"/>
    <n v="668.98"/>
    <n v="2677.58"/>
    <n v="95"/>
    <s v="15:24:22"/>
    <n v="1"/>
    <n v="5"/>
    <n v="2025"/>
    <d v="2025-05-01T00:00:00"/>
    <s v="Credit Card"/>
    <s v="F"/>
    <n v="3"/>
    <s v="Lucknow"/>
    <x v="1373"/>
  </r>
  <r>
    <n v="6224"/>
    <s v="GreenGrocer Plaza"/>
    <d v="2024-10-28T00:00:00"/>
    <s v="Bakery"/>
    <s v="Orange Juice"/>
    <n v="3"/>
    <n v="431.6"/>
    <n v="1294.8"/>
    <n v="188.41"/>
    <n v="1106.3900000000001"/>
    <n v="160"/>
    <s v="13:44:16"/>
    <n v="28"/>
    <n v="10"/>
    <n v="2024"/>
    <d v="2024-10-28T00:00:00"/>
    <s v="UPI"/>
    <s v="F"/>
    <n v="1"/>
    <s v="Hyderabad"/>
    <x v="1374"/>
  </r>
  <r>
    <n v="6253"/>
    <s v="FreshMart Downtown"/>
    <d v="2024-02-07T00:00:00"/>
    <s v="Canned Goods"/>
    <s v="Yogurt"/>
    <n v="4"/>
    <n v="1448.35"/>
    <n v="5793.4"/>
    <n v="104.58"/>
    <n v="5688.82"/>
    <n v="164"/>
    <s v="17:18:51"/>
    <n v="7"/>
    <n v="2"/>
    <n v="2024"/>
    <d v="2024-02-07T00:00:00"/>
    <s v="Debit Card"/>
    <s v="F"/>
    <n v="4"/>
    <s v="Kolkata"/>
    <x v="1375"/>
  </r>
  <r>
    <n v="5944"/>
    <s v="QuickStop Market"/>
    <d v="2025-06-17T00:00:00"/>
    <s v="Household Items"/>
    <s v="Yogurt"/>
    <n v="5"/>
    <n v="605.9"/>
    <n v="3029.5"/>
    <n v="0"/>
    <n v="3029.5"/>
    <n v="287"/>
    <s v="10:13:10"/>
    <n v="17"/>
    <n v="6"/>
    <n v="2025"/>
    <d v="2025-06-17T00:00:00"/>
    <s v="UPI"/>
    <s v="F"/>
    <n v="4"/>
    <s v="Jaipur"/>
    <x v="1376"/>
  </r>
  <r>
    <n v="3347"/>
    <s v="GreenGrocer Plaza"/>
    <d v="2024-12-31T00:00:00"/>
    <s v="Household Items"/>
    <s v="Cheese"/>
    <n v="4"/>
    <n v="847.43"/>
    <n v="3389.72"/>
    <n v="678.11"/>
    <n v="2711.61"/>
    <n v="163"/>
    <s v="15:54:55"/>
    <n v="31"/>
    <n v="12"/>
    <n v="2024"/>
    <d v="2024-12-31T00:00:00"/>
    <s v="Cash"/>
    <s v="F"/>
    <n v="3"/>
    <s v="Lucknow"/>
    <x v="1377"/>
  </r>
  <r>
    <n v="9540"/>
    <s v="FreshMart Downtown"/>
    <d v="2024-01-25T00:00:00"/>
    <s v="Beverages"/>
    <s v="Potatoes"/>
    <n v="1"/>
    <n v="2465.9299999999998"/>
    <n v="2465.9299999999998"/>
    <n v="233.23"/>
    <n v="2232.6999999999998"/>
    <n v="215"/>
    <s v="20:05:00"/>
    <n v="25"/>
    <n v="1"/>
    <n v="2024"/>
    <d v="2024-01-25T00:00:00"/>
    <s v="UPI"/>
    <s v="F"/>
    <n v="4"/>
    <s v="Lucknow"/>
    <x v="1378"/>
  </r>
  <r>
    <n v="7775"/>
    <s v="MegaMart Westside"/>
    <d v="2024-03-27T00:00:00"/>
    <s v="Household Items"/>
    <s v="Tomatoes"/>
    <n v="2"/>
    <n v="1469.93"/>
    <n v="2939.86"/>
    <n v="0"/>
    <n v="2939.86"/>
    <n v="145"/>
    <s v="20:21:20"/>
    <n v="27"/>
    <n v="3"/>
    <n v="2024"/>
    <d v="2024-03-27T00:00:00"/>
    <s v="Cash"/>
    <s v="M"/>
    <n v="3"/>
    <s v="Jaipur"/>
    <x v="1379"/>
  </r>
  <r>
    <n v="5508"/>
    <s v="FreshMart Downtown"/>
    <d v="2023-09-23T00:00:00"/>
    <s v="Beverages"/>
    <s v="Rice"/>
    <n v="2"/>
    <n v="2108.1999999999998"/>
    <n v="4216.3999999999996"/>
    <n v="387.61"/>
    <n v="3828.79"/>
    <n v="206"/>
    <s v="03:00:19"/>
    <n v="23"/>
    <n v="9"/>
    <n v="2023"/>
    <d v="2023-09-23T00:00:00"/>
    <s v="UPI"/>
    <s v="F"/>
    <n v="2"/>
    <s v="Mumbai"/>
    <x v="1380"/>
  </r>
  <r>
    <n v="3869"/>
    <s v="FreshMart Downtown"/>
    <d v="2024-12-05T00:00:00"/>
    <s v="Canned Goods"/>
    <s v="Bananas"/>
    <n v="1"/>
    <n v="1213.46"/>
    <n v="1213.46"/>
    <n v="0"/>
    <n v="1213.46"/>
    <n v="424"/>
    <s v="20:42:11"/>
    <n v="5"/>
    <n v="12"/>
    <n v="2024"/>
    <d v="2024-12-05T00:00:00"/>
    <s v="Debit Card"/>
    <s v="M"/>
    <n v="5"/>
    <s v="Lucknow"/>
    <x v="1381"/>
  </r>
  <r>
    <n v="7999"/>
    <s v="QuickStop Market"/>
    <d v="2024-10-11T00:00:00"/>
    <s v="Frozen Foods"/>
    <s v="Cereal"/>
    <n v="3"/>
    <n v="1045.8"/>
    <n v="3137.4"/>
    <n v="313.74"/>
    <n v="2823.66"/>
    <n v="284"/>
    <s v="08:20:34"/>
    <n v="11"/>
    <n v="10"/>
    <n v="2024"/>
    <d v="2024-10-11T00:00:00"/>
    <s v="Cash"/>
    <s v="M"/>
    <n v="2"/>
    <s v="Ahmedabad"/>
    <x v="1382"/>
  </r>
  <r>
    <n v="9120"/>
    <s v="FreshMart Downtown"/>
    <d v="2023-09-12T00:00:00"/>
    <s v="Snacks &amp; Candy"/>
    <s v="Rice"/>
    <n v="4"/>
    <n v="1269.9000000000001"/>
    <n v="5079.6000000000004"/>
    <n v="761.94"/>
    <n v="4317.66"/>
    <n v="328"/>
    <s v="19:09:50"/>
    <n v="12"/>
    <n v="9"/>
    <n v="2023"/>
    <d v="2023-09-12T00:00:00"/>
    <s v="Credit Card"/>
    <s v="F"/>
    <n v="3"/>
    <s v="Mumbai"/>
    <x v="1383"/>
  </r>
  <r>
    <n v="6642"/>
    <s v="GreenGrocer Plaza"/>
    <d v="2024-12-18T00:00:00"/>
    <s v="Produce"/>
    <s v="Ground Beef"/>
    <n v="1"/>
    <n v="2069.19"/>
    <n v="2069.19"/>
    <n v="310.42"/>
    <n v="1758.77"/>
    <n v="71"/>
    <s v="14:54:03"/>
    <n v="18"/>
    <n v="12"/>
    <n v="2024"/>
    <d v="2024-12-18T00:00:00"/>
    <s v="Credit Card"/>
    <s v="M"/>
    <n v="3"/>
    <s v="Bangalore"/>
    <x v="1384"/>
  </r>
  <r>
    <n v="7244"/>
    <s v="Corner Grocery"/>
    <d v="2025-04-08T00:00:00"/>
    <s v="Bakery"/>
    <s v="Apples"/>
    <n v="1"/>
    <n v="541.99"/>
    <n v="541.99"/>
    <n v="411.68"/>
    <n v="130.31"/>
    <n v="461"/>
    <s v="01:37:24"/>
    <n v="8"/>
    <n v="4"/>
    <n v="2025"/>
    <d v="2025-04-08T00:00:00"/>
    <s v="UPI"/>
    <s v="F"/>
    <n v="2"/>
    <s v="Ahmedabad"/>
    <x v="1385"/>
  </r>
  <r>
    <n v="9592"/>
    <s v="FreshMart Downtown"/>
    <d v="2024-04-10T00:00:00"/>
    <s v="Frozen Foods"/>
    <s v="Milk"/>
    <n v="1"/>
    <n v="197.54"/>
    <n v="197.54"/>
    <n v="29.88"/>
    <n v="167.66"/>
    <n v="155"/>
    <s v="04:43:52"/>
    <n v="10"/>
    <n v="4"/>
    <n v="2024"/>
    <d v="2024-04-10T00:00:00"/>
    <s v="Credit Card"/>
    <s v="M"/>
    <n v="1"/>
    <s v="Ahmedabad"/>
    <x v="1386"/>
  </r>
  <r>
    <n v="7821"/>
    <s v="MegaMart Westside"/>
    <d v="2024-06-19T00:00:00"/>
    <s v="Household Items"/>
    <s v="Tomatoes"/>
    <n v="3"/>
    <n v="1763.75"/>
    <n v="5291.25"/>
    <n v="235.72"/>
    <n v="5055.53"/>
    <n v="473"/>
    <s v="11:11:10"/>
    <n v="19"/>
    <n v="6"/>
    <n v="2024"/>
    <d v="2024-06-19T00:00:00"/>
    <s v="Cash"/>
    <s v="F"/>
    <n v="1"/>
    <s v="Chennai"/>
    <x v="1387"/>
  </r>
  <r>
    <n v="3444"/>
    <s v="SuperSave Central"/>
    <d v="2024-03-26T00:00:00"/>
    <s v="Canned Goods"/>
    <s v="Eggs"/>
    <n v="5"/>
    <n v="2219.42"/>
    <n v="11097.1"/>
    <n v="0"/>
    <n v="11097.1"/>
    <n v="494"/>
    <s v="13:21:17"/>
    <n v="26"/>
    <n v="3"/>
    <n v="2024"/>
    <d v="2024-03-26T00:00:00"/>
    <s v="Credit Card"/>
    <s v="M"/>
    <n v="1"/>
    <s v="Chennai"/>
    <x v="68"/>
  </r>
  <r>
    <n v="7167"/>
    <s v="City Fresh Store"/>
    <d v="2023-12-27T00:00:00"/>
    <s v="Health &amp; Wellness"/>
    <s v="Chicken Breast"/>
    <n v="5"/>
    <n v="1352.07"/>
    <n v="6760.35"/>
    <n v="0"/>
    <n v="6760.35"/>
    <n v="295"/>
    <s v="15:52:28"/>
    <n v="27"/>
    <n v="12"/>
    <n v="2023"/>
    <d v="2023-12-27T00:00:00"/>
    <s v="Debit Card"/>
    <s v="F"/>
    <n v="3"/>
    <s v="Mumbai"/>
    <x v="1388"/>
  </r>
  <r>
    <n v="9813"/>
    <s v="City Fresh Store"/>
    <d v="2024-08-08T00:00:00"/>
    <s v="Frozen Foods"/>
    <s v="Cereal"/>
    <n v="4"/>
    <n v="625.82000000000005"/>
    <n v="2503.2800000000002"/>
    <n v="0"/>
    <n v="2503.2800000000002"/>
    <n v="135"/>
    <s v="23:43:16"/>
    <n v="8"/>
    <n v="8"/>
    <n v="2024"/>
    <d v="2024-08-08T00:00:00"/>
    <s v="Debit Card"/>
    <s v="F"/>
    <n v="4"/>
    <s v="Bangalore"/>
    <x v="1389"/>
  </r>
  <r>
    <n v="4948"/>
    <s v="GreenGrocer Plaza"/>
    <d v="2025-05-27T00:00:00"/>
    <s v="Canned Goods"/>
    <s v="Onions"/>
    <n v="2"/>
    <n v="1669.13"/>
    <n v="3338.26"/>
    <n v="0"/>
    <n v="3338.26"/>
    <n v="376"/>
    <s v="19:17:48"/>
    <n v="27"/>
    <n v="5"/>
    <n v="2025"/>
    <d v="2025-05-27T00:00:00"/>
    <s v="UPI"/>
    <s v="F"/>
    <n v="3"/>
    <s v="Bangalore"/>
    <x v="1390"/>
  </r>
  <r>
    <n v="4692"/>
    <s v="GreenGrocer Plaza"/>
    <d v="2024-03-27T00:00:00"/>
    <s v="Dairy"/>
    <s v="Potatoes"/>
    <n v="1"/>
    <n v="593.45000000000005"/>
    <n v="593.45000000000005"/>
    <n v="59.76"/>
    <n v="533.69000000000005"/>
    <n v="343"/>
    <s v="05:14:01"/>
    <n v="27"/>
    <n v="3"/>
    <n v="2024"/>
    <d v="2024-03-27T00:00:00"/>
    <s v="Cash"/>
    <s v="F"/>
    <n v="4"/>
    <s v="Lucknow"/>
    <x v="1391"/>
  </r>
  <r>
    <n v="3365"/>
    <s v="Corner Grocery"/>
    <d v="2025-04-23T00:00:00"/>
    <s v="Bakery"/>
    <s v="Potatoes"/>
    <n v="1"/>
    <n v="901.38"/>
    <n v="901.38"/>
    <n v="135.29"/>
    <n v="766.09"/>
    <n v="416"/>
    <s v="02:36:46"/>
    <n v="23"/>
    <n v="4"/>
    <n v="2025"/>
    <d v="2025-04-23T00:00:00"/>
    <s v="Debit Card"/>
    <s v="M"/>
    <n v="2"/>
    <s v="Kolkata"/>
    <x v="1392"/>
  </r>
  <r>
    <n v="8586"/>
    <s v="City Fresh Store"/>
    <d v="2025-07-17T00:00:00"/>
    <s v="Health &amp; Wellness"/>
    <s v="Eggs"/>
    <n v="5"/>
    <n v="336.15"/>
    <n v="1680.75"/>
    <n v="252.32"/>
    <n v="1428.43"/>
    <n v="66"/>
    <s v="09:07:45"/>
    <n v="17"/>
    <n v="7"/>
    <n v="2025"/>
    <d v="2025-07-17T00:00:00"/>
    <s v="Debit Card"/>
    <s v="F"/>
    <n v="5"/>
    <s v="Delhi"/>
    <x v="1393"/>
  </r>
  <r>
    <n v="1944"/>
    <s v="Corner Grocery"/>
    <d v="2024-10-16T00:00:00"/>
    <s v="Beverages"/>
    <s v="Carrots"/>
    <n v="2"/>
    <n v="1959.63"/>
    <n v="3919.26"/>
    <n v="587.64"/>
    <n v="3331.62"/>
    <n v="96"/>
    <s v="19:33:20"/>
    <n v="16"/>
    <n v="10"/>
    <n v="2024"/>
    <d v="2024-10-16T00:00:00"/>
    <s v="Cash"/>
    <s v="M"/>
    <n v="4"/>
    <s v="Bangalore"/>
    <x v="1394"/>
  </r>
  <r>
    <n v="7761"/>
    <s v="Corner Grocery"/>
    <d v="2024-06-25T00:00:00"/>
    <s v="Meat &amp; Seafood"/>
    <s v="Rice"/>
    <n v="5"/>
    <n v="1642.57"/>
    <n v="8212.85"/>
    <n v="330.34"/>
    <n v="7882.51"/>
    <n v="75"/>
    <s v="11:35:23"/>
    <n v="25"/>
    <n v="6"/>
    <n v="2024"/>
    <d v="2024-06-25T00:00:00"/>
    <s v="Credit Card"/>
    <s v="M"/>
    <n v="1"/>
    <s v="Mumbai"/>
    <x v="1395"/>
  </r>
  <r>
    <n v="9683"/>
    <s v="SuperSave Central"/>
    <d v="2023-11-19T00:00:00"/>
    <s v="Produce"/>
    <s v="Salmon"/>
    <n v="2"/>
    <n v="724.59"/>
    <n v="1449.18"/>
    <n v="217.46"/>
    <n v="1231.72"/>
    <n v="243"/>
    <s v="16:27:20"/>
    <n v="19"/>
    <n v="11"/>
    <n v="2023"/>
    <d v="2023-11-19T00:00:00"/>
    <s v="Credit Card"/>
    <s v="M"/>
    <n v="3"/>
    <s v="Delhi"/>
    <x v="1396"/>
  </r>
  <r>
    <n v="7363"/>
    <s v="QuickStop Market"/>
    <d v="2024-02-11T00:00:00"/>
    <s v="Dairy"/>
    <s v="Onions"/>
    <n v="1"/>
    <n v="935.41"/>
    <n v="935.41"/>
    <n v="93.79"/>
    <n v="841.62"/>
    <n v="108"/>
    <s v="01:42:01"/>
    <n v="11"/>
    <n v="2"/>
    <n v="2024"/>
    <d v="2024-02-11T00:00:00"/>
    <s v="UPI"/>
    <s v="F"/>
    <n v="2"/>
    <s v="Jaipur"/>
    <x v="1397"/>
  </r>
  <r>
    <n v="5177"/>
    <s v="ValuePlus Market"/>
    <d v="2024-01-11T00:00:00"/>
    <s v="Snacks &amp; Candy"/>
    <s v="Carrots"/>
    <n v="3"/>
    <n v="209.99"/>
    <n v="629.97"/>
    <n v="99.6"/>
    <n v="530.37"/>
    <n v="139"/>
    <s v="19:04:04"/>
    <n v="11"/>
    <n v="1"/>
    <n v="2024"/>
    <d v="2024-01-11T00:00:00"/>
    <s v="Credit Card"/>
    <s v="M"/>
    <n v="1"/>
    <s v="Hyderabad"/>
    <x v="1398"/>
  </r>
  <r>
    <n v="6411"/>
    <s v="ValuePlus Market"/>
    <d v="2024-12-21T00:00:00"/>
    <s v="Snacks &amp; Candy"/>
    <s v="Yogurt"/>
    <n v="3"/>
    <n v="537.84"/>
    <n v="1613.52"/>
    <n v="284.69"/>
    <n v="1328.83"/>
    <n v="90"/>
    <s v="00:03:03"/>
    <n v="21"/>
    <n v="12"/>
    <n v="2024"/>
    <d v="2024-12-21T00:00:00"/>
    <s v="Cash"/>
    <s v="M"/>
    <n v="2"/>
    <s v="Kolkata"/>
    <x v="1399"/>
  </r>
  <r>
    <n v="2295"/>
    <s v="ValuePlus Market"/>
    <d v="2025-07-23T00:00:00"/>
    <s v="Snacks &amp; Candy"/>
    <s v="Chicken Breast"/>
    <n v="1"/>
    <n v="1637.59"/>
    <n v="1637.59"/>
    <n v="327.85"/>
    <n v="1309.74"/>
    <n v="490"/>
    <s v="02:03:01"/>
    <n v="23"/>
    <n v="7"/>
    <n v="2025"/>
    <d v="2025-07-23T00:00:00"/>
    <s v="Debit Card"/>
    <s v="M"/>
    <n v="5"/>
    <s v="Kolkata"/>
    <x v="1400"/>
  </r>
  <r>
    <n v="8369"/>
    <s v="SuperSave Central"/>
    <d v="2025-05-25T00:00:00"/>
    <s v="Produce"/>
    <s v="Milk"/>
    <n v="5"/>
    <n v="722.93"/>
    <n v="3614.65"/>
    <n v="541.99"/>
    <n v="3072.66"/>
    <n v="33"/>
    <s v="11:13:42"/>
    <n v="25"/>
    <n v="5"/>
    <n v="2025"/>
    <d v="2025-05-25T00:00:00"/>
    <s v="Credit Card"/>
    <s v="F"/>
    <n v="3"/>
    <s v="Pune"/>
    <x v="1401"/>
  </r>
  <r>
    <n v="7079"/>
    <s v="FamilyFood Express"/>
    <d v="2023-10-17T00:00:00"/>
    <s v="Household Items"/>
    <s v="Tomatoes"/>
    <n v="4"/>
    <n v="1027.54"/>
    <n v="4110.16"/>
    <n v="410.85"/>
    <n v="3699.31"/>
    <n v="112"/>
    <s v="10:25:51"/>
    <n v="17"/>
    <n v="10"/>
    <n v="2023"/>
    <d v="2023-10-17T00:00:00"/>
    <s v="UPI"/>
    <s v="F"/>
    <n v="3"/>
    <s v="Chennai"/>
    <x v="1402"/>
  </r>
  <r>
    <n v="9775"/>
    <s v="FamilyFood Express"/>
    <d v="2025-02-19T00:00:00"/>
    <s v="Meat &amp; Seafood"/>
    <s v="Yogurt"/>
    <n v="3"/>
    <n v="1615.18"/>
    <n v="4845.54"/>
    <n v="0"/>
    <n v="4845.54"/>
    <n v="361"/>
    <s v="07:02:22"/>
    <n v="19"/>
    <n v="2"/>
    <n v="2025"/>
    <d v="2025-02-19T00:00:00"/>
    <s v="Credit Card"/>
    <s v="M"/>
    <n v="5"/>
    <s v="Bangalore"/>
    <x v="1296"/>
  </r>
  <r>
    <n v="4120"/>
    <s v="FreshMart Downtown"/>
    <d v="2023-09-16T00:00:00"/>
    <s v="Dairy"/>
    <s v="Apples"/>
    <n v="5"/>
    <n v="2267.56"/>
    <n v="11337.8"/>
    <n v="0"/>
    <n v="11337.8"/>
    <n v="318"/>
    <s v="14:09:11"/>
    <n v="16"/>
    <n v="9"/>
    <n v="2023"/>
    <d v="2023-09-16T00:00:00"/>
    <s v="Cash"/>
    <s v="F"/>
    <n v="3"/>
    <s v="Chennai"/>
    <x v="1403"/>
  </r>
  <r>
    <n v="5398"/>
    <s v="QuickStop Market"/>
    <d v="2024-05-25T00:00:00"/>
    <s v="Bakery"/>
    <s v="Apples"/>
    <n v="3"/>
    <n v="1722.25"/>
    <n v="5166.75"/>
    <n v="775.22"/>
    <n v="4391.53"/>
    <n v="85"/>
    <s v="12:30:34"/>
    <n v="25"/>
    <n v="5"/>
    <n v="2024"/>
    <d v="2024-05-25T00:00:00"/>
    <s v="UPI"/>
    <s v="F"/>
    <n v="4"/>
    <s v="Ahmedabad"/>
    <x v="1404"/>
  </r>
  <r>
    <n v="1647"/>
    <s v="City Fresh Store"/>
    <d v="2025-06-15T00:00:00"/>
    <s v="Meat &amp; Seafood"/>
    <s v="Bananas"/>
    <n v="4"/>
    <n v="1112.2"/>
    <n v="4448.8"/>
    <n v="667.32"/>
    <n v="3781.48"/>
    <n v="10"/>
    <s v="21:53:51"/>
    <n v="15"/>
    <n v="6"/>
    <n v="2025"/>
    <d v="2025-06-15T00:00:00"/>
    <s v="Credit Card"/>
    <s v="M"/>
    <n v="2"/>
    <s v="Chennai"/>
    <x v="1405"/>
  </r>
  <r>
    <n v="2192"/>
    <s v="GreenGrocer Plaza"/>
    <d v="2023-12-31T00:00:00"/>
    <s v="Meat &amp; Seafood"/>
    <s v="Bananas"/>
    <n v="5"/>
    <n v="929.6"/>
    <n v="4648"/>
    <n v="464.8"/>
    <n v="4183.2"/>
    <n v="242"/>
    <s v="00:14:57"/>
    <n v="31"/>
    <n v="12"/>
    <n v="2023"/>
    <d v="2023-12-31T00:00:00"/>
    <s v="UPI"/>
    <s v="M"/>
    <n v="1"/>
    <s v="Lucknow"/>
    <x v="1406"/>
  </r>
  <r>
    <n v="4555"/>
    <s v="FamilyFood Express"/>
    <d v="2024-08-13T00:00:00"/>
    <s v="Beverages"/>
    <s v="Chicken Breast"/>
    <n v="1"/>
    <n v="2053.42"/>
    <n v="2053.42"/>
    <n v="410.85"/>
    <n v="1642.57"/>
    <n v="290"/>
    <s v="18:51:30"/>
    <n v="13"/>
    <n v="8"/>
    <n v="2024"/>
    <d v="2024-08-13T00:00:00"/>
    <s v="Cash"/>
    <s v="F"/>
    <n v="5"/>
    <s v="Lucknow"/>
    <x v="1407"/>
  </r>
  <r>
    <n v="4422"/>
    <s v="ValuePlus Market"/>
    <d v="2025-06-12T00:00:00"/>
    <s v="Personal Care"/>
    <s v="Apples"/>
    <n v="2"/>
    <n v="1948.01"/>
    <n v="3896.02"/>
    <n v="0"/>
    <n v="3896.02"/>
    <n v="51"/>
    <s v="15:25:38"/>
    <n v="12"/>
    <n v="6"/>
    <n v="2025"/>
    <d v="2025-06-12T00:00:00"/>
    <s v="Debit Card"/>
    <s v="M"/>
    <n v="4"/>
    <s v="Delhi"/>
    <x v="1408"/>
  </r>
  <r>
    <n v="6455"/>
    <s v="MegaMart Westside"/>
    <d v="2024-03-29T00:00:00"/>
    <s v="Beverages"/>
    <s v="Potatoes"/>
    <n v="3"/>
    <n v="2464.27"/>
    <n v="7392.81"/>
    <n v="1108.8800000000001"/>
    <n v="6283.93"/>
    <n v="131"/>
    <s v="00:33:05"/>
    <n v="29"/>
    <n v="3"/>
    <n v="2024"/>
    <d v="2024-03-29T00:00:00"/>
    <s v="Cash"/>
    <s v="F"/>
    <n v="1"/>
    <s v="Mumbai"/>
    <x v="1409"/>
  </r>
  <r>
    <n v="1251"/>
    <s v="MegaMart Westside"/>
    <d v="2024-01-18T00:00:00"/>
    <s v="Beverages"/>
    <s v="Bananas"/>
    <n v="3"/>
    <n v="806.76"/>
    <n v="2420.2800000000002"/>
    <n v="172.64"/>
    <n v="2247.64"/>
    <n v="170"/>
    <s v="02:03:30"/>
    <n v="18"/>
    <n v="1"/>
    <n v="2024"/>
    <d v="2024-01-18T00:00:00"/>
    <s v="Cash"/>
    <s v="F"/>
    <n v="1"/>
    <s v="Bangalore"/>
    <x v="1410"/>
  </r>
  <r>
    <n v="4113"/>
    <s v="ValuePlus Market"/>
    <d v="2025-03-04T00:00:00"/>
    <s v="Health &amp; Wellness"/>
    <s v="Bananas"/>
    <n v="2"/>
    <n v="2437.71"/>
    <n v="4875.42"/>
    <n v="0"/>
    <n v="4875.42"/>
    <n v="438"/>
    <s v="01:45:20"/>
    <n v="4"/>
    <n v="3"/>
    <n v="2025"/>
    <d v="2025-03-04T00:00:00"/>
    <s v="Cash"/>
    <s v="F"/>
    <n v="5"/>
    <s v="Bangalore"/>
    <x v="1411"/>
  </r>
  <r>
    <n v="2922"/>
    <s v="SuperSave Central"/>
    <d v="2025-03-09T00:00:00"/>
    <s v="Canned Goods"/>
    <s v="Potatoes"/>
    <n v="1"/>
    <n v="670.64"/>
    <n v="670.64"/>
    <n v="100.43"/>
    <n v="570.21"/>
    <n v="379"/>
    <s v="16:31:25"/>
    <n v="9"/>
    <n v="3"/>
    <n v="2025"/>
    <d v="2025-03-09T00:00:00"/>
    <s v="Cash"/>
    <s v="F"/>
    <n v="4"/>
    <s v="Lucknow"/>
    <x v="1412"/>
  </r>
  <r>
    <n v="8846"/>
    <s v="FamilyFood Express"/>
    <d v="2025-07-17T00:00:00"/>
    <s v="Dairy"/>
    <s v="Yogurt"/>
    <n v="4"/>
    <n v="1619.33"/>
    <n v="6477.32"/>
    <n v="0"/>
    <n v="6477.32"/>
    <n v="494"/>
    <s v="03:26:51"/>
    <n v="17"/>
    <n v="7"/>
    <n v="2025"/>
    <d v="2025-07-17T00:00:00"/>
    <s v="Debit Card"/>
    <s v="F"/>
    <n v="1"/>
    <s v="Mumbai"/>
    <x v="1413"/>
  </r>
  <r>
    <n v="4974"/>
    <s v="ValuePlus Market"/>
    <d v="2025-01-28T00:00:00"/>
    <s v="Beverages"/>
    <s v="Carrots"/>
    <n v="2"/>
    <n v="720.44"/>
    <n v="1440.88"/>
    <n v="215.8"/>
    <n v="1225.08"/>
    <n v="347"/>
    <s v="20:56:53"/>
    <n v="28"/>
    <n v="1"/>
    <n v="2025"/>
    <d v="2025-01-28T00:00:00"/>
    <s v="Debit Card"/>
    <s v="F"/>
    <n v="1"/>
    <s v="Delhi"/>
    <x v="1414"/>
  </r>
  <r>
    <n v="4350"/>
    <s v="Corner Grocery"/>
    <d v="2024-06-10T00:00:00"/>
    <s v="Household Items"/>
    <s v="Cheese"/>
    <n v="3"/>
    <n v="826.68"/>
    <n v="2480.04"/>
    <n v="123.67"/>
    <n v="2356.37"/>
    <n v="21"/>
    <s v="20:19:42"/>
    <n v="10"/>
    <n v="6"/>
    <n v="2024"/>
    <d v="2024-06-10T00:00:00"/>
    <s v="UPI"/>
    <s v="M"/>
    <n v="4"/>
    <s v="Ahmedabad"/>
    <x v="1415"/>
  </r>
  <r>
    <n v="4921"/>
    <s v="City Fresh Store"/>
    <d v="2024-10-08T00:00:00"/>
    <s v="Household Items"/>
    <s v="Orange Juice"/>
    <n v="3"/>
    <n v="347.77"/>
    <n v="1043.31"/>
    <n v="0"/>
    <n v="1043.31"/>
    <n v="4"/>
    <s v="07:38:59"/>
    <n v="8"/>
    <n v="10"/>
    <n v="2024"/>
    <d v="2024-10-08T00:00:00"/>
    <s v="Credit Card"/>
    <s v="M"/>
    <n v="3"/>
    <s v="Pune"/>
    <x v="1416"/>
  </r>
  <r>
    <n v="6269"/>
    <s v="SuperSave Central"/>
    <d v="2025-03-31T00:00:00"/>
    <s v="Beverages"/>
    <s v="Eggs"/>
    <n v="5"/>
    <n v="2408.66"/>
    <n v="12043.3"/>
    <n v="1806.08"/>
    <n v="10237.219999999999"/>
    <n v="319"/>
    <s v="19:15:33"/>
    <n v="31"/>
    <n v="3"/>
    <n v="2025"/>
    <d v="2025-03-31T00:00:00"/>
    <s v="Debit Card"/>
    <s v="F"/>
    <n v="1"/>
    <s v="Kolkata"/>
    <x v="1417"/>
  </r>
  <r>
    <n v="5637"/>
    <s v="City Fresh Store"/>
    <d v="2024-05-28T00:00:00"/>
    <s v="Frozen Foods"/>
    <s v="Bread"/>
    <n v="3"/>
    <n v="119.52"/>
    <n v="358.56"/>
    <n v="53.95"/>
    <n v="304.61"/>
    <n v="20"/>
    <s v="02:15:55"/>
    <n v="28"/>
    <n v="5"/>
    <n v="2024"/>
    <d v="2024-05-28T00:00:00"/>
    <s v="Debit Card"/>
    <s v="F"/>
    <n v="2"/>
    <s v="Pune"/>
    <x v="1418"/>
  </r>
  <r>
    <n v="8639"/>
    <s v="GreenGrocer Plaza"/>
    <d v="2024-09-24T00:00:00"/>
    <s v="Produce"/>
    <s v="Potatoes"/>
    <n v="3"/>
    <n v="94.62"/>
    <n v="283.86"/>
    <n v="166.83"/>
    <n v="117.03"/>
    <n v="180"/>
    <s v="10:05:19"/>
    <n v="24"/>
    <n v="9"/>
    <n v="2024"/>
    <d v="2024-09-24T00:00:00"/>
    <s v="Credit Card"/>
    <s v="F"/>
    <n v="4"/>
    <s v="Lucknow"/>
    <x v="1419"/>
  </r>
  <r>
    <n v="6886"/>
    <s v="MegaMart Westside"/>
    <d v="2024-04-02T00:00:00"/>
    <s v="Frozen Foods"/>
    <s v="Carrots"/>
    <n v="5"/>
    <n v="455.67"/>
    <n v="2278.35"/>
    <n v="455.67"/>
    <n v="1822.68"/>
    <n v="44"/>
    <s v="20:33:04"/>
    <n v="2"/>
    <n v="4"/>
    <n v="2024"/>
    <d v="2024-04-02T00:00:00"/>
    <s v="Debit Card"/>
    <s v="M"/>
    <n v="1"/>
    <s v="Pune"/>
    <x v="1420"/>
  </r>
  <r>
    <n v="5285"/>
    <s v="FamilyFood Express"/>
    <d v="2024-05-12T00:00:00"/>
    <s v="Snacks &amp; Candy"/>
    <s v="Bread"/>
    <n v="3"/>
    <n v="609.22"/>
    <n v="1827.66"/>
    <n v="365.2"/>
    <n v="1462.46"/>
    <n v="242"/>
    <s v="15:13:01"/>
    <n v="12"/>
    <n v="5"/>
    <n v="2024"/>
    <d v="2024-05-12T00:00:00"/>
    <s v="Cash"/>
    <s v="F"/>
    <n v="5"/>
    <s v="Kolkata"/>
    <x v="1421"/>
  </r>
  <r>
    <n v="9401"/>
    <s v="Corner Grocery"/>
    <d v="2025-06-22T00:00:00"/>
    <s v="Snacks &amp; Candy"/>
    <s v="Tomatoes"/>
    <n v="1"/>
    <n v="2231.87"/>
    <n v="2231.87"/>
    <n v="185.92"/>
    <n v="2045.95"/>
    <n v="471"/>
    <s v="01:49:28"/>
    <n v="22"/>
    <n v="6"/>
    <n v="2025"/>
    <d v="2025-06-22T00:00:00"/>
    <s v="Cash"/>
    <s v="M"/>
    <n v="2"/>
    <s v="Ahmedabad"/>
    <x v="1422"/>
  </r>
  <r>
    <n v="9147"/>
    <s v="Corner Grocery"/>
    <d v="2024-08-02T00:00:00"/>
    <s v="Health &amp; Wellness"/>
    <s v="Cereal"/>
    <n v="5"/>
    <n v="417.49"/>
    <n v="2087.4499999999998"/>
    <n v="312.91000000000003"/>
    <n v="1774.54"/>
    <n v="393"/>
    <s v="18:53:46"/>
    <n v="2"/>
    <n v="8"/>
    <n v="2024"/>
    <d v="2024-08-02T00:00:00"/>
    <s v="Credit Card"/>
    <s v="F"/>
    <n v="1"/>
    <s v="Hyderabad"/>
    <x v="1423"/>
  </r>
  <r>
    <n v="2615"/>
    <s v="SuperSave Central"/>
    <d v="2025-04-21T00:00:00"/>
    <s v="Snacks &amp; Candy"/>
    <s v="Onions"/>
    <n v="2"/>
    <n v="806.76"/>
    <n v="1613.52"/>
    <n v="390.93"/>
    <n v="1222.5899999999999"/>
    <n v="43"/>
    <s v="08:21:08"/>
    <n v="21"/>
    <n v="4"/>
    <n v="2025"/>
    <d v="2025-04-21T00:00:00"/>
    <s v="UPI"/>
    <s v="F"/>
    <n v="2"/>
    <s v="Jaipur"/>
    <x v="1424"/>
  </r>
  <r>
    <n v="8692"/>
    <s v="City Fresh Store"/>
    <d v="2025-03-20T00:00:00"/>
    <s v="Personal Care"/>
    <s v="Apples"/>
    <n v="4"/>
    <n v="1965.44"/>
    <n v="7861.76"/>
    <n v="128.65"/>
    <n v="7733.11"/>
    <n v="426"/>
    <s v="00:05:50"/>
    <n v="20"/>
    <n v="3"/>
    <n v="2025"/>
    <d v="2025-03-20T00:00:00"/>
    <s v="UPI"/>
    <s v="M"/>
    <n v="2"/>
    <s v="Delhi"/>
    <x v="1425"/>
  </r>
  <r>
    <n v="6246"/>
    <s v="City Fresh Store"/>
    <d v="2025-07-17T00:00:00"/>
    <s v="Canned Goods"/>
    <s v="Carrots"/>
    <n v="3"/>
    <n v="1209.31"/>
    <n v="3627.93"/>
    <n v="362.71"/>
    <n v="3265.22"/>
    <n v="218"/>
    <s v="20:34:13"/>
    <n v="17"/>
    <n v="7"/>
    <n v="2025"/>
    <d v="2025-07-17T00:00:00"/>
    <s v="Credit Card"/>
    <s v="M"/>
    <n v="3"/>
    <s v="Chennai"/>
    <x v="1426"/>
  </r>
  <r>
    <n v="4328"/>
    <s v="Corner Grocery"/>
    <d v="2024-05-20T00:00:00"/>
    <s v="Beverages"/>
    <s v="Bananas"/>
    <n v="5"/>
    <n v="146.08000000000001"/>
    <n v="730.4"/>
    <n v="333.66"/>
    <n v="396.74"/>
    <n v="392"/>
    <s v="00:17:51"/>
    <n v="20"/>
    <n v="5"/>
    <n v="2024"/>
    <d v="2024-05-20T00:00:00"/>
    <s v="Credit Card"/>
    <s v="F"/>
    <n v="2"/>
    <s v="Kolkata"/>
    <x v="1427"/>
  </r>
  <r>
    <n v="6126"/>
    <s v="QuickStop Market"/>
    <d v="2024-06-23T00:00:00"/>
    <s v="Bakery"/>
    <s v="Carrots"/>
    <n v="3"/>
    <n v="388.44"/>
    <n v="1165.32"/>
    <n v="333.66"/>
    <n v="831.66"/>
    <n v="278"/>
    <s v="03:10:36"/>
    <n v="23"/>
    <n v="6"/>
    <n v="2024"/>
    <d v="2024-06-23T00:00:00"/>
    <s v="Cash"/>
    <s v="F"/>
    <n v="3"/>
    <s v="Delhi"/>
    <x v="1428"/>
  </r>
  <r>
    <n v="1749"/>
    <s v="Corner Grocery"/>
    <d v="2024-10-16T00:00:00"/>
    <s v="Meat &amp; Seafood"/>
    <s v="Tomatoes"/>
    <n v="1"/>
    <n v="1196.03"/>
    <n v="1196.03"/>
    <n v="111.22"/>
    <n v="1084.81"/>
    <n v="390"/>
    <s v="09:28:39"/>
    <n v="16"/>
    <n v="10"/>
    <n v="2024"/>
    <d v="2024-10-16T00:00:00"/>
    <s v="UPI"/>
    <s v="F"/>
    <n v="4"/>
    <s v="Ahmedabad"/>
    <x v="1429"/>
  </r>
  <r>
    <n v="4625"/>
    <s v="QuickStop Market"/>
    <d v="2025-03-04T00:00:00"/>
    <s v="Health &amp; Wellness"/>
    <s v="Chicken Breast"/>
    <n v="3"/>
    <n v="1513.09"/>
    <n v="4539.2700000000004"/>
    <n v="243.19"/>
    <n v="4296.08"/>
    <n v="420"/>
    <s v="20:20:21"/>
    <n v="4"/>
    <n v="3"/>
    <n v="2025"/>
    <d v="2025-03-04T00:00:00"/>
    <s v="Debit Card"/>
    <s v="M"/>
    <n v="3"/>
    <s v="Lucknow"/>
    <x v="1430"/>
  </r>
  <r>
    <n v="3390"/>
    <s v="MegaMart Westside"/>
    <d v="2023-08-19T00:00:00"/>
    <s v="Produce"/>
    <s v="Chicken Breast"/>
    <n v="5"/>
    <n v="1705.65"/>
    <n v="8528.25"/>
    <n v="0"/>
    <n v="8528.25"/>
    <n v="378"/>
    <s v="13:56:12"/>
    <n v="19"/>
    <n v="8"/>
    <n v="2023"/>
    <d v="2023-08-19T00:00:00"/>
    <s v="Cash"/>
    <s v="M"/>
    <n v="5"/>
    <s v="Pune"/>
    <x v="1431"/>
  </r>
  <r>
    <n v="5272"/>
    <s v="FamilyFood Express"/>
    <d v="2024-10-09T00:00:00"/>
    <s v="Personal Care"/>
    <s v="Eggs"/>
    <n v="5"/>
    <n v="1864.18"/>
    <n v="9320.9"/>
    <n v="1864.18"/>
    <n v="7456.72"/>
    <n v="253"/>
    <s v="08:51:35"/>
    <n v="9"/>
    <n v="10"/>
    <n v="2024"/>
    <d v="2024-10-09T00:00:00"/>
    <s v="Credit Card"/>
    <s v="M"/>
    <n v="1"/>
    <s v="Jaipur"/>
    <x v="1432"/>
  </r>
  <r>
    <n v="7841"/>
    <s v="SuperSave Central"/>
    <d v="2024-03-23T00:00:00"/>
    <s v="Frozen Foods"/>
    <s v="Rice"/>
    <n v="1"/>
    <n v="2021.05"/>
    <n v="2021.05"/>
    <n v="105.41"/>
    <n v="1915.64"/>
    <n v="319"/>
    <s v="04:28:55"/>
    <n v="23"/>
    <n v="3"/>
    <n v="2024"/>
    <d v="2024-03-23T00:00:00"/>
    <s v="UPI"/>
    <s v="M"/>
    <n v="4"/>
    <s v="Ahmedabad"/>
    <x v="1433"/>
  </r>
  <r>
    <n v="3497"/>
    <s v="SuperSave Central"/>
    <d v="2024-01-06T00:00:00"/>
    <s v="Household Items"/>
    <s v="Chicken Breast"/>
    <n v="5"/>
    <n v="315.39999999999998"/>
    <n v="1577"/>
    <n v="157.69999999999999"/>
    <n v="1419.3"/>
    <n v="104"/>
    <s v="22:40:17"/>
    <n v="6"/>
    <n v="1"/>
    <n v="2024"/>
    <d v="2024-01-06T00:00:00"/>
    <s v="Debit Card"/>
    <s v="M"/>
    <n v="4"/>
    <s v="Mumbai"/>
    <x v="1434"/>
  </r>
  <r>
    <n v="6404"/>
    <s v="FreshMart Downtown"/>
    <d v="2024-02-01T00:00:00"/>
    <s v="Personal Care"/>
    <s v="Salmon"/>
    <n v="4"/>
    <n v="215.8"/>
    <n v="863.2"/>
    <n v="86.32"/>
    <n v="776.88"/>
    <n v="62"/>
    <s v="20:41:34"/>
    <n v="1"/>
    <n v="2"/>
    <n v="2024"/>
    <d v="2024-02-01T00:00:00"/>
    <s v="Debit Card"/>
    <s v="M"/>
    <n v="5"/>
    <s v="Hyderabad"/>
    <x v="1435"/>
  </r>
  <r>
    <n v="7223"/>
    <s v="City Fresh Store"/>
    <d v="2024-10-22T00:00:00"/>
    <s v="Meat &amp; Seafood"/>
    <s v="Ground Beef"/>
    <n v="5"/>
    <n v="708.82"/>
    <n v="3544.1"/>
    <n v="0"/>
    <n v="3544.1"/>
    <n v="313"/>
    <s v="01:10:42"/>
    <n v="22"/>
    <n v="10"/>
    <n v="2024"/>
    <d v="2024-10-22T00:00:00"/>
    <s v="Cash"/>
    <s v="F"/>
    <n v="3"/>
    <s v="Kolkata"/>
    <x v="1436"/>
  </r>
  <r>
    <n v="5026"/>
    <s v="GreenGrocer Plaza"/>
    <d v="2024-08-28T00:00:00"/>
    <s v="Snacks &amp; Candy"/>
    <s v="Eggs"/>
    <n v="1"/>
    <n v="527.04999999999995"/>
    <n v="527.04999999999995"/>
    <n v="105.41"/>
    <n v="421.64"/>
    <n v="419"/>
    <s v="02:16:16"/>
    <n v="28"/>
    <n v="8"/>
    <n v="2024"/>
    <d v="2024-08-28T00:00:00"/>
    <s v="UPI"/>
    <s v="F"/>
    <n v="1"/>
    <s v="Lucknow"/>
    <x v="1437"/>
  </r>
  <r>
    <n v="6530"/>
    <s v="ValuePlus Market"/>
    <d v="2024-02-22T00:00:00"/>
    <s v="Personal Care"/>
    <s v="Yogurt"/>
    <n v="4"/>
    <n v="1238.3599999999999"/>
    <n v="4953.4399999999996"/>
    <n v="246.51"/>
    <n v="4706.93"/>
    <n v="148"/>
    <s v="17:38:12"/>
    <n v="22"/>
    <n v="2"/>
    <n v="2024"/>
    <d v="2024-02-22T00:00:00"/>
    <s v="UPI"/>
    <s v="M"/>
    <n v="3"/>
    <s v="Mumbai"/>
    <x v="1438"/>
  </r>
  <r>
    <n v="9005"/>
    <s v="QuickStop Market"/>
    <d v="2025-02-19T00:00:00"/>
    <s v="Snacks &amp; Candy"/>
    <s v="Tomatoes"/>
    <n v="1"/>
    <n v="1198.52"/>
    <n v="1198.52"/>
    <n v="239.87"/>
    <n v="958.65"/>
    <n v="416"/>
    <s v="14:52:52"/>
    <n v="19"/>
    <n v="2"/>
    <n v="2025"/>
    <d v="2025-02-19T00:00:00"/>
    <s v="Credit Card"/>
    <s v="F"/>
    <n v="2"/>
    <s v="Mumbai"/>
    <x v="1439"/>
  </r>
  <r>
    <n v="9037"/>
    <s v="FreshMart Downtown"/>
    <d v="2024-07-29T00:00:00"/>
    <s v="Frozen Foods"/>
    <s v="Salmon"/>
    <n v="1"/>
    <n v="1440.05"/>
    <n v="1440.05"/>
    <n v="297.14"/>
    <n v="1142.9100000000001"/>
    <n v="5"/>
    <s v="10:29:45"/>
    <n v="29"/>
    <n v="7"/>
    <n v="2024"/>
    <d v="2024-07-29T00:00:00"/>
    <s v="UPI"/>
    <s v="F"/>
    <n v="3"/>
    <s v="Hyderabad"/>
    <x v="1440"/>
  </r>
  <r>
    <n v="3756"/>
    <s v="City Fresh Store"/>
    <d v="2025-02-26T00:00:00"/>
    <s v="Produce"/>
    <s v="Orange Juice"/>
    <n v="2"/>
    <n v="1208.48"/>
    <n v="2416.96"/>
    <n v="362.71"/>
    <n v="2054.25"/>
    <n v="370"/>
    <s v="08:58:19"/>
    <n v="26"/>
    <n v="2"/>
    <n v="2025"/>
    <d v="2025-02-26T00:00:00"/>
    <s v="UPI"/>
    <s v="M"/>
    <n v="4"/>
    <s v="Ahmedabad"/>
    <x v="1441"/>
  </r>
  <r>
    <n v="6770"/>
    <s v="FreshMart Downtown"/>
    <d v="2023-12-16T00:00:00"/>
    <s v="Meat &amp; Seafood"/>
    <s v="Orange Juice"/>
    <n v="5"/>
    <n v="2142.23"/>
    <n v="10711.15"/>
    <n v="1606.88"/>
    <n v="9104.27"/>
    <n v="257"/>
    <s v="13:57:51"/>
    <n v="16"/>
    <n v="12"/>
    <n v="2023"/>
    <d v="2023-12-16T00:00:00"/>
    <s v="Cash"/>
    <s v="F"/>
    <n v="1"/>
    <s v="Hyderabad"/>
    <x v="1442"/>
  </r>
  <r>
    <n v="3293"/>
    <s v="ValuePlus Market"/>
    <d v="2025-02-16T00:00:00"/>
    <s v="Snacks &amp; Candy"/>
    <s v="Carrots"/>
    <n v="1"/>
    <n v="502.15"/>
    <n v="502.15"/>
    <n v="0"/>
    <n v="502.15"/>
    <n v="77"/>
    <s v="20:24:13"/>
    <n v="16"/>
    <n v="2"/>
    <n v="2025"/>
    <d v="2025-02-16T00:00:00"/>
    <s v="UPI"/>
    <s v="M"/>
    <n v="3"/>
    <s v="Bangalore"/>
    <x v="1443"/>
  </r>
  <r>
    <n v="9954"/>
    <s v="MegaMart Westside"/>
    <d v="2024-08-20T00:00:00"/>
    <s v="Beverages"/>
    <s v="Eggs"/>
    <n v="3"/>
    <n v="1971.25"/>
    <n v="5913.75"/>
    <n v="590.96"/>
    <n v="5322.79"/>
    <n v="337"/>
    <s v="18:41:57"/>
    <n v="20"/>
    <n v="8"/>
    <n v="2024"/>
    <d v="2024-08-20T00:00:00"/>
    <s v="Debit Card"/>
    <s v="M"/>
    <n v="1"/>
    <s v="Ahmedabad"/>
    <x v="1444"/>
  </r>
  <r>
    <n v="4015"/>
    <s v="GreenGrocer Plaza"/>
    <d v="2025-07-19T00:00:00"/>
    <s v="Health &amp; Wellness"/>
    <s v="Potatoes"/>
    <n v="4"/>
    <n v="2398.6999999999998"/>
    <n v="9594.7999999999993"/>
    <n v="317.89"/>
    <n v="9276.91"/>
    <n v="310"/>
    <s v="06:00:53"/>
    <n v="19"/>
    <n v="7"/>
    <n v="2025"/>
    <d v="2025-07-19T00:00:00"/>
    <s v="Cash"/>
    <s v="F"/>
    <n v="1"/>
    <s v="Ahmedabad"/>
    <x v="1445"/>
  </r>
  <r>
    <n v="9882"/>
    <s v="ValuePlus Market"/>
    <d v="2024-12-17T00:00:00"/>
    <s v="Health &amp; Wellness"/>
    <s v="Carrots"/>
    <n v="3"/>
    <n v="393.42"/>
    <n v="1180.26"/>
    <n v="288.01"/>
    <n v="892.25"/>
    <n v="165"/>
    <s v="07:14:16"/>
    <n v="17"/>
    <n v="12"/>
    <n v="2024"/>
    <d v="2024-12-17T00:00:00"/>
    <s v="Cash"/>
    <s v="M"/>
    <n v="2"/>
    <s v="Chennai"/>
    <x v="1446"/>
  </r>
  <r>
    <n v="1962"/>
    <s v="Corner Grocery"/>
    <d v="2024-09-16T00:00:00"/>
    <s v="Dairy"/>
    <s v="Milk"/>
    <n v="1"/>
    <n v="2133.1"/>
    <n v="2133.1"/>
    <n v="303.77999999999997"/>
    <n v="1829.32"/>
    <n v="81"/>
    <s v="17:45:07"/>
    <n v="16"/>
    <n v="9"/>
    <n v="2024"/>
    <d v="2024-09-16T00:00:00"/>
    <s v="Credit Card"/>
    <s v="M"/>
    <n v="2"/>
    <s v="Delhi"/>
    <x v="1447"/>
  </r>
  <r>
    <n v="1554"/>
    <s v="City Fresh Store"/>
    <d v="2025-05-19T00:00:00"/>
    <s v="Health &amp; Wellness"/>
    <s v="Potatoes"/>
    <n v="3"/>
    <n v="1911.49"/>
    <n v="5734.47"/>
    <n v="381.8"/>
    <n v="5352.67"/>
    <n v="395"/>
    <s v="00:45:14"/>
    <n v="19"/>
    <n v="5"/>
    <n v="2025"/>
    <d v="2025-05-19T00:00:00"/>
    <s v="UPI"/>
    <s v="M"/>
    <n v="4"/>
    <s v="Mumbai"/>
    <x v="1448"/>
  </r>
  <r>
    <n v="2217"/>
    <s v="SuperSave Central"/>
    <d v="2025-05-03T00:00:00"/>
    <s v="Snacks &amp; Candy"/>
    <s v="Cheese"/>
    <n v="1"/>
    <n v="231.57"/>
    <n v="231.57"/>
    <n v="364.37"/>
    <n v="-132.80000000000001"/>
    <n v="128"/>
    <s v="08:38:45"/>
    <n v="3"/>
    <n v="5"/>
    <n v="2025"/>
    <d v="2025-05-03T00:00:00"/>
    <s v="Credit Card"/>
    <s v="M"/>
    <n v="5"/>
    <s v="Pune"/>
    <x v="1449"/>
  </r>
  <r>
    <n v="1794"/>
    <s v="QuickStop Market"/>
    <d v="2025-03-22T00:00:00"/>
    <s v="Beverages"/>
    <s v="Orange Juice"/>
    <n v="5"/>
    <n v="1601.9"/>
    <n v="8009.5"/>
    <n v="1201.01"/>
    <n v="6808.49"/>
    <n v="15"/>
    <s v="10:13:34"/>
    <n v="22"/>
    <n v="3"/>
    <n v="2025"/>
    <d v="2025-03-22T00:00:00"/>
    <s v="Debit Card"/>
    <s v="M"/>
    <n v="1"/>
    <s v="Kolkata"/>
    <x v="1450"/>
  </r>
  <r>
    <n v="1104"/>
    <s v="GreenGrocer Plaza"/>
    <d v="2024-06-22T00:00:00"/>
    <s v="Beverages"/>
    <s v="Tomatoes"/>
    <n v="2"/>
    <n v="2462.61"/>
    <n v="4925.22"/>
    <n v="985.21"/>
    <n v="3940.01"/>
    <n v="293"/>
    <s v="16:27:24"/>
    <n v="22"/>
    <n v="6"/>
    <n v="2024"/>
    <d v="2024-06-22T00:00:00"/>
    <s v="Cash"/>
    <s v="M"/>
    <n v="5"/>
    <s v="Bangalore"/>
    <x v="1451"/>
  </r>
  <r>
    <n v="3252"/>
    <s v="QuickStop Market"/>
    <d v="2025-05-22T00:00:00"/>
    <s v="Beverages"/>
    <s v="Salmon"/>
    <n v="3"/>
    <n v="624.99"/>
    <n v="1874.97"/>
    <n v="187.58"/>
    <n v="1687.39"/>
    <n v="379"/>
    <s v="20:12:40"/>
    <n v="22"/>
    <n v="5"/>
    <n v="2025"/>
    <d v="2025-05-22T00:00:00"/>
    <s v="Cash"/>
    <s v="M"/>
    <n v="4"/>
    <s v="Bangalore"/>
    <x v="1452"/>
  </r>
  <r>
    <n v="4791"/>
    <s v="ValuePlus Market"/>
    <d v="2023-09-28T00:00:00"/>
    <s v="Bakery"/>
    <s v="Bread"/>
    <n v="5"/>
    <n v="140.27000000000001"/>
    <n v="701.35"/>
    <n v="140.27000000000001"/>
    <n v="561.08000000000004"/>
    <n v="491"/>
    <s v="02:18:29"/>
    <n v="28"/>
    <n v="9"/>
    <n v="2023"/>
    <d v="2023-09-28T00:00:00"/>
    <s v="Cash"/>
    <s v="M"/>
    <n v="1"/>
    <s v="Kolkata"/>
    <x v="1453"/>
  </r>
  <r>
    <n v="3474"/>
    <s v="FreshMart Downtown"/>
    <d v="2023-08-14T00:00:00"/>
    <s v="Meat &amp; Seafood"/>
    <s v="Bananas"/>
    <n v="3"/>
    <n v="1946.35"/>
    <n v="5839.05"/>
    <n v="875.65"/>
    <n v="4963.3999999999996"/>
    <n v="290"/>
    <s v="23:50:10"/>
    <n v="14"/>
    <n v="8"/>
    <n v="2023"/>
    <d v="2023-08-14T00:00:00"/>
    <s v="Debit Card"/>
    <s v="F"/>
    <n v="1"/>
    <s v="Jaipur"/>
    <x v="1454"/>
  </r>
  <r>
    <n v="4583"/>
    <s v="SuperSave Central"/>
    <d v="2024-09-02T00:00:00"/>
    <s v="Health &amp; Wellness"/>
    <s v="Carrots"/>
    <n v="4"/>
    <n v="539.5"/>
    <n v="2158"/>
    <n v="200.03"/>
    <n v="1957.97"/>
    <n v="106"/>
    <s v="03:15:15"/>
    <n v="2"/>
    <n v="9"/>
    <n v="2024"/>
    <d v="2024-09-02T00:00:00"/>
    <s v="Debit Card"/>
    <s v="F"/>
    <n v="5"/>
    <s v="Hyderabad"/>
    <x v="1455"/>
  </r>
  <r>
    <n v="8471"/>
    <s v="ValuePlus Market"/>
    <d v="2024-05-22T00:00:00"/>
    <s v="Meat &amp; Seafood"/>
    <s v="Bread"/>
    <n v="4"/>
    <n v="1111.3699999999999"/>
    <n v="4445.4799999999996"/>
    <n v="108.73"/>
    <n v="4336.75"/>
    <n v="192"/>
    <s v="06:01:33"/>
    <n v="22"/>
    <n v="5"/>
    <n v="2024"/>
    <d v="2024-05-22T00:00:00"/>
    <s v="Credit Card"/>
    <s v="F"/>
    <n v="3"/>
    <s v="Jaipur"/>
    <x v="1456"/>
  </r>
  <r>
    <n v="1990"/>
    <s v="ValuePlus Market"/>
    <d v="2024-11-28T00:00:00"/>
    <s v="Frozen Foods"/>
    <s v="Chicken Breast"/>
    <n v="1"/>
    <n v="1282.3499999999999"/>
    <n v="1282.3499999999999"/>
    <n v="157.69999999999999"/>
    <n v="1124.6500000000001"/>
    <n v="26"/>
    <s v="17:11:54"/>
    <n v="28"/>
    <n v="11"/>
    <n v="2024"/>
    <d v="2024-11-28T00:00:00"/>
    <s v="Credit Card"/>
    <s v="M"/>
    <n v="2"/>
    <s v="Jaipur"/>
    <x v="1457"/>
  </r>
  <r>
    <n v="8916"/>
    <s v="QuickStop Market"/>
    <d v="2024-12-31T00:00:00"/>
    <s v="Frozen Foods"/>
    <s v="Tomatoes"/>
    <n v="3"/>
    <n v="245.68"/>
    <n v="737.04"/>
    <n v="110.39"/>
    <n v="626.65"/>
    <n v="446"/>
    <s v="03:29:55"/>
    <n v="31"/>
    <n v="12"/>
    <n v="2024"/>
    <d v="2024-12-31T00:00:00"/>
    <s v="Credit Card"/>
    <s v="M"/>
    <n v="3"/>
    <s v="Chennai"/>
    <x v="1458"/>
  </r>
  <r>
    <n v="8993"/>
    <s v="GreenGrocer Plaza"/>
    <d v="2023-08-19T00:00:00"/>
    <s v="Personal Care"/>
    <s v="Ground Beef"/>
    <n v="5"/>
    <n v="2324.83"/>
    <n v="11624.15"/>
    <n v="1162.83"/>
    <n v="10461.32"/>
    <n v="256"/>
    <s v="10:07:07"/>
    <n v="19"/>
    <n v="8"/>
    <n v="2023"/>
    <d v="2023-08-19T00:00:00"/>
    <s v="UPI"/>
    <s v="F"/>
    <n v="5"/>
    <s v="Delhi"/>
    <x v="1459"/>
  </r>
  <r>
    <n v="1108"/>
    <s v="FreshMart Downtown"/>
    <d v="2024-09-23T00:00:00"/>
    <s v="Personal Care"/>
    <s v="Chicken Breast"/>
    <n v="5"/>
    <n v="1215.95"/>
    <n v="6079.75"/>
    <n v="0"/>
    <n v="6079.75"/>
    <n v="469"/>
    <s v="14:59:53"/>
    <n v="23"/>
    <n v="9"/>
    <n v="2024"/>
    <d v="2024-09-23T00:00:00"/>
    <s v="Cash"/>
    <s v="F"/>
    <n v="2"/>
    <s v="Kolkata"/>
    <x v="1460"/>
  </r>
  <r>
    <n v="7739"/>
    <s v="FreshMart Downtown"/>
    <d v="2023-08-16T00:00:00"/>
    <s v="Produce"/>
    <s v="Cereal"/>
    <n v="4"/>
    <n v="710.48"/>
    <n v="2841.92"/>
    <n v="568.54999999999995"/>
    <n v="2273.37"/>
    <n v="171"/>
    <s v="01:29:21"/>
    <n v="16"/>
    <n v="8"/>
    <n v="2023"/>
    <d v="2023-08-16T00:00:00"/>
    <s v="Cash"/>
    <s v="F"/>
    <n v="3"/>
    <s v="Mumbai"/>
    <x v="1461"/>
  </r>
  <r>
    <n v="1274"/>
    <s v="FamilyFood Express"/>
    <d v="2024-09-21T00:00:00"/>
    <s v="Personal Care"/>
    <s v="Cereal"/>
    <n v="1"/>
    <n v="649.05999999999995"/>
    <n v="649.05999999999995"/>
    <n v="97.11"/>
    <n v="551.95000000000005"/>
    <n v="37"/>
    <s v="10:27:16"/>
    <n v="21"/>
    <n v="9"/>
    <n v="2024"/>
    <d v="2024-09-21T00:00:00"/>
    <s v="Credit Card"/>
    <s v="M"/>
    <n v="2"/>
    <s v="Kolkata"/>
    <x v="1462"/>
  </r>
  <r>
    <n v="5501"/>
    <s v="GreenGrocer Plaza"/>
    <d v="2024-09-26T00:00:00"/>
    <s v="Snacks &amp; Candy"/>
    <s v="Bread"/>
    <n v="5"/>
    <n v="1234.21"/>
    <n v="6171.05"/>
    <n v="0"/>
    <n v="6171.05"/>
    <n v="66"/>
    <s v="17:51:53"/>
    <n v="26"/>
    <n v="9"/>
    <n v="2024"/>
    <d v="2024-09-26T00:00:00"/>
    <s v="Cash"/>
    <s v="F"/>
    <n v="1"/>
    <s v="Mumbai"/>
    <x v="1463"/>
  </r>
  <r>
    <n v="5697"/>
    <s v="FreshMart Downtown"/>
    <d v="2023-08-20T00:00:00"/>
    <s v="Dairy"/>
    <s v="Milk"/>
    <n v="4"/>
    <n v="1303.93"/>
    <n v="5215.72"/>
    <n v="521.24"/>
    <n v="4694.4799999999996"/>
    <n v="332"/>
    <s v="02:35:09"/>
    <n v="20"/>
    <n v="8"/>
    <n v="2023"/>
    <d v="2023-08-20T00:00:00"/>
    <s v="Credit Card"/>
    <s v="F"/>
    <n v="3"/>
    <s v="Pune"/>
    <x v="1464"/>
  </r>
  <r>
    <n v="9228"/>
    <s v="City Fresh Store"/>
    <d v="2025-04-29T00:00:00"/>
    <s v="Frozen Foods"/>
    <s v="Ground Beef"/>
    <n v="1"/>
    <n v="2324"/>
    <n v="2324"/>
    <n v="284.69"/>
    <n v="2039.31"/>
    <n v="13"/>
    <s v="03:03:57"/>
    <n v="29"/>
    <n v="4"/>
    <n v="2025"/>
    <d v="2025-04-29T00:00:00"/>
    <s v="UPI"/>
    <s v="M"/>
    <n v="2"/>
    <s v="Delhi"/>
    <x v="1465"/>
  </r>
  <r>
    <n v="8054"/>
    <s v="Corner Grocery"/>
    <d v="2025-04-24T00:00:00"/>
    <s v="Health &amp; Wellness"/>
    <s v="Bananas"/>
    <n v="5"/>
    <n v="1242.51"/>
    <n v="6212.55"/>
    <n v="0"/>
    <n v="6212.55"/>
    <n v="198"/>
    <s v="12:10:41"/>
    <n v="24"/>
    <n v="4"/>
    <n v="2025"/>
    <d v="2025-04-24T00:00:00"/>
    <s v="UPI"/>
    <s v="F"/>
    <n v="2"/>
    <s v="Chennai"/>
    <x v="1466"/>
  </r>
  <r>
    <n v="3937"/>
    <s v="SuperSave Central"/>
    <d v="2023-10-29T00:00:00"/>
    <s v="Snacks &amp; Candy"/>
    <s v="Cheese"/>
    <n v="5"/>
    <n v="414.17"/>
    <n v="2070.85"/>
    <n v="409.19"/>
    <n v="1661.66"/>
    <n v="224"/>
    <s v="09:15:01"/>
    <n v="29"/>
    <n v="10"/>
    <n v="2023"/>
    <d v="2023-10-29T00:00:00"/>
    <s v="Debit Card"/>
    <s v="M"/>
    <n v="2"/>
    <s v="Lucknow"/>
    <x v="1467"/>
  </r>
  <r>
    <n v="2578"/>
    <s v="MegaMart Westside"/>
    <d v="2024-09-17T00:00:00"/>
    <s v="Canned Goods"/>
    <s v="Yogurt"/>
    <n v="3"/>
    <n v="1132.95"/>
    <n v="3398.85"/>
    <n v="679.77"/>
    <n v="2719.08"/>
    <n v="29"/>
    <s v="21:31:17"/>
    <n v="17"/>
    <n v="9"/>
    <n v="2024"/>
    <d v="2024-09-17T00:00:00"/>
    <s v="UPI"/>
    <s v="M"/>
    <n v="3"/>
    <s v="Kolkata"/>
    <x v="1468"/>
  </r>
  <r>
    <n v="3439"/>
    <s v="GreenGrocer Plaza"/>
    <d v="2024-02-10T00:00:00"/>
    <s v="Household Items"/>
    <s v="Bananas"/>
    <n v="2"/>
    <n v="1076.51"/>
    <n v="2153.02"/>
    <n v="372.67"/>
    <n v="1780.35"/>
    <n v="385"/>
    <s v="04:33:42"/>
    <n v="10"/>
    <n v="2"/>
    <n v="2024"/>
    <d v="2024-02-10T00:00:00"/>
    <s v="Credit Card"/>
    <s v="M"/>
    <n v="4"/>
    <s v="Lucknow"/>
    <x v="1469"/>
  </r>
  <r>
    <n v="4144"/>
    <s v="FamilyFood Express"/>
    <d v="2024-11-30T00:00:00"/>
    <s v="Produce"/>
    <s v="Bread"/>
    <n v="1"/>
    <n v="386.78"/>
    <n v="386.78"/>
    <n v="187.58"/>
    <n v="199.2"/>
    <n v="92"/>
    <s v="04:02:29"/>
    <n v="30"/>
    <n v="11"/>
    <n v="2024"/>
    <d v="2024-11-30T00:00:00"/>
    <s v="UPI"/>
    <s v="F"/>
    <n v="3"/>
    <s v="Kolkata"/>
    <x v="1470"/>
  </r>
  <r>
    <n v="9625"/>
    <s v="FamilyFood Express"/>
    <d v="2024-02-19T00:00:00"/>
    <s v="Frozen Foods"/>
    <s v="Eggs"/>
    <n v="5"/>
    <n v="1039.99"/>
    <n v="5199.95"/>
    <n v="0"/>
    <n v="5199.95"/>
    <n v="336"/>
    <s v="07:38:39"/>
    <n v="19"/>
    <n v="2"/>
    <n v="2024"/>
    <d v="2024-02-19T00:00:00"/>
    <s v="Debit Card"/>
    <s v="F"/>
    <n v="5"/>
    <s v="Kolkata"/>
    <x v="1471"/>
  </r>
  <r>
    <n v="6807"/>
    <s v="GreenGrocer Plaza"/>
    <d v="2024-03-01T00:00:00"/>
    <s v="Dairy"/>
    <s v="Pasta"/>
    <n v="5"/>
    <n v="577.67999999999995"/>
    <n v="2888.4"/>
    <n v="577.67999999999995"/>
    <n v="2310.7199999999998"/>
    <n v="361"/>
    <s v="16:18:32"/>
    <n v="1"/>
    <n v="3"/>
    <n v="2024"/>
    <d v="2024-03-01T00:00:00"/>
    <s v="Cash"/>
    <s v="M"/>
    <n v="3"/>
    <s v="Ahmedabad"/>
    <x v="1472"/>
  </r>
  <r>
    <n v="7502"/>
    <s v="City Fresh Store"/>
    <d v="2023-10-07T00:00:00"/>
    <s v="Frozen Foods"/>
    <s v="Orange Juice"/>
    <n v="5"/>
    <n v="786.84"/>
    <n v="3934.2"/>
    <n v="379.31"/>
    <n v="3554.89"/>
    <n v="334"/>
    <s v="15:15:07"/>
    <n v="7"/>
    <n v="10"/>
    <n v="2023"/>
    <d v="2023-10-07T00:00:00"/>
    <s v="Credit Card"/>
    <s v="F"/>
    <n v="2"/>
    <s v="Delhi"/>
    <x v="1473"/>
  </r>
  <r>
    <n v="7112"/>
    <s v="MegaMart Westside"/>
    <d v="2024-06-17T00:00:00"/>
    <s v="Personal Care"/>
    <s v="Carrots"/>
    <n v="1"/>
    <n v="212.48"/>
    <n v="212.48"/>
    <n v="0"/>
    <n v="212.48"/>
    <n v="461"/>
    <s v="21:21:40"/>
    <n v="17"/>
    <n v="6"/>
    <n v="2024"/>
    <d v="2024-06-17T00:00:00"/>
    <s v="Cash"/>
    <s v="F"/>
    <n v="1"/>
    <s v="Kolkata"/>
    <x v="1474"/>
  </r>
  <r>
    <n v="8520"/>
    <s v="City Fresh Store"/>
    <d v="2024-10-18T00:00:00"/>
    <s v="Frozen Foods"/>
    <s v="Bread"/>
    <n v="2"/>
    <n v="2277.52"/>
    <n v="4555.04"/>
    <n v="683.09"/>
    <n v="3871.95"/>
    <n v="430"/>
    <s v="10:38:38"/>
    <n v="18"/>
    <n v="10"/>
    <n v="2024"/>
    <d v="2024-10-18T00:00:00"/>
    <s v="Debit Card"/>
    <s v="F"/>
    <n v="3"/>
    <s v="Mumbai"/>
    <x v="1475"/>
  </r>
  <r>
    <n v="4984"/>
    <s v="ValuePlus Market"/>
    <d v="2025-01-29T00:00:00"/>
    <s v="Bakery"/>
    <s v="Chicken Breast"/>
    <n v="3"/>
    <n v="1826.83"/>
    <n v="5480.49"/>
    <n v="407.53"/>
    <n v="5072.96"/>
    <n v="403"/>
    <s v="20:52:56"/>
    <n v="29"/>
    <n v="1"/>
    <n v="2025"/>
    <d v="2025-01-29T00:00:00"/>
    <s v="Debit Card"/>
    <s v="F"/>
    <n v="3"/>
    <s v="Chennai"/>
    <x v="1476"/>
  </r>
  <r>
    <n v="4700"/>
    <s v="City Fresh Store"/>
    <d v="2024-03-26T00:00:00"/>
    <s v="Health &amp; Wellness"/>
    <s v="Salmon"/>
    <n v="1"/>
    <n v="133.63"/>
    <n v="133.63"/>
    <n v="19.920000000000002"/>
    <n v="113.71"/>
    <n v="428"/>
    <s v="04:23:38"/>
    <n v="26"/>
    <n v="3"/>
    <n v="2024"/>
    <d v="2024-03-26T00:00:00"/>
    <s v="Debit Card"/>
    <s v="M"/>
    <n v="2"/>
    <s v="Bangalore"/>
    <x v="1477"/>
  </r>
  <r>
    <n v="2320"/>
    <s v="QuickStop Market"/>
    <d v="2024-12-26T00:00:00"/>
    <s v="Household Items"/>
    <s v="Tomatoes"/>
    <n v="3"/>
    <n v="2073.34"/>
    <n v="6220.02"/>
    <n v="932.92"/>
    <n v="5287.1"/>
    <n v="43"/>
    <s v="14:11:34"/>
    <n v="26"/>
    <n v="12"/>
    <n v="2024"/>
    <d v="2024-12-26T00:00:00"/>
    <s v="Cash"/>
    <s v="F"/>
    <n v="1"/>
    <s v="Lucknow"/>
    <x v="1478"/>
  </r>
  <r>
    <n v="1519"/>
    <s v="Corner Grocery"/>
    <d v="2023-10-18T00:00:00"/>
    <s v="Beverages"/>
    <s v="Bananas"/>
    <n v="4"/>
    <n v="1008.45"/>
    <n v="4033.8"/>
    <n v="806.76"/>
    <n v="3227.04"/>
    <n v="22"/>
    <s v="20:31:40"/>
    <n v="18"/>
    <n v="10"/>
    <n v="2023"/>
    <d v="2023-10-18T00:00:00"/>
    <s v="Cash"/>
    <s v="M"/>
    <n v="1"/>
    <s v="Pune"/>
    <x v="1479"/>
  </r>
  <r>
    <n v="7640"/>
    <s v="Corner Grocery"/>
    <d v="2024-05-27T00:00:00"/>
    <s v="Meat &amp; Seafood"/>
    <s v="Cheese"/>
    <n v="5"/>
    <n v="208.33"/>
    <n v="1041.6500000000001"/>
    <n v="336.15"/>
    <n v="705.5"/>
    <n v="156"/>
    <s v="05:21:12"/>
    <n v="27"/>
    <n v="5"/>
    <n v="2024"/>
    <d v="2024-05-27T00:00:00"/>
    <s v="Cash"/>
    <s v="M"/>
    <n v="5"/>
    <s v="Chennai"/>
    <x v="1480"/>
  </r>
  <r>
    <n v="7179"/>
    <s v="FreshMart Downtown"/>
    <d v="2024-10-09T00:00:00"/>
    <s v="Household Items"/>
    <s v="Cereal"/>
    <n v="3"/>
    <n v="2032.67"/>
    <n v="6098.01"/>
    <n v="195.88"/>
    <n v="5902.13"/>
    <n v="302"/>
    <s v="15:54:42"/>
    <n v="9"/>
    <n v="10"/>
    <n v="2024"/>
    <d v="2024-10-09T00:00:00"/>
    <s v="Cash"/>
    <s v="F"/>
    <n v="3"/>
    <s v="Delhi"/>
    <x v="1481"/>
  </r>
  <r>
    <n v="8798"/>
    <s v="Corner Grocery"/>
    <d v="2023-09-19T00:00:00"/>
    <s v="Snacks &amp; Candy"/>
    <s v="Milk"/>
    <n v="1"/>
    <n v="1414.32"/>
    <n v="1414.32"/>
    <n v="236.55"/>
    <n v="1177.77"/>
    <n v="487"/>
    <s v="03:16:28"/>
    <n v="19"/>
    <n v="9"/>
    <n v="2023"/>
    <d v="2023-09-19T00:00:00"/>
    <s v="Debit Card"/>
    <s v="M"/>
    <n v="1"/>
    <s v="Kolkata"/>
    <x v="1482"/>
  </r>
  <r>
    <n v="1154"/>
    <s v="ValuePlus Market"/>
    <d v="2025-02-02T00:00:00"/>
    <s v="Frozen Foods"/>
    <s v="Apples"/>
    <n v="4"/>
    <n v="1206.82"/>
    <n v="4827.28"/>
    <n v="965.29"/>
    <n v="3861.99"/>
    <n v="473"/>
    <s v="01:39:15"/>
    <n v="2"/>
    <n v="2"/>
    <n v="2025"/>
    <d v="2025-02-02T00:00:00"/>
    <s v="Debit Card"/>
    <s v="F"/>
    <n v="1"/>
    <s v="Delhi"/>
    <x v="1483"/>
  </r>
  <r>
    <n v="3807"/>
    <s v="FreshMart Downtown"/>
    <d v="2023-10-10T00:00:00"/>
    <s v="Frozen Foods"/>
    <s v="Pasta"/>
    <n v="1"/>
    <n v="2486.6799999999998"/>
    <n v="2486.6799999999998"/>
    <n v="372.67"/>
    <n v="2114.0100000000002"/>
    <n v="394"/>
    <s v="12:24:31"/>
    <n v="10"/>
    <n v="10"/>
    <n v="2023"/>
    <d v="2023-10-10T00:00:00"/>
    <s v="Credit Card"/>
    <s v="F"/>
    <n v="4"/>
    <s v="Hyderabad"/>
    <x v="1484"/>
  </r>
  <r>
    <n v="9189"/>
    <s v="Corner Grocery"/>
    <d v="2025-05-24T00:00:00"/>
    <s v="Produce"/>
    <s v="Pasta"/>
    <n v="3"/>
    <n v="728.74"/>
    <n v="2186.2199999999998"/>
    <n v="185.09"/>
    <n v="2001.13"/>
    <n v="128"/>
    <s v="08:58:06"/>
    <n v="24"/>
    <n v="5"/>
    <n v="2025"/>
    <d v="2025-05-24T00:00:00"/>
    <s v="Credit Card"/>
    <s v="M"/>
    <n v="4"/>
    <s v="Kolkata"/>
    <x v="1485"/>
  </r>
  <r>
    <n v="8109"/>
    <s v="MegaMart Westside"/>
    <d v="2024-12-19T00:00:00"/>
    <s v="Frozen Foods"/>
    <s v="Apples"/>
    <n v="4"/>
    <n v="1196.03"/>
    <n v="4784.12"/>
    <n v="478.08"/>
    <n v="4306.04"/>
    <n v="225"/>
    <s v="14:49:39"/>
    <n v="19"/>
    <n v="12"/>
    <n v="2024"/>
    <d v="2024-12-19T00:00:00"/>
    <s v="Cash"/>
    <s v="M"/>
    <n v="1"/>
    <s v="Lucknow"/>
    <x v="1486"/>
  </r>
  <r>
    <n v="6427"/>
    <s v="FreshMart Downtown"/>
    <d v="2024-10-19T00:00:00"/>
    <s v="Canned Goods"/>
    <s v="Potatoes"/>
    <n v="5"/>
    <n v="606.73"/>
    <n v="3033.65"/>
    <n v="454.84"/>
    <n v="2578.81"/>
    <n v="29"/>
    <s v="01:55:34"/>
    <n v="19"/>
    <n v="10"/>
    <n v="2024"/>
    <d v="2024-10-19T00:00:00"/>
    <s v="UPI"/>
    <s v="M"/>
    <n v="5"/>
    <s v="Kolkata"/>
    <x v="1487"/>
  </r>
  <r>
    <n v="2562"/>
    <s v="ValuePlus Market"/>
    <d v="2025-07-02T00:00:00"/>
    <s v="Canned Goods"/>
    <s v="Bread"/>
    <n v="4"/>
    <n v="514.6"/>
    <n v="2058.4"/>
    <n v="308.76"/>
    <n v="1749.64"/>
    <n v="392"/>
    <s v="22:26:16"/>
    <n v="2"/>
    <n v="7"/>
    <n v="2025"/>
    <d v="2025-07-02T00:00:00"/>
    <s v="UPI"/>
    <s v="M"/>
    <n v="1"/>
    <s v="Jaipur"/>
    <x v="1488"/>
  </r>
  <r>
    <n v="9653"/>
    <s v="City Fresh Store"/>
    <d v="2025-07-20T00:00:00"/>
    <s v="Meat &amp; Seafood"/>
    <s v="Ground Beef"/>
    <n v="2"/>
    <n v="435.75"/>
    <n v="871.5"/>
    <n v="174.3"/>
    <n v="697.2"/>
    <n v="316"/>
    <s v="04:34:24"/>
    <n v="20"/>
    <n v="7"/>
    <n v="2025"/>
    <d v="2025-07-20T00:00:00"/>
    <s v="Debit Card"/>
    <s v="F"/>
    <n v="2"/>
    <s v="Delhi"/>
    <x v="1489"/>
  </r>
  <r>
    <n v="1697"/>
    <s v="GreenGrocer Plaza"/>
    <d v="2024-02-01T00:00:00"/>
    <s v="Health &amp; Wellness"/>
    <s v="Milk"/>
    <n v="2"/>
    <n v="1729.72"/>
    <n v="3459.44"/>
    <n v="188.41"/>
    <n v="3271.03"/>
    <n v="440"/>
    <s v="22:03:12"/>
    <n v="1"/>
    <n v="2"/>
    <n v="2024"/>
    <d v="2024-02-01T00:00:00"/>
    <s v="Debit Card"/>
    <s v="F"/>
    <n v="3"/>
    <s v="Kolkata"/>
    <x v="1490"/>
  </r>
  <r>
    <n v="4463"/>
    <s v="ValuePlus Market"/>
    <d v="2025-07-07T00:00:00"/>
    <s v="Bakery"/>
    <s v="Milk"/>
    <n v="3"/>
    <n v="2429.41"/>
    <n v="7288.23"/>
    <n v="321.20999999999998"/>
    <n v="6967.02"/>
    <n v="8"/>
    <s v="21:11:49"/>
    <n v="7"/>
    <n v="7"/>
    <n v="2025"/>
    <d v="2025-07-07T00:00:00"/>
    <s v="Debit Card"/>
    <s v="F"/>
    <n v="5"/>
    <s v="Ahmedabad"/>
    <x v="1491"/>
  </r>
  <r>
    <n v="8790"/>
    <s v="FamilyFood Express"/>
    <d v="2024-03-04T00:00:00"/>
    <s v="Canned Goods"/>
    <s v="Chicken Breast"/>
    <n v="1"/>
    <n v="1302.27"/>
    <n v="1302.27"/>
    <n v="260.62"/>
    <n v="1041.6500000000001"/>
    <n v="57"/>
    <s v="13:41:37"/>
    <n v="4"/>
    <n v="3"/>
    <n v="2024"/>
    <d v="2024-03-04T00:00:00"/>
    <s v="Credit Card"/>
    <s v="M"/>
    <n v="2"/>
    <s v="Chennai"/>
    <x v="1492"/>
  </r>
  <r>
    <n v="1762"/>
    <s v="FamilyFood Express"/>
    <d v="2025-07-24T00:00:00"/>
    <s v="Canned Goods"/>
    <s v="Orange Juice"/>
    <n v="4"/>
    <n v="253.98"/>
    <n v="1015.92"/>
    <n v="203.35"/>
    <n v="812.57"/>
    <n v="218"/>
    <s v="06:24:26"/>
    <n v="24"/>
    <n v="7"/>
    <n v="2025"/>
    <d v="2025-07-24T00:00:00"/>
    <s v="Credit Card"/>
    <s v="M"/>
    <n v="5"/>
    <s v="Hyderabad"/>
    <x v="1493"/>
  </r>
  <r>
    <n v="2218"/>
    <s v="FreshMart Downtown"/>
    <d v="2025-01-19T00:00:00"/>
    <s v="Canned Goods"/>
    <s v="Orange Juice"/>
    <n v="3"/>
    <n v="2429.41"/>
    <n v="7288.23"/>
    <n v="728.74"/>
    <n v="6559.49"/>
    <n v="459"/>
    <s v="22:48:48"/>
    <n v="19"/>
    <n v="1"/>
    <n v="2025"/>
    <d v="2025-01-19T00:00:00"/>
    <s v="Debit Card"/>
    <s v="M"/>
    <n v="2"/>
    <s v="Chennai"/>
    <x v="1494"/>
  </r>
  <r>
    <n v="5593"/>
    <s v="QuickStop Market"/>
    <d v="2025-07-05T00:00:00"/>
    <s v="Household Items"/>
    <s v="Bananas"/>
    <n v="2"/>
    <n v="968.61"/>
    <n v="1937.22"/>
    <n v="91.3"/>
    <n v="1845.92"/>
    <n v="148"/>
    <s v="03:26:30"/>
    <n v="5"/>
    <n v="7"/>
    <n v="2025"/>
    <d v="2025-07-05T00:00:00"/>
    <s v="Debit Card"/>
    <s v="F"/>
    <n v="3"/>
    <s v="Bangalore"/>
    <x v="1495"/>
  </r>
  <r>
    <n v="9897"/>
    <s v="FamilyFood Express"/>
    <d v="2024-10-17T00:00:00"/>
    <s v="Canned Goods"/>
    <s v="Carrots"/>
    <n v="5"/>
    <n v="1967.93"/>
    <n v="9839.65"/>
    <n v="1967.93"/>
    <n v="7871.72"/>
    <n v="364"/>
    <s v="02:27:31"/>
    <n v="17"/>
    <n v="10"/>
    <n v="2024"/>
    <d v="2024-10-17T00:00:00"/>
    <s v="Debit Card"/>
    <s v="M"/>
    <n v="3"/>
    <s v="Delhi"/>
    <x v="1496"/>
  </r>
  <r>
    <n v="1539"/>
    <s v="Corner Grocery"/>
    <d v="2023-12-24T00:00:00"/>
    <s v="Household Items"/>
    <s v="Milk"/>
    <n v="2"/>
    <n v="999.32"/>
    <n v="1998.64"/>
    <n v="400.89"/>
    <n v="1597.75"/>
    <n v="332"/>
    <s v="13:27:49"/>
    <n v="24"/>
    <n v="12"/>
    <n v="2023"/>
    <d v="2023-12-24T00:00:00"/>
    <s v="UPI"/>
    <s v="F"/>
    <n v="4"/>
    <s v="Jaipur"/>
    <x v="1497"/>
  </r>
  <r>
    <n v="6152"/>
    <s v="FamilyFood Express"/>
    <d v="2023-08-19T00:00:00"/>
    <s v="Household Items"/>
    <s v="Carrots"/>
    <n v="5"/>
    <n v="1599.41"/>
    <n v="7997.05"/>
    <n v="326.19"/>
    <n v="7670.86"/>
    <n v="375"/>
    <s v="16:04:05"/>
    <n v="19"/>
    <n v="8"/>
    <n v="2023"/>
    <d v="2023-08-19T00:00:00"/>
    <s v="Credit Card"/>
    <s v="M"/>
    <n v="2"/>
    <s v="Delhi"/>
    <x v="1498"/>
  </r>
  <r>
    <n v="4394"/>
    <s v="ValuePlus Market"/>
    <d v="2024-11-04T00:00:00"/>
    <s v="Produce"/>
    <s v="Potatoes"/>
    <n v="5"/>
    <n v="1334.64"/>
    <n v="6673.2"/>
    <n v="1334.64"/>
    <n v="5338.56"/>
    <n v="162"/>
    <s v="07:33:57"/>
    <n v="4"/>
    <n v="11"/>
    <n v="2024"/>
    <d v="2024-11-04T00:00:00"/>
    <s v="UPI"/>
    <s v="F"/>
    <n v="4"/>
    <s v="Jaipur"/>
    <x v="1499"/>
  </r>
  <r>
    <n v="3362"/>
    <s v="QuickStop Market"/>
    <d v="2025-03-13T00:00:00"/>
    <s v="Bakery"/>
    <s v="Cereal"/>
    <n v="2"/>
    <n v="2005.28"/>
    <n v="4010.56"/>
    <n v="801.78"/>
    <n v="3208.78"/>
    <n v="500"/>
    <s v="14:51:44"/>
    <n v="13"/>
    <n v="3"/>
    <n v="2025"/>
    <d v="2025-03-13T00:00:00"/>
    <s v="UPI"/>
    <s v="F"/>
    <n v="2"/>
    <s v="Jaipur"/>
    <x v="1500"/>
  </r>
  <r>
    <n v="7525"/>
    <s v="City Fresh Store"/>
    <d v="2025-07-28T00:00:00"/>
    <s v="Canned Goods"/>
    <s v="Chicken Breast"/>
    <n v="2"/>
    <n v="1153.7"/>
    <n v="2307.4"/>
    <n v="346.11"/>
    <n v="1961.29"/>
    <n v="490"/>
    <s v="22:10:04"/>
    <n v="28"/>
    <n v="7"/>
    <n v="2025"/>
    <d v="2025-07-28T00:00:00"/>
    <s v="Debit Card"/>
    <s v="M"/>
    <n v="4"/>
    <s v="Hyderabad"/>
    <x v="1501"/>
  </r>
  <r>
    <n v="2260"/>
    <s v="GreenGrocer Plaza"/>
    <d v="2024-03-26T00:00:00"/>
    <s v="Canned Goods"/>
    <s v="Onions"/>
    <n v="5"/>
    <n v="266.43"/>
    <n v="1332.15"/>
    <n v="159.36000000000001"/>
    <n v="1172.79"/>
    <n v="185"/>
    <s v="07:19:09"/>
    <n v="26"/>
    <n v="3"/>
    <n v="2024"/>
    <d v="2024-03-26T00:00:00"/>
    <s v="Debit Card"/>
    <s v="M"/>
    <n v="3"/>
    <s v="Chennai"/>
    <x v="1502"/>
  </r>
  <r>
    <n v="3661"/>
    <s v="Corner Grocery"/>
    <d v="2024-10-18T00:00:00"/>
    <s v="Bakery"/>
    <s v="Eggs"/>
    <n v="5"/>
    <n v="671.47"/>
    <n v="3357.35"/>
    <n v="0"/>
    <n v="3357.35"/>
    <n v="465"/>
    <s v="19:35:49"/>
    <n v="18"/>
    <n v="10"/>
    <n v="2024"/>
    <d v="2024-10-18T00:00:00"/>
    <s v="Cash"/>
    <s v="F"/>
    <n v="5"/>
    <s v="Chennai"/>
    <x v="1503"/>
  </r>
  <r>
    <n v="4939"/>
    <s v="SuperSave Central"/>
    <d v="2024-10-20T00:00:00"/>
    <s v="Household Items"/>
    <s v="Pasta"/>
    <n v="3"/>
    <n v="904.7"/>
    <n v="2714.1"/>
    <n v="271.41000000000003"/>
    <n v="2442.69"/>
    <n v="60"/>
    <s v="12:47:57"/>
    <n v="20"/>
    <n v="10"/>
    <n v="2024"/>
    <d v="2024-10-20T00:00:00"/>
    <s v="Cash"/>
    <s v="F"/>
    <n v="4"/>
    <s v="Bangalore"/>
    <x v="1504"/>
  </r>
  <r>
    <n v="7375"/>
    <s v="Corner Grocery"/>
    <d v="2025-01-13T00:00:00"/>
    <s v="Personal Care"/>
    <s v="Eggs"/>
    <n v="5"/>
    <n v="1271.56"/>
    <n v="6357.8"/>
    <n v="1271.56"/>
    <n v="5086.24"/>
    <n v="451"/>
    <s v="23:14:07"/>
    <n v="13"/>
    <n v="1"/>
    <n v="2025"/>
    <d v="2025-01-13T00:00:00"/>
    <s v="UPI"/>
    <s v="M"/>
    <n v="2"/>
    <s v="Hyderabad"/>
    <x v="1505"/>
  </r>
  <r>
    <n v="9856"/>
    <s v="City Fresh Store"/>
    <d v="2024-04-20T00:00:00"/>
    <s v="Produce"/>
    <s v="Apples"/>
    <n v="1"/>
    <n v="1089.79"/>
    <n v="1089.79"/>
    <n v="0"/>
    <n v="1089.79"/>
    <n v="391"/>
    <s v="09:19:06"/>
    <n v="20"/>
    <n v="4"/>
    <n v="2024"/>
    <d v="2024-04-20T00:00:00"/>
    <s v="Credit Card"/>
    <s v="M"/>
    <n v="2"/>
    <s v="Delhi"/>
    <x v="1506"/>
  </r>
  <r>
    <n v="7288"/>
    <s v="GreenGrocer Plaza"/>
    <d v="2025-03-15T00:00:00"/>
    <s v="Meat &amp; Seafood"/>
    <s v="Milk"/>
    <n v="4"/>
    <n v="139.44"/>
    <n v="557.76"/>
    <n v="111.22"/>
    <n v="446.54"/>
    <n v="85"/>
    <s v="20:51:21"/>
    <n v="15"/>
    <n v="3"/>
    <n v="2025"/>
    <d v="2025-03-15T00:00:00"/>
    <s v="Debit Card"/>
    <s v="F"/>
    <n v="3"/>
    <s v="Bangalore"/>
    <x v="1507"/>
  </r>
  <r>
    <n v="3292"/>
    <s v="ValuePlus Market"/>
    <d v="2025-04-11T00:00:00"/>
    <s v="Personal Care"/>
    <s v="Tomatoes"/>
    <n v="4"/>
    <n v="935.41"/>
    <n v="3741.64"/>
    <n v="0"/>
    <n v="3741.64"/>
    <n v="205"/>
    <s v="23:07:30"/>
    <n v="11"/>
    <n v="4"/>
    <n v="2025"/>
    <d v="2025-04-11T00:00:00"/>
    <s v="Debit Card"/>
    <s v="M"/>
    <n v="2"/>
    <s v="Ahmedabad"/>
    <x v="1508"/>
  </r>
  <r>
    <n v="2284"/>
    <s v="QuickStop Market"/>
    <d v="2024-08-29T00:00:00"/>
    <s v="Dairy"/>
    <s v="Cereal"/>
    <n v="3"/>
    <n v="1505.62"/>
    <n v="4516.8599999999997"/>
    <n v="0"/>
    <n v="4516.8599999999997"/>
    <n v="315"/>
    <s v="12:45:46"/>
    <n v="29"/>
    <n v="8"/>
    <n v="2024"/>
    <d v="2024-08-29T00:00:00"/>
    <s v="UPI"/>
    <s v="F"/>
    <n v="1"/>
    <s v="Hyderabad"/>
    <x v="1509"/>
  </r>
  <r>
    <n v="6666"/>
    <s v="FreshMart Downtown"/>
    <d v="2023-09-17T00:00:00"/>
    <s v="Dairy"/>
    <s v="Orange Juice"/>
    <n v="4"/>
    <n v="2274.1999999999998"/>
    <n v="9096.7999999999993"/>
    <n v="0"/>
    <n v="9096.7999999999993"/>
    <n v="322"/>
    <s v="05:14:25"/>
    <n v="17"/>
    <n v="9"/>
    <n v="2023"/>
    <d v="2023-09-17T00:00:00"/>
    <s v="Cash"/>
    <s v="F"/>
    <n v="5"/>
    <s v="Bangalore"/>
    <x v="1510"/>
  </r>
  <r>
    <n v="2600"/>
    <s v="Corner Grocery"/>
    <d v="2024-07-11T00:00:00"/>
    <s v="Frozen Foods"/>
    <s v="Potatoes"/>
    <n v="2"/>
    <n v="1847.58"/>
    <n v="3695.16"/>
    <n v="738.7"/>
    <n v="2956.46"/>
    <n v="370"/>
    <s v="03:32:37"/>
    <n v="11"/>
    <n v="7"/>
    <n v="2024"/>
    <d v="2024-07-11T00:00:00"/>
    <s v="Credit Card"/>
    <s v="M"/>
    <n v="4"/>
    <s v="Lucknow"/>
    <x v="1511"/>
  </r>
  <r>
    <n v="4803"/>
    <s v="FreshMart Downtown"/>
    <d v="2025-05-19T00:00:00"/>
    <s v="Household Items"/>
    <s v="Orange Juice"/>
    <n v="4"/>
    <n v="995.17"/>
    <n v="3980.68"/>
    <n v="322.87"/>
    <n v="3657.81"/>
    <n v="224"/>
    <s v="17:12:48"/>
    <n v="19"/>
    <n v="5"/>
    <n v="2025"/>
    <d v="2025-05-19T00:00:00"/>
    <s v="Cash"/>
    <s v="M"/>
    <n v="5"/>
    <s v="Bangalore"/>
    <x v="1512"/>
  </r>
  <r>
    <n v="2245"/>
    <s v="QuickStop Market"/>
    <d v="2024-04-27T00:00:00"/>
    <s v="Dairy"/>
    <s v="Ground Beef"/>
    <n v="3"/>
    <n v="1269.9000000000001"/>
    <n v="3809.7"/>
    <n v="571.04"/>
    <n v="3238.66"/>
    <n v="24"/>
    <s v="18:59:11"/>
    <n v="27"/>
    <n v="4"/>
    <n v="2024"/>
    <d v="2024-04-27T00:00:00"/>
    <s v="Cash"/>
    <s v="M"/>
    <n v="3"/>
    <s v="Delhi"/>
    <x v="1513"/>
  </r>
  <r>
    <n v="7499"/>
    <s v="MegaMart Westside"/>
    <d v="2025-03-29T00:00:00"/>
    <s v="Snacks &amp; Candy"/>
    <s v="Cereal"/>
    <n v="2"/>
    <n v="2377.12"/>
    <n v="4754.24"/>
    <n v="475.59"/>
    <n v="4278.6499999999996"/>
    <n v="21"/>
    <s v="09:49:07"/>
    <n v="29"/>
    <n v="3"/>
    <n v="2025"/>
    <d v="2025-03-29T00:00:00"/>
    <s v="Cash"/>
    <s v="M"/>
    <n v="4"/>
    <s v="Bangalore"/>
    <x v="1514"/>
  </r>
  <r>
    <n v="6347"/>
    <s v="ValuePlus Market"/>
    <d v="2023-08-30T00:00:00"/>
    <s v="Frozen Foods"/>
    <s v="Cereal"/>
    <n v="1"/>
    <n v="917.98"/>
    <n v="917.98"/>
    <n v="137.78"/>
    <n v="780.2"/>
    <n v="84"/>
    <s v="21:51:01"/>
    <n v="30"/>
    <n v="8"/>
    <n v="2023"/>
    <d v="2023-08-30T00:00:00"/>
    <s v="Cash"/>
    <s v="M"/>
    <n v="4"/>
    <s v="Pune"/>
    <x v="1515"/>
  </r>
  <r>
    <n v="5478"/>
    <s v="QuickStop Market"/>
    <d v="2025-04-06T00:00:00"/>
    <s v="Beverages"/>
    <s v="Salmon"/>
    <n v="2"/>
    <n v="2213.61"/>
    <n v="4427.22"/>
    <n v="332.83"/>
    <n v="4094.39"/>
    <n v="147"/>
    <s v="19:48:24"/>
    <n v="6"/>
    <n v="4"/>
    <n v="2025"/>
    <d v="2025-04-06T00:00:00"/>
    <s v="Debit Card"/>
    <s v="F"/>
    <n v="1"/>
    <s v="Pune"/>
    <x v="1516"/>
  </r>
  <r>
    <n v="8381"/>
    <s v="FamilyFood Express"/>
    <d v="2024-08-22T00:00:00"/>
    <s v="Health &amp; Wellness"/>
    <s v="Pasta"/>
    <n v="2"/>
    <n v="312.91000000000003"/>
    <n v="625.82000000000005"/>
    <n v="281.37"/>
    <n v="344.45"/>
    <n v="282"/>
    <s v="22:28:18"/>
    <n v="22"/>
    <n v="8"/>
    <n v="2024"/>
    <d v="2024-08-22T00:00:00"/>
    <s v="Debit Card"/>
    <s v="F"/>
    <n v="3"/>
    <s v="Lucknow"/>
    <x v="1517"/>
  </r>
  <r>
    <n v="4737"/>
    <s v="FreshMart Downtown"/>
    <d v="2024-05-09T00:00:00"/>
    <s v="Personal Care"/>
    <s v="Onions"/>
    <n v="2"/>
    <n v="97.94"/>
    <n v="195.88"/>
    <n v="29.05"/>
    <n v="166.83"/>
    <n v="426"/>
    <s v="10:34:18"/>
    <n v="9"/>
    <n v="5"/>
    <n v="2024"/>
    <d v="2024-05-09T00:00:00"/>
    <s v="Cash"/>
    <s v="M"/>
    <n v="2"/>
    <s v="Lucknow"/>
    <x v="1518"/>
  </r>
  <r>
    <n v="7150"/>
    <s v="FamilyFood Express"/>
    <d v="2024-07-07T00:00:00"/>
    <s v="Frozen Foods"/>
    <s v="Cheese"/>
    <n v="4"/>
    <n v="1336.3"/>
    <n v="5345.2"/>
    <n v="801.78"/>
    <n v="4543.42"/>
    <n v="425"/>
    <s v="08:22:02"/>
    <n v="7"/>
    <n v="7"/>
    <n v="2024"/>
    <d v="2024-07-07T00:00:00"/>
    <s v="Credit Card"/>
    <s v="M"/>
    <n v="1"/>
    <s v="Pune"/>
    <x v="1519"/>
  </r>
  <r>
    <n v="4043"/>
    <s v="GreenGrocer Plaza"/>
    <d v="2025-01-15T00:00:00"/>
    <s v="Dairy"/>
    <s v="Salmon"/>
    <n v="4"/>
    <n v="1269.07"/>
    <n v="5076.28"/>
    <n v="761.11"/>
    <n v="4315.17"/>
    <n v="44"/>
    <s v="01:56:36"/>
    <n v="15"/>
    <n v="1"/>
    <n v="2025"/>
    <d v="2025-01-15T00:00:00"/>
    <s v="UPI"/>
    <s v="M"/>
    <n v="1"/>
    <s v="Lucknow"/>
    <x v="1520"/>
  </r>
  <r>
    <n v="7227"/>
    <s v="GreenGrocer Plaza"/>
    <d v="2023-10-12T00:00:00"/>
    <s v="Canned Goods"/>
    <s v="Bread"/>
    <n v="2"/>
    <n v="1832.64"/>
    <n v="3665.28"/>
    <n v="194.22"/>
    <n v="3471.06"/>
    <n v="167"/>
    <s v="17:46:06"/>
    <n v="12"/>
    <n v="10"/>
    <n v="2023"/>
    <d v="2023-10-12T00:00:00"/>
    <s v="Credit Card"/>
    <s v="F"/>
    <n v="5"/>
    <s v="Lucknow"/>
    <x v="1521"/>
  </r>
  <r>
    <n v="5839"/>
    <s v="City Fresh Store"/>
    <d v="2025-04-17T00:00:00"/>
    <s v="Health &amp; Wellness"/>
    <s v="Carrots"/>
    <n v="1"/>
    <n v="1783.67"/>
    <n v="1783.67"/>
    <n v="178.45"/>
    <n v="1605.22"/>
    <n v="161"/>
    <s v="04:05:07"/>
    <n v="17"/>
    <n v="4"/>
    <n v="2025"/>
    <d v="2025-04-17T00:00:00"/>
    <s v="Credit Card"/>
    <s v="M"/>
    <n v="5"/>
    <s v="Chennai"/>
    <x v="1522"/>
  </r>
  <r>
    <n v="5037"/>
    <s v="GreenGrocer Plaza"/>
    <d v="2025-02-10T00:00:00"/>
    <s v="Personal Care"/>
    <s v="Cereal"/>
    <n v="2"/>
    <n v="2107.37"/>
    <n v="4214.74"/>
    <n v="0"/>
    <n v="4214.74"/>
    <n v="338"/>
    <s v="11:23:56"/>
    <n v="10"/>
    <n v="2"/>
    <n v="2025"/>
    <d v="2025-02-10T00:00:00"/>
    <s v="Credit Card"/>
    <s v="M"/>
    <n v="5"/>
    <s v="Chennai"/>
    <x v="1523"/>
  </r>
  <r>
    <n v="2204"/>
    <s v="FreshMart Downtown"/>
    <d v="2023-10-09T00:00:00"/>
    <s v="Bakery"/>
    <s v="Eggs"/>
    <n v="5"/>
    <n v="987.7"/>
    <n v="4938.5"/>
    <n v="0"/>
    <n v="4938.5"/>
    <n v="482"/>
    <s v="16:28:08"/>
    <n v="9"/>
    <n v="10"/>
    <n v="2023"/>
    <d v="2023-10-09T00:00:00"/>
    <s v="Cash"/>
    <s v="F"/>
    <n v="1"/>
    <s v="Bangalore"/>
    <x v="1524"/>
  </r>
  <r>
    <n v="5390"/>
    <s v="FamilyFood Express"/>
    <d v="2023-12-04T00:00:00"/>
    <s v="Frozen Foods"/>
    <s v="Potatoes"/>
    <n v="2"/>
    <n v="1248.32"/>
    <n v="2496.64"/>
    <n v="374.33"/>
    <n v="2122.31"/>
    <n v="95"/>
    <s v="07:47:55"/>
    <n v="4"/>
    <n v="12"/>
    <n v="2023"/>
    <d v="2023-12-04T00:00:00"/>
    <s v="Debit Card"/>
    <s v="F"/>
    <n v="2"/>
    <s v="Pune"/>
    <x v="1525"/>
  </r>
  <r>
    <n v="7225"/>
    <s v="SuperSave Central"/>
    <d v="2025-02-09T00:00:00"/>
    <s v="Bakery"/>
    <s v="Bread"/>
    <n v="5"/>
    <n v="2145.5500000000002"/>
    <n v="10727.75"/>
    <n v="227.42"/>
    <n v="10500.33"/>
    <n v="383"/>
    <s v="13:18:48"/>
    <n v="9"/>
    <n v="2"/>
    <n v="2025"/>
    <d v="2025-02-09T00:00:00"/>
    <s v="Credit Card"/>
    <s v="M"/>
    <n v="4"/>
    <s v="Delhi"/>
    <x v="1526"/>
  </r>
  <r>
    <n v="3527"/>
    <s v="City Fresh Store"/>
    <d v="2025-03-03T00:00:00"/>
    <s v="Personal Care"/>
    <s v="Yogurt"/>
    <n v="2"/>
    <n v="175.96"/>
    <n v="351.92"/>
    <n v="209.16"/>
    <n v="142.76"/>
    <n v="352"/>
    <s v="11:46:38"/>
    <n v="3"/>
    <n v="3"/>
    <n v="2025"/>
    <d v="2025-03-03T00:00:00"/>
    <s v="Cash"/>
    <s v="M"/>
    <n v="5"/>
    <s v="Pune"/>
    <x v="1527"/>
  </r>
  <r>
    <n v="7383"/>
    <s v="FamilyFood Express"/>
    <d v="2024-04-08T00:00:00"/>
    <s v="Health &amp; Wellness"/>
    <s v="Orange Juice"/>
    <n v="4"/>
    <n v="1358.71"/>
    <n v="5434.84"/>
    <n v="815.06"/>
    <n v="4619.78"/>
    <n v="488"/>
    <s v="13:02:13"/>
    <n v="8"/>
    <n v="4"/>
    <n v="2024"/>
    <d v="2024-04-08T00:00:00"/>
    <s v="Credit Card"/>
    <s v="M"/>
    <n v="2"/>
    <s v="Pune"/>
    <x v="1528"/>
  </r>
  <r>
    <n v="6909"/>
    <s v="FamilyFood Express"/>
    <d v="2023-10-28T00:00:00"/>
    <s v="Frozen Foods"/>
    <s v="Potatoes"/>
    <n v="4"/>
    <n v="2000.3"/>
    <n v="8001.2"/>
    <n v="242.36"/>
    <n v="7758.84"/>
    <n v="200"/>
    <s v="22:26:47"/>
    <n v="28"/>
    <n v="10"/>
    <n v="2023"/>
    <d v="2023-10-28T00:00:00"/>
    <s v="Credit Card"/>
    <s v="F"/>
    <n v="3"/>
    <s v="Ahmedabad"/>
    <x v="1529"/>
  </r>
  <r>
    <n v="2499"/>
    <s v="GreenGrocer Plaza"/>
    <d v="2023-08-11T00:00:00"/>
    <s v="Bakery"/>
    <s v="Chicken Breast"/>
    <n v="3"/>
    <n v="1092.28"/>
    <n v="3276.84"/>
    <n v="655.7"/>
    <n v="2621.14"/>
    <n v="228"/>
    <s v="19:23:56"/>
    <n v="11"/>
    <n v="8"/>
    <n v="2023"/>
    <d v="2023-08-11T00:00:00"/>
    <s v="Cash"/>
    <s v="M"/>
    <n v="5"/>
    <s v="Ahmedabad"/>
    <x v="1530"/>
  </r>
  <r>
    <n v="6050"/>
    <s v="Corner Grocery"/>
    <d v="2024-07-17T00:00:00"/>
    <s v="Dairy"/>
    <s v="Apples"/>
    <n v="4"/>
    <n v="2383.7600000000002"/>
    <n v="9535.0400000000009"/>
    <n v="1430.09"/>
    <n v="8104.95"/>
    <n v="338"/>
    <s v="21:01:36"/>
    <n v="17"/>
    <n v="7"/>
    <n v="2024"/>
    <d v="2024-07-17T00:00:00"/>
    <s v="Debit Card"/>
    <s v="M"/>
    <n v="4"/>
    <s v="Lucknow"/>
    <x v="1531"/>
  </r>
  <r>
    <n v="6896"/>
    <s v="Corner Grocery"/>
    <d v="2025-03-20T00:00:00"/>
    <s v="Meat &amp; Seafood"/>
    <s v="Potatoes"/>
    <n v="4"/>
    <n v="1528.86"/>
    <n v="6115.44"/>
    <n v="179.28"/>
    <n v="5936.16"/>
    <n v="351"/>
    <s v="22:11:13"/>
    <n v="20"/>
    <n v="3"/>
    <n v="2025"/>
    <d v="2025-03-20T00:00:00"/>
    <s v="Debit Card"/>
    <s v="M"/>
    <n v="3"/>
    <s v="Mumbai"/>
    <x v="1532"/>
  </r>
  <r>
    <n v="5419"/>
    <s v="ValuePlus Market"/>
    <d v="2023-10-25T00:00:00"/>
    <s v="Bakery"/>
    <s v="Cheese"/>
    <n v="1"/>
    <n v="1435.9"/>
    <n v="1435.9"/>
    <n v="0"/>
    <n v="1435.9"/>
    <n v="165"/>
    <s v="05:37:09"/>
    <n v="25"/>
    <n v="10"/>
    <n v="2023"/>
    <d v="2023-10-25T00:00:00"/>
    <s v="UPI"/>
    <s v="F"/>
    <n v="3"/>
    <s v="Chennai"/>
    <x v="1533"/>
  </r>
  <r>
    <n v="3170"/>
    <s v="MegaMart Westside"/>
    <d v="2023-10-13T00:00:00"/>
    <s v="Snacks &amp; Candy"/>
    <s v="Tomatoes"/>
    <n v="4"/>
    <n v="1105.56"/>
    <n v="4422.24"/>
    <n v="663.17"/>
    <n v="3759.07"/>
    <n v="133"/>
    <s v="01:40:42"/>
    <n v="13"/>
    <n v="10"/>
    <n v="2023"/>
    <d v="2023-10-13T00:00:00"/>
    <s v="Cash"/>
    <s v="F"/>
    <n v="4"/>
    <s v="Jaipur"/>
    <x v="1534"/>
  </r>
  <r>
    <n v="4070"/>
    <s v="City Fresh Store"/>
    <d v="2024-07-06T00:00:00"/>
    <s v="Bakery"/>
    <s v="Cereal"/>
    <n v="1"/>
    <n v="825.02"/>
    <n v="825.02"/>
    <n v="373.5"/>
    <n v="451.52"/>
    <n v="209"/>
    <s v="04:49:18"/>
    <n v="6"/>
    <n v="7"/>
    <n v="2024"/>
    <d v="2024-07-06T00:00:00"/>
    <s v="UPI"/>
    <s v="M"/>
    <n v="5"/>
    <s v="Delhi"/>
    <x v="1535"/>
  </r>
  <r>
    <n v="8353"/>
    <s v="ValuePlus Market"/>
    <d v="2024-10-12T00:00:00"/>
    <s v="Bakery"/>
    <s v="Chicken Breast"/>
    <n v="5"/>
    <n v="1552.1"/>
    <n v="7760.5"/>
    <n v="0"/>
    <n v="7760.5"/>
    <n v="66"/>
    <s v="21:13:23"/>
    <n v="12"/>
    <n v="10"/>
    <n v="2024"/>
    <d v="2024-10-12T00:00:00"/>
    <s v="UPI"/>
    <s v="M"/>
    <n v="1"/>
    <s v="Ahmedabad"/>
    <x v="1536"/>
  </r>
  <r>
    <n v="9395"/>
    <s v="FreshMart Downtown"/>
    <d v="2024-06-18T00:00:00"/>
    <s v="Snacks &amp; Candy"/>
    <s v="Bread"/>
    <n v="3"/>
    <n v="2277.52"/>
    <n v="6832.56"/>
    <n v="0"/>
    <n v="6832.56"/>
    <n v="392"/>
    <s v="08:09:31"/>
    <n v="18"/>
    <n v="6"/>
    <n v="2024"/>
    <d v="2024-06-18T00:00:00"/>
    <s v="UPI"/>
    <s v="F"/>
    <n v="4"/>
    <s v="Pune"/>
    <x v="1537"/>
  </r>
  <r>
    <n v="2692"/>
    <s v="FreshMart Downtown"/>
    <d v="2023-08-27T00:00:00"/>
    <s v="Personal Care"/>
    <s v="Yogurt"/>
    <n v="3"/>
    <n v="1371.16"/>
    <n v="4113.4799999999996"/>
    <n v="0"/>
    <n v="4113.4799999999996"/>
    <n v="80"/>
    <s v="18:26:23"/>
    <n v="27"/>
    <n v="8"/>
    <n v="2023"/>
    <d v="2023-08-27T00:00:00"/>
    <s v="Debit Card"/>
    <s v="F"/>
    <n v="4"/>
    <s v="Pune"/>
    <x v="1538"/>
  </r>
  <r>
    <n v="2468"/>
    <s v="FamilyFood Express"/>
    <d v="2024-05-07T00:00:00"/>
    <s v="Frozen Foods"/>
    <s v="Apples"/>
    <n v="3"/>
    <n v="879.8"/>
    <n v="2639.4"/>
    <n v="94.62"/>
    <n v="2544.7800000000002"/>
    <n v="110"/>
    <s v="09:39:13"/>
    <n v="7"/>
    <n v="5"/>
    <n v="2024"/>
    <d v="2024-05-07T00:00:00"/>
    <s v="Cash"/>
    <s v="F"/>
    <n v="4"/>
    <s v="Mumbai"/>
    <x v="1539"/>
  </r>
  <r>
    <n v="2524"/>
    <s v="FreshMart Downtown"/>
    <d v="2024-11-12T00:00:00"/>
    <s v="Personal Care"/>
    <s v="Chicken Breast"/>
    <n v="5"/>
    <n v="1039.99"/>
    <n v="5199.95"/>
    <n v="1039.99"/>
    <n v="4159.96"/>
    <n v="248"/>
    <s v="03:56:11"/>
    <n v="12"/>
    <n v="11"/>
    <n v="2024"/>
    <d v="2024-11-12T00:00:00"/>
    <s v="UPI"/>
    <s v="F"/>
    <n v="3"/>
    <s v="Mumbai"/>
    <x v="1540"/>
  </r>
  <r>
    <n v="6315"/>
    <s v="QuickStop Market"/>
    <d v="2025-06-07T00:00:00"/>
    <s v="Frozen Foods"/>
    <s v="Bananas"/>
    <n v="2"/>
    <n v="1602.73"/>
    <n v="3205.46"/>
    <n v="173.47"/>
    <n v="3031.99"/>
    <n v="352"/>
    <s v="23:18:25"/>
    <n v="7"/>
    <n v="6"/>
    <n v="2025"/>
    <d v="2025-06-07T00:00:00"/>
    <s v="Cash"/>
    <s v="F"/>
    <n v="2"/>
    <s v="Chennai"/>
    <x v="1541"/>
  </r>
  <r>
    <n v="7311"/>
    <s v="GreenGrocer Plaza"/>
    <d v="2023-08-16T00:00:00"/>
    <s v="Snacks &amp; Candy"/>
    <s v="Tomatoes"/>
    <n v="2"/>
    <n v="2051.7600000000002"/>
    <n v="4103.5200000000004"/>
    <n v="108.73"/>
    <n v="3994.79"/>
    <n v="448"/>
    <s v="13:40:49"/>
    <n v="16"/>
    <n v="8"/>
    <n v="2023"/>
    <d v="2023-08-16T00:00:00"/>
    <s v="Cash"/>
    <s v="F"/>
    <n v="1"/>
    <s v="Ahmedabad"/>
    <x v="1542"/>
  </r>
  <r>
    <n v="5781"/>
    <s v="ValuePlus Market"/>
    <d v="2024-06-23T00:00:00"/>
    <s v="Snacks &amp; Candy"/>
    <s v="Bananas"/>
    <n v="1"/>
    <n v="1869.99"/>
    <n v="1869.99"/>
    <n v="327.02"/>
    <n v="1542.97"/>
    <n v="277"/>
    <s v="07:55:21"/>
    <n v="23"/>
    <n v="6"/>
    <n v="2024"/>
    <d v="2024-06-23T00:00:00"/>
    <s v="Debit Card"/>
    <s v="F"/>
    <n v="5"/>
    <s v="Delhi"/>
    <x v="1543"/>
  </r>
  <r>
    <n v="7353"/>
    <s v="Corner Grocery"/>
    <d v="2025-04-03T00:00:00"/>
    <s v="Bakery"/>
    <s v="Rice"/>
    <n v="3"/>
    <n v="1105.56"/>
    <n v="3316.68"/>
    <n v="497.17"/>
    <n v="2819.51"/>
    <n v="380"/>
    <s v="09:12:23"/>
    <n v="3"/>
    <n v="4"/>
    <n v="2025"/>
    <d v="2025-04-03T00:00:00"/>
    <s v="UPI"/>
    <s v="F"/>
    <n v="5"/>
    <s v="Delhi"/>
    <x v="1544"/>
  </r>
  <r>
    <n v="2387"/>
    <s v="QuickStop Market"/>
    <d v="2025-02-20T00:00:00"/>
    <s v="Beverages"/>
    <s v="Yogurt"/>
    <n v="1"/>
    <n v="717.95"/>
    <n v="717.95"/>
    <n v="72.209999999999994"/>
    <n v="645.74"/>
    <n v="335"/>
    <s v="10:25:08"/>
    <n v="20"/>
    <n v="2"/>
    <n v="2025"/>
    <d v="2025-02-20T00:00:00"/>
    <s v="UPI"/>
    <s v="F"/>
    <n v="2"/>
    <s v="Lucknow"/>
    <x v="1545"/>
  </r>
  <r>
    <n v="4977"/>
    <s v="QuickStop Market"/>
    <d v="2024-10-24T00:00:00"/>
    <s v="Snacks &amp; Candy"/>
    <s v="Bread"/>
    <n v="2"/>
    <n v="2409.4899999999998"/>
    <n v="4818.9799999999996"/>
    <n v="482.23"/>
    <n v="4336.75"/>
    <n v="287"/>
    <s v="18:52:06"/>
    <n v="24"/>
    <n v="10"/>
    <n v="2024"/>
    <d v="2024-10-24T00:00:00"/>
    <s v="Cash"/>
    <s v="M"/>
    <n v="4"/>
    <s v="Lucknow"/>
    <x v="1546"/>
  </r>
  <r>
    <n v="9537"/>
    <s v="QuickStop Market"/>
    <d v="2023-12-16T00:00:00"/>
    <s v="Personal Care"/>
    <s v="Carrots"/>
    <n v="2"/>
    <n v="1002.64"/>
    <n v="2005.28"/>
    <n v="300.45999999999998"/>
    <n v="1704.82"/>
    <n v="254"/>
    <s v="19:49:23"/>
    <n v="16"/>
    <n v="12"/>
    <n v="2023"/>
    <d v="2023-12-16T00:00:00"/>
    <s v="Credit Card"/>
    <s v="M"/>
    <n v="1"/>
    <s v="Jaipur"/>
    <x v="1547"/>
  </r>
  <r>
    <n v="7237"/>
    <s v="ValuePlus Market"/>
    <d v="2023-12-16T00:00:00"/>
    <s v="Dairy"/>
    <s v="Salmon"/>
    <n v="2"/>
    <n v="1473.25"/>
    <n v="2946.5"/>
    <n v="589.29999999999995"/>
    <n v="2357.1999999999998"/>
    <n v="12"/>
    <s v="00:15:21"/>
    <n v="16"/>
    <n v="12"/>
    <n v="2023"/>
    <d v="2023-12-16T00:00:00"/>
    <s v="Debit Card"/>
    <s v="M"/>
    <n v="5"/>
    <s v="Kolkata"/>
    <x v="1548"/>
  </r>
  <r>
    <n v="3274"/>
    <s v="City Fresh Store"/>
    <d v="2024-03-02T00:00:00"/>
    <s v="Canned Goods"/>
    <s v="Potatoes"/>
    <n v="5"/>
    <n v="344.45"/>
    <n v="1722.25"/>
    <n v="344.45"/>
    <n v="1377.8"/>
    <n v="159"/>
    <s v="16:36:26"/>
    <n v="2"/>
    <n v="3"/>
    <n v="2024"/>
    <d v="2024-03-02T00:00:00"/>
    <s v="Debit Card"/>
    <s v="F"/>
    <n v="5"/>
    <s v="Pune"/>
    <x v="1549"/>
  </r>
  <r>
    <n v="5933"/>
    <s v="GreenGrocer Plaza"/>
    <d v="2024-03-02T00:00:00"/>
    <s v="Dairy"/>
    <s v="Onions"/>
    <n v="2"/>
    <n v="581.83000000000004"/>
    <n v="1163.6600000000001"/>
    <n v="166"/>
    <n v="997.66"/>
    <n v="482"/>
    <s v="13:38:26"/>
    <n v="2"/>
    <n v="3"/>
    <n v="2024"/>
    <d v="2024-03-02T00:00:00"/>
    <s v="Debit Card"/>
    <s v="M"/>
    <n v="4"/>
    <s v="Lucknow"/>
    <x v="1550"/>
  </r>
  <r>
    <n v="9079"/>
    <s v="SuperSave Central"/>
    <d v="2023-11-28T00:00:00"/>
    <s v="Snacks &amp; Candy"/>
    <s v="Potatoes"/>
    <n v="5"/>
    <n v="1822.68"/>
    <n v="9113.4"/>
    <n v="337.81"/>
    <n v="8775.59"/>
    <n v="290"/>
    <s v="06:27:46"/>
    <n v="28"/>
    <n v="11"/>
    <n v="2023"/>
    <d v="2023-11-28T00:00:00"/>
    <s v="Debit Card"/>
    <s v="F"/>
    <n v="2"/>
    <s v="Jaipur"/>
    <x v="1551"/>
  </r>
  <r>
    <n v="2036"/>
    <s v="QuickStop Market"/>
    <d v="2023-12-14T00:00:00"/>
    <s v="Snacks &amp; Candy"/>
    <s v="Rice"/>
    <n v="3"/>
    <n v="2090.77"/>
    <n v="6272.31"/>
    <n v="0"/>
    <n v="6272.31"/>
    <n v="18"/>
    <s v="21:43:05"/>
    <n v="14"/>
    <n v="12"/>
    <n v="2023"/>
    <d v="2023-12-14T00:00:00"/>
    <s v="UPI"/>
    <s v="F"/>
    <n v="1"/>
    <s v="Mumbai"/>
    <x v="1552"/>
  </r>
  <r>
    <n v="8121"/>
    <s v="Corner Grocery"/>
    <d v="2024-03-08T00:00:00"/>
    <s v="Produce"/>
    <s v="Pasta"/>
    <n v="2"/>
    <n v="1899.87"/>
    <n v="3799.74"/>
    <n v="249"/>
    <n v="3550.74"/>
    <n v="406"/>
    <s v="04:56:41"/>
    <n v="8"/>
    <n v="3"/>
    <n v="2024"/>
    <d v="2024-03-08T00:00:00"/>
    <s v="UPI"/>
    <s v="M"/>
    <n v="2"/>
    <s v="Pune"/>
    <x v="1553"/>
  </r>
  <r>
    <n v="7899"/>
    <s v="FamilyFood Express"/>
    <d v="2024-03-26T00:00:00"/>
    <s v="Canned Goods"/>
    <s v="Salmon"/>
    <n v="4"/>
    <n v="1320.53"/>
    <n v="5282.12"/>
    <n v="224.1"/>
    <n v="5058.0200000000004"/>
    <n v="439"/>
    <s v="00:28:08"/>
    <n v="26"/>
    <n v="3"/>
    <n v="2024"/>
    <d v="2024-03-26T00:00:00"/>
    <s v="Credit Card"/>
    <s v="F"/>
    <n v="2"/>
    <s v="Lucknow"/>
    <x v="1554"/>
  </r>
  <r>
    <n v="8933"/>
    <s v="GreenGrocer Plaza"/>
    <d v="2025-04-05T00:00:00"/>
    <s v="Snacks &amp; Candy"/>
    <s v="Eggs"/>
    <n v="1"/>
    <n v="472.27"/>
    <n v="472.27"/>
    <n v="94.62"/>
    <n v="377.65"/>
    <n v="383"/>
    <s v="05:32:37"/>
    <n v="5"/>
    <n v="4"/>
    <n v="2025"/>
    <d v="2025-04-05T00:00:00"/>
    <s v="Debit Card"/>
    <s v="M"/>
    <n v="1"/>
    <s v="Hyderabad"/>
    <x v="1555"/>
  </r>
  <r>
    <n v="2260"/>
    <s v="FamilyFood Express"/>
    <d v="2024-05-13T00:00:00"/>
    <s v="Beverages"/>
    <s v="Chicken Breast"/>
    <n v="1"/>
    <n v="2213.61"/>
    <n v="2213.61"/>
    <n v="0"/>
    <n v="2213.61"/>
    <n v="253"/>
    <s v="20:13:34"/>
    <n v="13"/>
    <n v="5"/>
    <n v="2024"/>
    <d v="2024-05-13T00:00:00"/>
    <s v="Debit Card"/>
    <s v="M"/>
    <n v="1"/>
    <s v="Chennai"/>
    <x v="1556"/>
  </r>
  <r>
    <n v="5123"/>
    <s v="ValuePlus Market"/>
    <d v="2024-02-14T00:00:00"/>
    <s v="Beverages"/>
    <s v="Eggs"/>
    <n v="5"/>
    <n v="1088.96"/>
    <n v="5444.8"/>
    <n v="227.42"/>
    <n v="5217.38"/>
    <n v="4"/>
    <s v="15:52:31"/>
    <n v="14"/>
    <n v="2"/>
    <n v="2024"/>
    <d v="2024-02-14T00:00:00"/>
    <s v="Cash"/>
    <s v="M"/>
    <n v="5"/>
    <s v="Lucknow"/>
    <x v="1557"/>
  </r>
  <r>
    <n v="9123"/>
    <s v="QuickStop Market"/>
    <d v="2024-11-10T00:00:00"/>
    <s v="Health &amp; Wellness"/>
    <s v="Pasta"/>
    <n v="5"/>
    <n v="858.22"/>
    <n v="4291.1000000000004"/>
    <n v="298.8"/>
    <n v="3992.3"/>
    <n v="455"/>
    <s v="15:10:40"/>
    <n v="10"/>
    <n v="11"/>
    <n v="2024"/>
    <d v="2024-11-10T00:00:00"/>
    <s v="UPI"/>
    <s v="F"/>
    <n v="5"/>
    <s v="Pune"/>
    <x v="1558"/>
  </r>
  <r>
    <n v="4203"/>
    <s v="SuperSave Central"/>
    <d v="2024-07-27T00:00:00"/>
    <s v="Frozen Foods"/>
    <s v="Carrots"/>
    <n v="2"/>
    <n v="2014.41"/>
    <n v="4028.82"/>
    <n v="283.86"/>
    <n v="3744.96"/>
    <n v="487"/>
    <s v="04:34:29"/>
    <n v="27"/>
    <n v="7"/>
    <n v="2024"/>
    <d v="2024-07-27T00:00:00"/>
    <s v="Debit Card"/>
    <s v="M"/>
    <n v="1"/>
    <s v="Jaipur"/>
    <x v="1559"/>
  </r>
  <r>
    <n v="2752"/>
    <s v="City Fresh Store"/>
    <d v="2023-11-20T00:00:00"/>
    <s v="Beverages"/>
    <s v="Yogurt"/>
    <n v="3"/>
    <n v="2314.04"/>
    <n v="6942.12"/>
    <n v="1388.59"/>
    <n v="5553.53"/>
    <n v="368"/>
    <s v="14:18:21"/>
    <n v="20"/>
    <n v="11"/>
    <n v="2023"/>
    <d v="2023-11-20T00:00:00"/>
    <s v="Credit Card"/>
    <s v="F"/>
    <n v="3"/>
    <s v="Bangalore"/>
    <x v="1560"/>
  </r>
  <r>
    <n v="5991"/>
    <s v="ValuePlus Market"/>
    <d v="2023-08-12T00:00:00"/>
    <s v="Beverages"/>
    <s v="Bananas"/>
    <n v="3"/>
    <n v="1083.98"/>
    <n v="3251.94"/>
    <n v="412.51"/>
    <n v="2839.43"/>
    <n v="76"/>
    <s v="00:45:34"/>
    <n v="12"/>
    <n v="8"/>
    <n v="2023"/>
    <d v="2023-08-12T00:00:00"/>
    <s v="Credit Card"/>
    <s v="M"/>
    <n v="5"/>
    <s v="Mumbai"/>
    <x v="1561"/>
  </r>
  <r>
    <n v="7483"/>
    <s v="FreshMart Downtown"/>
    <d v="2024-04-21T00:00:00"/>
    <s v="Frozen Foods"/>
    <s v="Yogurt"/>
    <n v="2"/>
    <n v="1752.96"/>
    <n v="3505.92"/>
    <n v="526.22"/>
    <n v="2979.7"/>
    <n v="275"/>
    <s v="09:42:50"/>
    <n v="21"/>
    <n v="4"/>
    <n v="2024"/>
    <d v="2024-04-21T00:00:00"/>
    <s v="UPI"/>
    <s v="M"/>
    <n v="3"/>
    <s v="Pune"/>
    <x v="1562"/>
  </r>
  <r>
    <n v="7224"/>
    <s v="GreenGrocer Plaza"/>
    <d v="2025-04-22T00:00:00"/>
    <s v="Produce"/>
    <s v="Salmon"/>
    <n v="5"/>
    <n v="458.99"/>
    <n v="2294.9499999999998"/>
    <n v="344.45"/>
    <n v="1950.5"/>
    <n v="179"/>
    <s v="12:31:37"/>
    <n v="22"/>
    <n v="4"/>
    <n v="2025"/>
    <d v="2025-04-22T00:00:00"/>
    <s v="Credit Card"/>
    <s v="M"/>
    <n v="1"/>
    <s v="Delhi"/>
    <x v="1563"/>
  </r>
  <r>
    <n v="6399"/>
    <s v="FreshMart Downtown"/>
    <d v="2024-07-13T00:00:00"/>
    <s v="Bakery"/>
    <s v="Pasta"/>
    <n v="3"/>
    <n v="2057.5700000000002"/>
    <n v="6172.71"/>
    <n v="325.36"/>
    <n v="5847.35"/>
    <n v="444"/>
    <s v="04:33:31"/>
    <n v="13"/>
    <n v="7"/>
    <n v="2024"/>
    <d v="2024-07-13T00:00:00"/>
    <s v="Credit Card"/>
    <s v="F"/>
    <n v="5"/>
    <s v="Chennai"/>
    <x v="1564"/>
  </r>
  <r>
    <n v="6484"/>
    <s v="MegaMart Westside"/>
    <d v="2024-07-06T00:00:00"/>
    <s v="Household Items"/>
    <s v="Tomatoes"/>
    <n v="3"/>
    <n v="1432.58"/>
    <n v="4297.74"/>
    <n v="279.70999999999998"/>
    <n v="4018.03"/>
    <n v="328"/>
    <s v="21:30:31"/>
    <n v="6"/>
    <n v="7"/>
    <n v="2024"/>
    <d v="2024-07-06T00:00:00"/>
    <s v="UPI"/>
    <s v="F"/>
    <n v="2"/>
    <s v="Delhi"/>
    <x v="1565"/>
  </r>
  <r>
    <n v="3230"/>
    <s v="GreenGrocer Plaza"/>
    <d v="2024-03-27T00:00:00"/>
    <s v="Bakery"/>
    <s v="Pasta"/>
    <n v="2"/>
    <n v="715.46"/>
    <n v="1430.92"/>
    <n v="278.05"/>
    <n v="1152.8699999999999"/>
    <n v="52"/>
    <s v="02:52:43"/>
    <n v="27"/>
    <n v="3"/>
    <n v="2024"/>
    <d v="2024-03-27T00:00:00"/>
    <s v="Debit Card"/>
    <s v="F"/>
    <n v="1"/>
    <s v="Jaipur"/>
    <x v="1566"/>
  </r>
  <r>
    <n v="6253"/>
    <s v="FreshMart Downtown"/>
    <d v="2024-11-17T00:00:00"/>
    <s v="Canned Goods"/>
    <s v="Pasta"/>
    <n v="5"/>
    <n v="1691.54"/>
    <n v="8457.7000000000007"/>
    <n v="1691.54"/>
    <n v="6766.16"/>
    <n v="242"/>
    <s v="00:30:45"/>
    <n v="17"/>
    <n v="11"/>
    <n v="2024"/>
    <d v="2024-11-17T00:00:00"/>
    <s v="Debit Card"/>
    <s v="M"/>
    <n v="4"/>
    <s v="Bangalore"/>
    <x v="1567"/>
  </r>
  <r>
    <n v="4290"/>
    <s v="FreshMart Downtown"/>
    <d v="2024-08-13T00:00:00"/>
    <s v="Bakery"/>
    <s v="Yogurt"/>
    <n v="1"/>
    <n v="2319.85"/>
    <n v="2319.85"/>
    <n v="463.97"/>
    <n v="1855.88"/>
    <n v="314"/>
    <s v="08:14:48"/>
    <n v="13"/>
    <n v="8"/>
    <n v="2024"/>
    <d v="2024-08-13T00:00:00"/>
    <s v="Credit Card"/>
    <s v="M"/>
    <n v="3"/>
    <s v="Mumbai"/>
    <x v="1568"/>
  </r>
  <r>
    <n v="6147"/>
    <s v="SuperSave Central"/>
    <d v="2023-12-22T00:00:00"/>
    <s v="Beverages"/>
    <s v="Bananas"/>
    <n v="3"/>
    <n v="269.75"/>
    <n v="809.25"/>
    <n v="161.85"/>
    <n v="647.4"/>
    <n v="496"/>
    <s v="10:13:03"/>
    <n v="22"/>
    <n v="12"/>
    <n v="2023"/>
    <d v="2023-12-22T00:00:00"/>
    <s v="Credit Card"/>
    <s v="F"/>
    <n v="1"/>
    <s v="Hyderabad"/>
    <x v="1569"/>
  </r>
  <r>
    <n v="7524"/>
    <s v="ValuePlus Market"/>
    <d v="2024-04-10T00:00:00"/>
    <s v="Beverages"/>
    <s v="Cheese"/>
    <n v="4"/>
    <n v="869.84"/>
    <n v="3479.36"/>
    <n v="695.54"/>
    <n v="2783.82"/>
    <n v="256"/>
    <s v="12:31:04"/>
    <n v="10"/>
    <n v="4"/>
    <n v="2024"/>
    <d v="2024-04-10T00:00:00"/>
    <s v="Debit Card"/>
    <s v="F"/>
    <n v="1"/>
    <s v="Pune"/>
    <x v="1570"/>
  </r>
  <r>
    <n v="5775"/>
    <s v="ValuePlus Market"/>
    <d v="2025-02-27T00:00:00"/>
    <s v="Snacks &amp; Candy"/>
    <s v="Tomatoes"/>
    <n v="4"/>
    <n v="1782.01"/>
    <n v="7128.04"/>
    <n v="188.41"/>
    <n v="6939.63"/>
    <n v="181"/>
    <s v="16:34:17"/>
    <n v="27"/>
    <n v="2"/>
    <n v="2025"/>
    <d v="2025-02-27T00:00:00"/>
    <s v="UPI"/>
    <s v="F"/>
    <n v="5"/>
    <s v="Pune"/>
    <x v="1571"/>
  </r>
  <r>
    <n v="9044"/>
    <s v="GreenGrocer Plaza"/>
    <d v="2024-10-27T00:00:00"/>
    <s v="Household Items"/>
    <s v="Yogurt"/>
    <n v="2"/>
    <n v="2358.0300000000002"/>
    <n v="4716.0600000000004"/>
    <n v="0"/>
    <n v="4716.0600000000004"/>
    <n v="426"/>
    <s v="22:23:44"/>
    <n v="27"/>
    <n v="10"/>
    <n v="2024"/>
    <d v="2024-10-27T00:00:00"/>
    <s v="Credit Card"/>
    <s v="F"/>
    <n v="5"/>
    <s v="Jaipur"/>
    <x v="1572"/>
  </r>
  <r>
    <n v="4971"/>
    <s v="SuperSave Central"/>
    <d v="2024-04-16T00:00:00"/>
    <s v="Snacks &amp; Candy"/>
    <s v="Onions"/>
    <n v="4"/>
    <n v="1261.5999999999999"/>
    <n v="5046.3999999999996"/>
    <n v="0"/>
    <n v="5046.3999999999996"/>
    <n v="403"/>
    <s v="09:09:56"/>
    <n v="16"/>
    <n v="4"/>
    <n v="2024"/>
    <d v="2024-04-16T00:00:00"/>
    <s v="Cash"/>
    <s v="F"/>
    <n v="5"/>
    <s v="Jaipur"/>
    <x v="1573"/>
  </r>
  <r>
    <n v="7161"/>
    <s v="GreenGrocer Plaza"/>
    <d v="2024-03-11T00:00:00"/>
    <s v="Personal Care"/>
    <s v="Cheese"/>
    <n v="3"/>
    <n v="510.45"/>
    <n v="1531.35"/>
    <n v="152.72"/>
    <n v="1378.63"/>
    <n v="443"/>
    <s v="16:13:51"/>
    <n v="11"/>
    <n v="3"/>
    <n v="2024"/>
    <d v="2024-03-11T00:00:00"/>
    <s v="UPI"/>
    <s v="F"/>
    <n v="4"/>
    <s v="Lucknow"/>
    <x v="1574"/>
  </r>
  <r>
    <n v="7437"/>
    <s v="MegaMart Westside"/>
    <d v="2024-05-16T00:00:00"/>
    <s v="Snacks &amp; Candy"/>
    <s v="Yogurt"/>
    <n v="5"/>
    <n v="1429.26"/>
    <n v="7146.3"/>
    <n v="714.63"/>
    <n v="6431.67"/>
    <n v="471"/>
    <s v="14:21:19"/>
    <n v="16"/>
    <n v="5"/>
    <n v="2024"/>
    <d v="2024-05-16T00:00:00"/>
    <s v="Credit Card"/>
    <s v="M"/>
    <n v="5"/>
    <s v="Bangalore"/>
    <x v="1575"/>
  </r>
  <r>
    <n v="2865"/>
    <s v="MegaMart Westside"/>
    <d v="2025-07-30T00:00:00"/>
    <s v="Meat &amp; Seafood"/>
    <s v="Bananas"/>
    <n v="2"/>
    <n v="1146.23"/>
    <n v="2292.46"/>
    <n v="277.22000000000003"/>
    <n v="2015.24"/>
    <n v="269"/>
    <s v="04:55:14"/>
    <n v="30"/>
    <n v="7"/>
    <n v="2025"/>
    <d v="2025-07-30T00:00:00"/>
    <s v="Credit Card"/>
    <s v="F"/>
    <n v="1"/>
    <s v="Chennai"/>
    <x v="1576"/>
  </r>
  <r>
    <n v="4273"/>
    <s v="MegaMart Westside"/>
    <d v="2024-11-08T00:00:00"/>
    <s v="Dairy"/>
    <s v="Orange Juice"/>
    <n v="3"/>
    <n v="1292.31"/>
    <n v="3876.93"/>
    <n v="297.97000000000003"/>
    <n v="3578.96"/>
    <n v="6"/>
    <s v="23:35:57"/>
    <n v="8"/>
    <n v="11"/>
    <n v="2024"/>
    <d v="2024-11-08T00:00:00"/>
    <s v="Cash"/>
    <s v="M"/>
    <n v="5"/>
    <s v="Chennai"/>
    <x v="1577"/>
  </r>
  <r>
    <n v="9939"/>
    <s v="City Fresh Store"/>
    <d v="2023-12-24T00:00:00"/>
    <s v="Snacks &amp; Candy"/>
    <s v="Milk"/>
    <n v="3"/>
    <n v="742.02"/>
    <n v="2226.06"/>
    <n v="0"/>
    <n v="2226.06"/>
    <n v="29"/>
    <s v="14:52:46"/>
    <n v="24"/>
    <n v="12"/>
    <n v="2023"/>
    <d v="2023-12-24T00:00:00"/>
    <s v="Cash"/>
    <s v="M"/>
    <n v="2"/>
    <s v="Ahmedabad"/>
    <x v="1578"/>
  </r>
  <r>
    <n v="1440"/>
    <s v="City Fresh Store"/>
    <d v="2025-02-21T00:00:00"/>
    <s v="Household Items"/>
    <s v="Salmon"/>
    <n v="4"/>
    <n v="500.49"/>
    <n v="2001.96"/>
    <n v="205.84"/>
    <n v="1796.12"/>
    <n v="383"/>
    <s v="14:31:47"/>
    <n v="21"/>
    <n v="2"/>
    <n v="2025"/>
    <d v="2025-02-21T00:00:00"/>
    <s v="Debit Card"/>
    <s v="F"/>
    <n v="5"/>
    <s v="Kolkata"/>
    <x v="1579"/>
  </r>
  <r>
    <n v="8563"/>
    <s v="SuperSave Central"/>
    <d v="2025-02-07T00:00:00"/>
    <s v="Meat &amp; Seafood"/>
    <s v="Eggs"/>
    <n v="1"/>
    <n v="1092.28"/>
    <n v="1092.28"/>
    <n v="229.91"/>
    <n v="862.37"/>
    <n v="433"/>
    <s v="11:59:43"/>
    <n v="7"/>
    <n v="2"/>
    <n v="2025"/>
    <d v="2025-02-07T00:00:00"/>
    <s v="UPI"/>
    <s v="F"/>
    <n v="4"/>
    <s v="Kolkata"/>
    <x v="1580"/>
  </r>
  <r>
    <n v="4434"/>
    <s v="FreshMart Downtown"/>
    <d v="2024-07-12T00:00:00"/>
    <s v="Canned Goods"/>
    <s v="Chicken Breast"/>
    <n v="5"/>
    <n v="750.32"/>
    <n v="3751.6"/>
    <n v="0"/>
    <n v="3751.6"/>
    <n v="436"/>
    <s v="18:43:08"/>
    <n v="12"/>
    <n v="7"/>
    <n v="2024"/>
    <d v="2024-07-12T00:00:00"/>
    <s v="UPI"/>
    <s v="M"/>
    <n v="2"/>
    <s v="Chennai"/>
    <x v="1581"/>
  </r>
  <r>
    <n v="5773"/>
    <s v="FreshMart Downtown"/>
    <d v="2025-05-13T00:00:00"/>
    <s v="Canned Goods"/>
    <s v="Cereal"/>
    <n v="2"/>
    <n v="2262.58"/>
    <n v="4525.16"/>
    <n v="87.98"/>
    <n v="4437.18"/>
    <n v="300"/>
    <s v="03:32:00"/>
    <n v="13"/>
    <n v="5"/>
    <n v="2025"/>
    <d v="2025-05-13T00:00:00"/>
    <s v="Debit Card"/>
    <s v="F"/>
    <n v="1"/>
    <s v="Lucknow"/>
    <x v="1582"/>
  </r>
  <r>
    <n v="2133"/>
    <s v="Corner Grocery"/>
    <d v="2025-05-04T00:00:00"/>
    <s v="Snacks &amp; Candy"/>
    <s v="Milk"/>
    <n v="1"/>
    <n v="546.97"/>
    <n v="546.97"/>
    <n v="0"/>
    <n v="546.97"/>
    <n v="389"/>
    <s v="22:40:10"/>
    <n v="4"/>
    <n v="5"/>
    <n v="2025"/>
    <d v="2025-05-04T00:00:00"/>
    <s v="UPI"/>
    <s v="F"/>
    <n v="1"/>
    <s v="Mumbai"/>
    <x v="1583"/>
  </r>
  <r>
    <n v="7703"/>
    <s v="QuickStop Market"/>
    <d v="2025-01-10T00:00:00"/>
    <s v="Dairy"/>
    <s v="Apples"/>
    <n v="4"/>
    <n v="189.24"/>
    <n v="756.96"/>
    <n v="0"/>
    <n v="756.96"/>
    <n v="311"/>
    <s v="07:30:27"/>
    <n v="10"/>
    <n v="1"/>
    <n v="2025"/>
    <d v="2025-01-10T00:00:00"/>
    <s v="UPI"/>
    <s v="M"/>
    <n v="3"/>
    <s v="Chennai"/>
    <x v="1584"/>
  </r>
  <r>
    <n v="9180"/>
    <s v="ValuePlus Market"/>
    <d v="2023-11-23T00:00:00"/>
    <s v="Snacks &amp; Candy"/>
    <s v="Apples"/>
    <n v="1"/>
    <n v="830.83"/>
    <n v="830.83"/>
    <n v="196.71"/>
    <n v="634.12"/>
    <n v="287"/>
    <s v="11:30:31"/>
    <n v="23"/>
    <n v="11"/>
    <n v="2023"/>
    <d v="2023-11-23T00:00:00"/>
    <s v="UPI"/>
    <s v="M"/>
    <n v="2"/>
    <s v="Delhi"/>
    <x v="1585"/>
  </r>
  <r>
    <n v="5961"/>
    <s v="GreenGrocer Plaza"/>
    <d v="2024-02-10T00:00:00"/>
    <s v="Household Items"/>
    <s v="Salmon"/>
    <n v="1"/>
    <n v="361.88"/>
    <n v="361.88"/>
    <n v="0"/>
    <n v="361.88"/>
    <n v="46"/>
    <s v="08:45:51"/>
    <n v="10"/>
    <n v="2"/>
    <n v="2024"/>
    <d v="2024-02-10T00:00:00"/>
    <s v="UPI"/>
    <s v="M"/>
    <n v="3"/>
    <s v="Chennai"/>
    <x v="1586"/>
  </r>
  <r>
    <n v="5139"/>
    <s v="GreenGrocer Plaza"/>
    <d v="2024-12-30T00:00:00"/>
    <s v="Meat &amp; Seafood"/>
    <s v="Cereal"/>
    <n v="5"/>
    <n v="1590.28"/>
    <n v="7951.4"/>
    <n v="155.21"/>
    <n v="7796.19"/>
    <n v="10"/>
    <s v="10:45:26"/>
    <n v="30"/>
    <n v="12"/>
    <n v="2024"/>
    <d v="2024-12-30T00:00:00"/>
    <s v="UPI"/>
    <s v="F"/>
    <n v="2"/>
    <s v="Delhi"/>
    <x v="1587"/>
  </r>
  <r>
    <n v="3525"/>
    <s v="MegaMart Westside"/>
    <d v="2025-02-12T00:00:00"/>
    <s v="Beverages"/>
    <s v="Bread"/>
    <n v="2"/>
    <n v="823.36"/>
    <n v="1646.72"/>
    <n v="0"/>
    <n v="1646.72"/>
    <n v="348"/>
    <s v="05:02:59"/>
    <n v="12"/>
    <n v="2"/>
    <n v="2025"/>
    <d v="2025-02-12T00:00:00"/>
    <s v="Cash"/>
    <s v="M"/>
    <n v="2"/>
    <s v="Jaipur"/>
    <x v="1588"/>
  </r>
  <r>
    <n v="7932"/>
    <s v="SuperSave Central"/>
    <d v="2025-04-10T00:00:00"/>
    <s v="Frozen Foods"/>
    <s v="Milk"/>
    <n v="4"/>
    <n v="1781.18"/>
    <n v="7124.72"/>
    <n v="1425.11"/>
    <n v="5699.61"/>
    <n v="91"/>
    <s v="16:39:57"/>
    <n v="10"/>
    <n v="4"/>
    <n v="2025"/>
    <d v="2025-04-10T00:00:00"/>
    <s v="UPI"/>
    <s v="F"/>
    <n v="4"/>
    <s v="Kolkata"/>
    <x v="1589"/>
  </r>
  <r>
    <n v="7176"/>
    <s v="MegaMart Westside"/>
    <d v="2023-10-03T00:00:00"/>
    <s v="Snacks &amp; Candy"/>
    <s v="Ground Beef"/>
    <n v="2"/>
    <n v="738.7"/>
    <n v="1477.4"/>
    <n v="221.61"/>
    <n v="1255.79"/>
    <n v="102"/>
    <s v="17:18:29"/>
    <n v="3"/>
    <n v="10"/>
    <n v="2023"/>
    <d v="2023-10-03T00:00:00"/>
    <s v="Cash"/>
    <s v="M"/>
    <n v="3"/>
    <s v="Ahmedabad"/>
    <x v="1590"/>
  </r>
  <r>
    <n v="8357"/>
    <s v="QuickStop Market"/>
    <d v="2024-11-13T00:00:00"/>
    <s v="Beverages"/>
    <s v="Pasta"/>
    <n v="1"/>
    <n v="1261.5999999999999"/>
    <n v="1261.5999999999999"/>
    <n v="189.24"/>
    <n v="1072.3599999999999"/>
    <n v="296"/>
    <s v="23:09:58"/>
    <n v="13"/>
    <n v="11"/>
    <n v="2024"/>
    <d v="2024-11-13T00:00:00"/>
    <s v="UPI"/>
    <s v="M"/>
    <n v="4"/>
    <s v="Ahmedabad"/>
    <x v="1591"/>
  </r>
  <r>
    <n v="8851"/>
    <s v="ValuePlus Market"/>
    <d v="2024-11-01T00:00:00"/>
    <s v="Beverages"/>
    <s v="Apples"/>
    <n v="1"/>
    <n v="2367.9899999999998"/>
    <n v="2367.9899999999998"/>
    <n v="473.93"/>
    <n v="1894.06"/>
    <n v="299"/>
    <s v="08:21:49"/>
    <n v="1"/>
    <n v="11"/>
    <n v="2024"/>
    <d v="2024-11-01T00:00:00"/>
    <s v="Debit Card"/>
    <s v="M"/>
    <n v="2"/>
    <s v="Lucknow"/>
    <x v="444"/>
  </r>
  <r>
    <n v="7566"/>
    <s v="ValuePlus Market"/>
    <d v="2024-09-25T00:00:00"/>
    <s v="Household Items"/>
    <s v="Yogurt"/>
    <n v="4"/>
    <n v="917.15"/>
    <n v="3668.6"/>
    <n v="733.72"/>
    <n v="2934.88"/>
    <n v="415"/>
    <s v="13:16:22"/>
    <n v="25"/>
    <n v="9"/>
    <n v="2024"/>
    <d v="2024-09-25T00:00:00"/>
    <s v="Credit Card"/>
    <s v="F"/>
    <n v="1"/>
    <s v="Bangalore"/>
    <x v="1592"/>
  </r>
  <r>
    <n v="9300"/>
    <s v="MegaMart Westside"/>
    <d v="2025-07-24T00:00:00"/>
    <s v="Personal Care"/>
    <s v="Onions"/>
    <n v="3"/>
    <n v="300.45999999999998"/>
    <n v="901.38"/>
    <n v="135.29"/>
    <n v="766.09"/>
    <n v="395"/>
    <s v="21:31:48"/>
    <n v="24"/>
    <n v="7"/>
    <n v="2025"/>
    <d v="2025-07-24T00:00:00"/>
    <s v="Cash"/>
    <s v="F"/>
    <n v="2"/>
    <s v="Chennai"/>
    <x v="1593"/>
  </r>
  <r>
    <n v="7853"/>
    <s v="FamilyFood Express"/>
    <d v="2024-10-02T00:00:00"/>
    <s v="Beverages"/>
    <s v="Pasta"/>
    <n v="1"/>
    <n v="2301.59"/>
    <n v="2301.59"/>
    <n v="229.91"/>
    <n v="2071.6799999999998"/>
    <n v="264"/>
    <s v="23:49:26"/>
    <n v="2"/>
    <n v="10"/>
    <n v="2024"/>
    <d v="2024-10-02T00:00:00"/>
    <s v="UPI"/>
    <s v="M"/>
    <n v="4"/>
    <s v="Delhi"/>
    <x v="1594"/>
  </r>
  <r>
    <n v="1602"/>
    <s v="SuperSave Central"/>
    <d v="2025-04-12T00:00:00"/>
    <s v="Beverages"/>
    <s v="Cereal"/>
    <n v="3"/>
    <n v="1439.22"/>
    <n v="4317.66"/>
    <n v="647.4"/>
    <n v="3670.26"/>
    <n v="337"/>
    <s v="17:48:28"/>
    <n v="12"/>
    <n v="4"/>
    <n v="2025"/>
    <d v="2025-04-12T00:00:00"/>
    <s v="Debit Card"/>
    <s v="M"/>
    <n v="3"/>
    <s v="Lucknow"/>
    <x v="1595"/>
  </r>
  <r>
    <n v="6890"/>
    <s v="GreenGrocer Plaza"/>
    <d v="2025-02-01T00:00:00"/>
    <s v="Health &amp; Wellness"/>
    <s v="Orange Juice"/>
    <n v="1"/>
    <n v="463.97"/>
    <n v="463.97"/>
    <n v="69.72"/>
    <n v="394.25"/>
    <n v="243"/>
    <s v="19:15:21"/>
    <n v="1"/>
    <n v="2"/>
    <n v="2025"/>
    <d v="2025-02-01T00:00:00"/>
    <s v="Credit Card"/>
    <s v="M"/>
    <n v="3"/>
    <s v="Bangalore"/>
    <x v="1596"/>
  </r>
  <r>
    <n v="9796"/>
    <s v="GreenGrocer Plaza"/>
    <d v="2024-11-10T00:00:00"/>
    <s v="Meat &amp; Seafood"/>
    <s v="Orange Juice"/>
    <n v="3"/>
    <n v="473.93"/>
    <n v="1421.79"/>
    <n v="229.08"/>
    <n v="1192.71"/>
    <n v="279"/>
    <s v="01:37:11"/>
    <n v="10"/>
    <n v="11"/>
    <n v="2024"/>
    <d v="2024-11-10T00:00:00"/>
    <s v="Cash"/>
    <s v="F"/>
    <n v="4"/>
    <s v="Chennai"/>
    <x v="1597"/>
  </r>
  <r>
    <n v="2392"/>
    <s v="City Fresh Store"/>
    <d v="2023-10-30T00:00:00"/>
    <s v="Household Items"/>
    <s v="Cheese"/>
    <n v="4"/>
    <n v="1221.76"/>
    <n v="4887.04"/>
    <n v="0"/>
    <n v="4887.04"/>
    <n v="124"/>
    <s v="02:41:51"/>
    <n v="30"/>
    <n v="10"/>
    <n v="2023"/>
    <d v="2023-10-30T00:00:00"/>
    <s v="Credit Card"/>
    <s v="M"/>
    <n v="3"/>
    <s v="Ahmedabad"/>
    <x v="1598"/>
  </r>
  <r>
    <n v="5067"/>
    <s v="MegaMart Westside"/>
    <d v="2024-12-29T00:00:00"/>
    <s v="Household Items"/>
    <s v="Cereal"/>
    <n v="4"/>
    <n v="1715.61"/>
    <n v="6862.44"/>
    <n v="1372.82"/>
    <n v="5489.62"/>
    <n v="153"/>
    <s v="17:16:34"/>
    <n v="29"/>
    <n v="12"/>
    <n v="2024"/>
    <d v="2024-12-29T00:00:00"/>
    <s v="Debit Card"/>
    <s v="F"/>
    <n v="5"/>
    <s v="Kolkata"/>
    <x v="1599"/>
  </r>
  <r>
    <n v="6816"/>
    <s v="ValuePlus Market"/>
    <d v="2023-12-14T00:00:00"/>
    <s v="Dairy"/>
    <s v="Cheese"/>
    <n v="4"/>
    <n v="1945.52"/>
    <n v="7782.08"/>
    <n v="92.13"/>
    <n v="7689.95"/>
    <n v="488"/>
    <s v="18:00:48"/>
    <n v="14"/>
    <n v="12"/>
    <n v="2023"/>
    <d v="2023-12-14T00:00:00"/>
    <s v="Cash"/>
    <s v="M"/>
    <n v="1"/>
    <s v="Bangalore"/>
    <x v="1600"/>
  </r>
  <r>
    <n v="1725"/>
    <s v="GreenGrocer Plaza"/>
    <d v="2024-10-17T00:00:00"/>
    <s v="Meat &amp; Seafood"/>
    <s v="Rice"/>
    <n v="5"/>
    <n v="2405.34"/>
    <n v="12026.7"/>
    <n v="332.83"/>
    <n v="11693.87"/>
    <n v="482"/>
    <s v="12:40:47"/>
    <n v="17"/>
    <n v="10"/>
    <n v="2024"/>
    <d v="2024-10-17T00:00:00"/>
    <s v="Credit Card"/>
    <s v="M"/>
    <n v="1"/>
    <s v="Lucknow"/>
    <x v="1601"/>
  </r>
  <r>
    <n v="7547"/>
    <s v="SuperSave Central"/>
    <d v="2025-03-13T00:00:00"/>
    <s v="Health &amp; Wellness"/>
    <s v="Cereal"/>
    <n v="1"/>
    <n v="2417.79"/>
    <n v="2417.79"/>
    <n v="362.71"/>
    <n v="2055.08"/>
    <n v="158"/>
    <s v="01:04:42"/>
    <n v="13"/>
    <n v="3"/>
    <n v="2025"/>
    <d v="2025-03-13T00:00:00"/>
    <s v="UPI"/>
    <s v="M"/>
    <n v="1"/>
    <s v="Delhi"/>
    <x v="1602"/>
  </r>
  <r>
    <n v="6432"/>
    <s v="City Fresh Store"/>
    <d v="2025-04-16T00:00:00"/>
    <s v="Snacks &amp; Candy"/>
    <s v="Apples"/>
    <n v="4"/>
    <n v="83.83"/>
    <n v="335.32"/>
    <n v="67.23"/>
    <n v="268.08999999999997"/>
    <n v="75"/>
    <s v="17:30:14"/>
    <n v="16"/>
    <n v="4"/>
    <n v="2025"/>
    <d v="2025-04-16T00:00:00"/>
    <s v="Cash"/>
    <s v="M"/>
    <n v="3"/>
    <s v="Ahmedabad"/>
    <x v="1603"/>
  </r>
  <r>
    <n v="8052"/>
    <s v="QuickStop Market"/>
    <d v="2023-10-28T00:00:00"/>
    <s v="Frozen Foods"/>
    <s v="Bread"/>
    <n v="2"/>
    <n v="650.72"/>
    <n v="1301.44"/>
    <n v="323.7"/>
    <n v="977.74"/>
    <n v="104"/>
    <s v="21:21:46"/>
    <n v="28"/>
    <n v="10"/>
    <n v="2023"/>
    <d v="2023-10-28T00:00:00"/>
    <s v="Credit Card"/>
    <s v="M"/>
    <n v="3"/>
    <s v="Jaipur"/>
    <x v="1604"/>
  </r>
  <r>
    <n v="1172"/>
    <s v="SuperSave Central"/>
    <d v="2023-10-22T00:00:00"/>
    <s v="Health &amp; Wellness"/>
    <s v="Onions"/>
    <n v="3"/>
    <n v="93.79"/>
    <n v="281.37"/>
    <n v="239.04"/>
    <n v="42.33"/>
    <n v="81"/>
    <s v="18:52:28"/>
    <n v="22"/>
    <n v="10"/>
    <n v="2023"/>
    <d v="2023-10-22T00:00:00"/>
    <s v="Debit Card"/>
    <s v="M"/>
    <n v="2"/>
    <s v="Kolkata"/>
    <x v="1605"/>
  </r>
  <r>
    <n v="5239"/>
    <s v="Corner Grocery"/>
    <d v="2024-01-26T00:00:00"/>
    <s v="Bakery"/>
    <s v="Potatoes"/>
    <n v="4"/>
    <n v="2083.3000000000002"/>
    <n v="8333.2000000000007"/>
    <n v="211.65"/>
    <n v="8121.55"/>
    <n v="361"/>
    <s v="06:42:53"/>
    <n v="26"/>
    <n v="1"/>
    <n v="2024"/>
    <d v="2024-01-26T00:00:00"/>
    <s v="Debit Card"/>
    <s v="F"/>
    <n v="2"/>
    <s v="Chennai"/>
    <x v="1606"/>
  </r>
  <r>
    <n v="9366"/>
    <s v="MegaMart Westside"/>
    <d v="2025-03-09T00:00:00"/>
    <s v="Meat &amp; Seafood"/>
    <s v="Tomatoes"/>
    <n v="3"/>
    <n v="2243.4899999999998"/>
    <n v="6730.47"/>
    <n v="214.14"/>
    <n v="6516.33"/>
    <n v="419"/>
    <s v="10:54:20"/>
    <n v="9"/>
    <n v="3"/>
    <n v="2025"/>
    <d v="2025-03-09T00:00:00"/>
    <s v="Cash"/>
    <s v="M"/>
    <n v="1"/>
    <s v="Bangalore"/>
    <x v="1607"/>
  </r>
  <r>
    <n v="9499"/>
    <s v="GreenGrocer Plaza"/>
    <d v="2024-10-13T00:00:00"/>
    <s v="Canned Goods"/>
    <s v="Potatoes"/>
    <n v="5"/>
    <n v="146.91"/>
    <n v="734.55"/>
    <n v="146.91"/>
    <n v="587.64"/>
    <n v="453"/>
    <s v="06:14:14"/>
    <n v="13"/>
    <n v="10"/>
    <n v="2024"/>
    <d v="2024-10-13T00:00:00"/>
    <s v="Credit Card"/>
    <s v="F"/>
    <n v="5"/>
    <s v="Jaipur"/>
    <x v="1608"/>
  </r>
  <r>
    <n v="4621"/>
    <s v="MegaMart Westside"/>
    <d v="2024-07-18T00:00:00"/>
    <s v="Canned Goods"/>
    <s v="Cereal"/>
    <n v="5"/>
    <n v="2063.38"/>
    <n v="10316.9"/>
    <n v="297.14"/>
    <n v="10019.76"/>
    <n v="312"/>
    <s v="22:48:37"/>
    <n v="18"/>
    <n v="7"/>
    <n v="2024"/>
    <d v="2024-07-18T00:00:00"/>
    <s v="Cash"/>
    <s v="M"/>
    <n v="2"/>
    <s v="Delhi"/>
    <x v="1609"/>
  </r>
  <r>
    <n v="7129"/>
    <s v="SuperSave Central"/>
    <d v="2024-06-05T00:00:00"/>
    <s v="Beverages"/>
    <s v="Yogurt"/>
    <n v="1"/>
    <n v="590.96"/>
    <n v="590.96"/>
    <n v="88.81"/>
    <n v="502.15"/>
    <n v="222"/>
    <s v="10:58:38"/>
    <n v="5"/>
    <n v="6"/>
    <n v="2024"/>
    <d v="2024-06-05T00:00:00"/>
    <s v="Cash"/>
    <s v="M"/>
    <n v="2"/>
    <s v="Kolkata"/>
    <x v="1610"/>
  </r>
  <r>
    <n v="8586"/>
    <s v="Corner Grocery"/>
    <d v="2025-03-28T00:00:00"/>
    <s v="Health &amp; Wellness"/>
    <s v="Apples"/>
    <n v="4"/>
    <n v="444.88"/>
    <n v="1779.52"/>
    <n v="0"/>
    <n v="1779.52"/>
    <n v="159"/>
    <s v="23:31:43"/>
    <n v="28"/>
    <n v="3"/>
    <n v="2025"/>
    <d v="2025-03-28T00:00:00"/>
    <s v="Credit Card"/>
    <s v="F"/>
    <n v="3"/>
    <s v="Jaipur"/>
    <x v="1611"/>
  </r>
  <r>
    <n v="9199"/>
    <s v="City Fresh Store"/>
    <d v="2023-12-02T00:00:00"/>
    <s v="Produce"/>
    <s v="Pasta"/>
    <n v="4"/>
    <n v="514.6"/>
    <n v="2058.4"/>
    <n v="205.84"/>
    <n v="1852.56"/>
    <n v="203"/>
    <s v="05:49:49"/>
    <n v="2"/>
    <n v="12"/>
    <n v="2023"/>
    <d v="2023-12-02T00:00:00"/>
    <s v="Credit Card"/>
    <s v="M"/>
    <n v="5"/>
    <s v="Chennai"/>
    <x v="1612"/>
  </r>
  <r>
    <n v="6651"/>
    <s v="GreenGrocer Plaza"/>
    <d v="2023-08-26T00:00:00"/>
    <s v="Canned Goods"/>
    <s v="Chicken Breast"/>
    <n v="4"/>
    <n v="2016.07"/>
    <n v="8064.28"/>
    <n v="1209.31"/>
    <n v="6854.97"/>
    <n v="6"/>
    <s v="07:35:12"/>
    <n v="26"/>
    <n v="8"/>
    <n v="2023"/>
    <d v="2023-08-26T00:00:00"/>
    <s v="UPI"/>
    <s v="F"/>
    <n v="1"/>
    <s v="Mumbai"/>
    <x v="1613"/>
  </r>
  <r>
    <n v="8909"/>
    <s v="SuperSave Central"/>
    <d v="2023-10-27T00:00:00"/>
    <s v="Household Items"/>
    <s v="Carrots"/>
    <n v="4"/>
    <n v="1733.87"/>
    <n v="6935.48"/>
    <n v="0"/>
    <n v="6935.48"/>
    <n v="5"/>
    <s v="05:55:28"/>
    <n v="27"/>
    <n v="10"/>
    <n v="2023"/>
    <d v="2023-10-27T00:00:00"/>
    <s v="Credit Card"/>
    <s v="F"/>
    <n v="2"/>
    <s v="Chennai"/>
    <x v="1614"/>
  </r>
  <r>
    <n v="5840"/>
    <s v="Corner Grocery"/>
    <d v="2024-06-25T00:00:00"/>
    <s v="Snacks &amp; Candy"/>
    <s v="Milk"/>
    <n v="3"/>
    <n v="1104.73"/>
    <n v="3314.19"/>
    <n v="351.09"/>
    <n v="2963.1"/>
    <n v="379"/>
    <s v="15:37:15"/>
    <n v="25"/>
    <n v="6"/>
    <n v="2024"/>
    <d v="2024-06-25T00:00:00"/>
    <s v="Debit Card"/>
    <s v="M"/>
    <n v="5"/>
    <s v="Ahmedabad"/>
    <x v="1615"/>
  </r>
  <r>
    <n v="2406"/>
    <s v="City Fresh Store"/>
    <d v="2023-11-05T00:00:00"/>
    <s v="Personal Care"/>
    <s v="Orange Juice"/>
    <n v="4"/>
    <n v="1796.12"/>
    <n v="7184.48"/>
    <n v="343.62"/>
    <n v="6840.86"/>
    <n v="432"/>
    <s v="13:01:58"/>
    <n v="5"/>
    <n v="11"/>
    <n v="2023"/>
    <d v="2023-11-05T00:00:00"/>
    <s v="Cash"/>
    <s v="F"/>
    <n v="5"/>
    <s v="Bangalore"/>
    <x v="1616"/>
  </r>
  <r>
    <n v="3321"/>
    <s v="Corner Grocery"/>
    <d v="2024-05-03T00:00:00"/>
    <s v="Personal Care"/>
    <s v="Tomatoes"/>
    <n v="1"/>
    <n v="444.05"/>
    <n v="444.05"/>
    <n v="88.81"/>
    <n v="355.24"/>
    <n v="172"/>
    <s v="02:47:16"/>
    <n v="3"/>
    <n v="5"/>
    <n v="2024"/>
    <d v="2024-05-03T00:00:00"/>
    <s v="Cash"/>
    <s v="F"/>
    <n v="1"/>
    <s v="Hyderabad"/>
    <x v="1617"/>
  </r>
  <r>
    <n v="6110"/>
    <s v="ValuePlus Market"/>
    <d v="2024-04-29T00:00:00"/>
    <s v="Household Items"/>
    <s v="Salmon"/>
    <n v="4"/>
    <n v="199.2"/>
    <n v="796.8"/>
    <n v="371.01"/>
    <n v="425.79"/>
    <n v="144"/>
    <s v="05:17:41"/>
    <n v="29"/>
    <n v="4"/>
    <n v="2024"/>
    <d v="2024-04-29T00:00:00"/>
    <s v="Debit Card"/>
    <s v="M"/>
    <n v="5"/>
    <s v="Chennai"/>
    <x v="1618"/>
  </r>
  <r>
    <n v="8460"/>
    <s v="City Fresh Store"/>
    <d v="2025-04-07T00:00:00"/>
    <s v="Canned Goods"/>
    <s v="Milk"/>
    <n v="5"/>
    <n v="1734.7"/>
    <n v="8673.5"/>
    <n v="1300.6099999999999"/>
    <n v="7372.89"/>
    <n v="129"/>
    <s v="17:59:57"/>
    <n v="7"/>
    <n v="4"/>
    <n v="2025"/>
    <d v="2025-04-07T00:00:00"/>
    <s v="Credit Card"/>
    <s v="F"/>
    <n v="5"/>
    <s v="Pune"/>
    <x v="1619"/>
  </r>
  <r>
    <n v="4389"/>
    <s v="QuickStop Market"/>
    <d v="2024-09-14T00:00:00"/>
    <s v="Produce"/>
    <s v="Onions"/>
    <n v="3"/>
    <n v="512.11"/>
    <n v="1536.33"/>
    <n v="231.57"/>
    <n v="1304.76"/>
    <n v="182"/>
    <s v="13:52:08"/>
    <n v="14"/>
    <n v="9"/>
    <n v="2024"/>
    <d v="2024-09-14T00:00:00"/>
    <s v="Debit Card"/>
    <s v="M"/>
    <n v="5"/>
    <s v="Hyderabad"/>
    <x v="1620"/>
  </r>
  <r>
    <n v="8912"/>
    <s v="QuickStop Market"/>
    <d v="2024-05-03T00:00:00"/>
    <s v="Health &amp; Wellness"/>
    <s v="Milk"/>
    <n v="5"/>
    <n v="351.09"/>
    <n v="1755.45"/>
    <n v="327.85"/>
    <n v="1427.6"/>
    <n v="374"/>
    <s v="23:44:03"/>
    <n v="3"/>
    <n v="5"/>
    <n v="2024"/>
    <d v="2024-05-03T00:00:00"/>
    <s v="Debit Card"/>
    <s v="M"/>
    <n v="2"/>
    <s v="Hyderabad"/>
    <x v="1621"/>
  </r>
  <r>
    <n v="8801"/>
    <s v="FamilyFood Express"/>
    <d v="2023-10-21T00:00:00"/>
    <s v="Meat &amp; Seafood"/>
    <s v="Bread"/>
    <n v="5"/>
    <n v="309.58999999999997"/>
    <n v="1547.95"/>
    <n v="0"/>
    <n v="1547.95"/>
    <n v="372"/>
    <s v="08:30:46"/>
    <n v="21"/>
    <n v="10"/>
    <n v="2023"/>
    <d v="2023-10-21T00:00:00"/>
    <s v="UPI"/>
    <s v="M"/>
    <n v="1"/>
    <s v="Bangalore"/>
    <x v="1622"/>
  </r>
  <r>
    <n v="8178"/>
    <s v="City Fresh Store"/>
    <d v="2025-02-17T00:00:00"/>
    <s v="Snacks &amp; Candy"/>
    <s v="Pasta"/>
    <n v="3"/>
    <n v="2421.11"/>
    <n v="7263.33"/>
    <n v="0"/>
    <n v="7263.33"/>
    <n v="352"/>
    <s v="21:12:23"/>
    <n v="17"/>
    <n v="2"/>
    <n v="2025"/>
    <d v="2025-02-17T00:00:00"/>
    <s v="Debit Card"/>
    <s v="M"/>
    <n v="5"/>
    <s v="Bangalore"/>
    <x v="1623"/>
  </r>
  <r>
    <n v="8412"/>
    <s v="ValuePlus Market"/>
    <d v="2024-04-10T00:00:00"/>
    <s v="Household Items"/>
    <s v="Salmon"/>
    <n v="1"/>
    <n v="266.43"/>
    <n v="266.43"/>
    <n v="53.12"/>
    <n v="213.31"/>
    <n v="190"/>
    <s v="07:38:33"/>
    <n v="10"/>
    <n v="4"/>
    <n v="2024"/>
    <d v="2024-04-10T00:00:00"/>
    <s v="Cash"/>
    <s v="F"/>
    <n v="5"/>
    <s v="Delhi"/>
    <x v="1624"/>
  </r>
  <r>
    <n v="2100"/>
    <s v="GreenGrocer Plaza"/>
    <d v="2024-03-27T00:00:00"/>
    <s v="Snacks &amp; Candy"/>
    <s v="Carrots"/>
    <n v="1"/>
    <n v="895.57"/>
    <n v="895.57"/>
    <n v="89.64"/>
    <n v="805.93"/>
    <n v="326"/>
    <s v="14:24:03"/>
    <n v="27"/>
    <n v="3"/>
    <n v="2024"/>
    <d v="2024-03-27T00:00:00"/>
    <s v="Debit Card"/>
    <s v="M"/>
    <n v="2"/>
    <s v="Ahmedabad"/>
    <x v="1625"/>
  </r>
  <r>
    <n v="1732"/>
    <s v="Corner Grocery"/>
    <d v="2025-04-27T00:00:00"/>
    <s v="Produce"/>
    <s v="Apples"/>
    <n v="3"/>
    <n v="1819.36"/>
    <n v="5458.08"/>
    <n v="546.14"/>
    <n v="4911.9399999999996"/>
    <n v="380"/>
    <s v="01:43:04"/>
    <n v="27"/>
    <n v="4"/>
    <n v="2025"/>
    <d v="2025-04-27T00:00:00"/>
    <s v="Cash"/>
    <s v="M"/>
    <n v="1"/>
    <s v="Delhi"/>
    <x v="1626"/>
  </r>
  <r>
    <n v="2885"/>
    <s v="GreenGrocer Plaza"/>
    <d v="2023-08-24T00:00:00"/>
    <s v="Bakery"/>
    <s v="Pasta"/>
    <n v="3"/>
    <n v="1563.72"/>
    <n v="4691.16"/>
    <n v="0"/>
    <n v="4691.16"/>
    <n v="276"/>
    <s v="18:18:18"/>
    <n v="24"/>
    <n v="8"/>
    <n v="2023"/>
    <d v="2023-08-24T00:00:00"/>
    <s v="Cash"/>
    <s v="F"/>
    <n v="3"/>
    <s v="Jaipur"/>
    <x v="1627"/>
  </r>
  <r>
    <n v="6620"/>
    <s v="FreshMart Downtown"/>
    <d v="2024-12-22T00:00:00"/>
    <s v="Canned Goods"/>
    <s v="Potatoes"/>
    <n v="2"/>
    <n v="1913.15"/>
    <n v="3826.3"/>
    <n v="0"/>
    <n v="3826.3"/>
    <n v="223"/>
    <s v="07:38:33"/>
    <n v="22"/>
    <n v="12"/>
    <n v="2024"/>
    <d v="2024-12-22T00:00:00"/>
    <s v="Cash"/>
    <s v="M"/>
    <n v="2"/>
    <s v="Jaipur"/>
    <x v="1624"/>
  </r>
  <r>
    <n v="2791"/>
    <s v="SuperSave Central"/>
    <d v="2025-01-13T00:00:00"/>
    <s v="Frozen Foods"/>
    <s v="Carrots"/>
    <n v="1"/>
    <n v="1537.16"/>
    <n v="1537.16"/>
    <n v="0"/>
    <n v="1537.16"/>
    <n v="465"/>
    <s v="05:26:16"/>
    <n v="13"/>
    <n v="1"/>
    <n v="2025"/>
    <d v="2025-01-13T00:00:00"/>
    <s v="Credit Card"/>
    <s v="M"/>
    <n v="1"/>
    <s v="Jaipur"/>
    <x v="1628"/>
  </r>
  <r>
    <n v="3692"/>
    <s v="QuickStop Market"/>
    <d v="2025-07-29T00:00:00"/>
    <s v="Frozen Foods"/>
    <s v="Bananas"/>
    <n v="4"/>
    <n v="581"/>
    <n v="2324"/>
    <n v="0"/>
    <n v="2324"/>
    <n v="400"/>
    <s v="12:26:26"/>
    <n v="29"/>
    <n v="7"/>
    <n v="2025"/>
    <d v="2025-07-29T00:00:00"/>
    <s v="UPI"/>
    <s v="F"/>
    <n v="5"/>
    <s v="Mumbai"/>
    <x v="1629"/>
  </r>
  <r>
    <n v="4996"/>
    <s v="SuperSave Central"/>
    <d v="2024-09-10T00:00:00"/>
    <s v="Frozen Foods"/>
    <s v="Pasta"/>
    <n v="4"/>
    <n v="1523.88"/>
    <n v="6095.52"/>
    <n v="156.87"/>
    <n v="5938.65"/>
    <n v="499"/>
    <s v="00:25:57"/>
    <n v="10"/>
    <n v="9"/>
    <n v="2024"/>
    <d v="2024-09-10T00:00:00"/>
    <s v="Cash"/>
    <s v="F"/>
    <n v="1"/>
    <s v="Chennai"/>
    <x v="1630"/>
  </r>
  <r>
    <n v="3858"/>
    <s v="FreshMart Downtown"/>
    <d v="2024-10-08T00:00:00"/>
    <s v="Canned Goods"/>
    <s v="Ground Beef"/>
    <n v="1"/>
    <n v="1553.76"/>
    <n v="1553.76"/>
    <n v="222.44"/>
    <n v="1331.32"/>
    <n v="372"/>
    <s v="20:22:50"/>
    <n v="8"/>
    <n v="10"/>
    <n v="2024"/>
    <d v="2024-10-08T00:00:00"/>
    <s v="Cash"/>
    <s v="F"/>
    <n v="1"/>
    <s v="Lucknow"/>
    <x v="1631"/>
  </r>
  <r>
    <n v="3623"/>
    <s v="MegaMart Westside"/>
    <d v="2024-04-20T00:00:00"/>
    <s v="Personal Care"/>
    <s v="Tomatoes"/>
    <n v="4"/>
    <n v="2320.6799999999998"/>
    <n v="9282.7199999999993"/>
    <n v="1392.74"/>
    <n v="7889.98"/>
    <n v="6"/>
    <s v="19:06:49"/>
    <n v="20"/>
    <n v="4"/>
    <n v="2024"/>
    <d v="2024-04-20T00:00:00"/>
    <s v="Credit Card"/>
    <s v="F"/>
    <n v="1"/>
    <s v="Bangalore"/>
    <x v="1632"/>
  </r>
  <r>
    <n v="7985"/>
    <s v="MegaMart Westside"/>
    <d v="2024-07-30T00:00:00"/>
    <s v="Canned Goods"/>
    <s v="Salmon"/>
    <n v="2"/>
    <n v="1194.3699999999999"/>
    <n v="2388.7399999999998"/>
    <n v="478.08"/>
    <n v="1910.66"/>
    <n v="380"/>
    <s v="07:56:17"/>
    <n v="30"/>
    <n v="7"/>
    <n v="2024"/>
    <d v="2024-07-30T00:00:00"/>
    <s v="Cash"/>
    <s v="F"/>
    <n v="3"/>
    <s v="Lucknow"/>
    <x v="1633"/>
  </r>
  <r>
    <n v="4798"/>
    <s v="ValuePlus Market"/>
    <d v="2025-04-17T00:00:00"/>
    <s v="Meat &amp; Seafood"/>
    <s v="Tomatoes"/>
    <n v="3"/>
    <n v="1052.44"/>
    <n v="3157.32"/>
    <n v="0"/>
    <n v="3157.32"/>
    <n v="338"/>
    <s v="12:25:44"/>
    <n v="17"/>
    <n v="4"/>
    <n v="2025"/>
    <d v="2025-04-17T00:00:00"/>
    <s v="Debit Card"/>
    <s v="F"/>
    <n v="1"/>
    <s v="Kolkata"/>
    <x v="1634"/>
  </r>
  <r>
    <n v="7636"/>
    <s v="City Fresh Store"/>
    <d v="2024-12-08T00:00:00"/>
    <s v="Personal Care"/>
    <s v="Orange Juice"/>
    <n v="1"/>
    <n v="581.83000000000004"/>
    <n v="581.83000000000004"/>
    <n v="87.15"/>
    <n v="494.68"/>
    <n v="271"/>
    <s v="01:03:25"/>
    <n v="8"/>
    <n v="12"/>
    <n v="2024"/>
    <d v="2024-12-08T00:00:00"/>
    <s v="Debit Card"/>
    <s v="F"/>
    <n v="3"/>
    <s v="Bangalore"/>
    <x v="1635"/>
  </r>
  <r>
    <n v="4022"/>
    <s v="QuickStop Market"/>
    <d v="2023-12-29T00:00:00"/>
    <s v="Canned Goods"/>
    <s v="Salmon"/>
    <n v="4"/>
    <n v="153.55000000000001"/>
    <n v="614.20000000000005"/>
    <n v="200.03"/>
    <n v="414.17"/>
    <n v="319"/>
    <s v="00:49:33"/>
    <n v="29"/>
    <n v="12"/>
    <n v="2023"/>
    <d v="2023-12-29T00:00:00"/>
    <s v="UPI"/>
    <s v="M"/>
    <n v="5"/>
    <s v="Bangalore"/>
    <x v="1636"/>
  </r>
  <r>
    <n v="8080"/>
    <s v="Corner Grocery"/>
    <d v="2024-06-09T00:00:00"/>
    <s v="Snacks &amp; Candy"/>
    <s v="Bananas"/>
    <n v="3"/>
    <n v="1421.79"/>
    <n v="4265.37"/>
    <n v="426.62"/>
    <n v="3838.75"/>
    <n v="251"/>
    <s v="12:24:25"/>
    <n v="9"/>
    <n v="6"/>
    <n v="2024"/>
    <d v="2024-06-09T00:00:00"/>
    <s v="Cash"/>
    <s v="F"/>
    <n v="3"/>
    <s v="Bangalore"/>
    <x v="1637"/>
  </r>
  <r>
    <n v="1478"/>
    <s v="ValuePlus Market"/>
    <d v="2025-03-01T00:00:00"/>
    <s v="Meat &amp; Seafood"/>
    <s v="Tomatoes"/>
    <n v="5"/>
    <n v="2366.33"/>
    <n v="11831.65"/>
    <n v="1183.58"/>
    <n v="10648.07"/>
    <n v="63"/>
    <s v="13:00:54"/>
    <n v="1"/>
    <n v="3"/>
    <n v="2025"/>
    <d v="2025-03-01T00:00:00"/>
    <s v="Credit Card"/>
    <s v="F"/>
    <n v="5"/>
    <s v="Lucknow"/>
    <x v="1638"/>
  </r>
  <r>
    <n v="4232"/>
    <s v="FamilyFood Express"/>
    <d v="2024-07-21T00:00:00"/>
    <s v="Bakery"/>
    <s v="Chicken Breast"/>
    <n v="5"/>
    <n v="778.54"/>
    <n v="3892.7"/>
    <n v="0"/>
    <n v="3892.7"/>
    <n v="442"/>
    <s v="11:50:42"/>
    <n v="21"/>
    <n v="7"/>
    <n v="2024"/>
    <d v="2024-07-21T00:00:00"/>
    <s v="Debit Card"/>
    <s v="F"/>
    <n v="5"/>
    <s v="Bangalore"/>
    <x v="1639"/>
  </r>
  <r>
    <n v="8037"/>
    <s v="Corner Grocery"/>
    <d v="2024-06-04T00:00:00"/>
    <s v="Personal Care"/>
    <s v="Cheese"/>
    <n v="3"/>
    <n v="1890.74"/>
    <n v="5672.22"/>
    <n v="850.75"/>
    <n v="4821.47"/>
    <n v="214"/>
    <s v="23:06:02"/>
    <n v="4"/>
    <n v="6"/>
    <n v="2024"/>
    <d v="2024-06-04T00:00:00"/>
    <s v="Credit Card"/>
    <s v="M"/>
    <n v="3"/>
    <s v="Pune"/>
    <x v="1640"/>
  </r>
  <r>
    <n v="1072"/>
    <s v="MegaMart Westside"/>
    <d v="2025-02-04T00:00:00"/>
    <s v="Health &amp; Wellness"/>
    <s v="Chicken Breast"/>
    <n v="3"/>
    <n v="1291.48"/>
    <n v="3874.44"/>
    <n v="775.22"/>
    <n v="3099.22"/>
    <n v="272"/>
    <s v="16:25:50"/>
    <n v="4"/>
    <n v="2"/>
    <n v="2025"/>
    <d v="2025-02-04T00:00:00"/>
    <s v="Credit Card"/>
    <s v="M"/>
    <n v="2"/>
    <s v="Mumbai"/>
    <x v="1641"/>
  </r>
  <r>
    <n v="4519"/>
    <s v="Corner Grocery"/>
    <d v="2024-01-13T00:00:00"/>
    <s v="Beverages"/>
    <s v="Salmon"/>
    <n v="3"/>
    <n v="2070.85"/>
    <n v="6212.55"/>
    <n v="1242.51"/>
    <n v="4970.04"/>
    <n v="230"/>
    <s v="18:07:08"/>
    <n v="13"/>
    <n v="1"/>
    <n v="2024"/>
    <d v="2024-01-13T00:00:00"/>
    <s v="Debit Card"/>
    <s v="F"/>
    <n v="4"/>
    <s v="Kolkata"/>
    <x v="1642"/>
  </r>
  <r>
    <n v="5560"/>
    <s v="Corner Grocery"/>
    <d v="2025-03-13T00:00:00"/>
    <s v="Frozen Foods"/>
    <s v="Bananas"/>
    <n v="5"/>
    <n v="2079.98"/>
    <n v="10399.9"/>
    <n v="0"/>
    <n v="10399.9"/>
    <n v="390"/>
    <s v="10:08:20"/>
    <n v="13"/>
    <n v="3"/>
    <n v="2025"/>
    <d v="2025-03-13T00:00:00"/>
    <s v="Credit Card"/>
    <s v="F"/>
    <n v="1"/>
    <s v="Chennai"/>
    <x v="1643"/>
  </r>
  <r>
    <n v="2025"/>
    <s v="SuperSave Central"/>
    <d v="2024-10-28T00:00:00"/>
    <s v="Health &amp; Wellness"/>
    <s v="Chicken Breast"/>
    <n v="4"/>
    <n v="1478.23"/>
    <n v="5912.92"/>
    <n v="590.96"/>
    <n v="5321.96"/>
    <n v="214"/>
    <s v="03:24:02"/>
    <n v="28"/>
    <n v="10"/>
    <n v="2024"/>
    <d v="2024-10-28T00:00:00"/>
    <s v="Debit Card"/>
    <s v="F"/>
    <n v="4"/>
    <s v="Hyderabad"/>
    <x v="1644"/>
  </r>
  <r>
    <n v="2667"/>
    <s v="FamilyFood Express"/>
    <d v="2025-04-18T00:00:00"/>
    <s v="Health &amp; Wellness"/>
    <s v="Bananas"/>
    <n v="5"/>
    <n v="621.66999999999996"/>
    <n v="3108.35"/>
    <n v="272.24"/>
    <n v="2836.11"/>
    <n v="312"/>
    <s v="18:01:43"/>
    <n v="18"/>
    <n v="4"/>
    <n v="2025"/>
    <d v="2025-04-18T00:00:00"/>
    <s v="Credit Card"/>
    <s v="M"/>
    <n v="1"/>
    <s v="Pune"/>
    <x v="1645"/>
  </r>
  <r>
    <n v="9796"/>
    <s v="Corner Grocery"/>
    <d v="2023-12-30T00:00:00"/>
    <s v="Produce"/>
    <s v="Cereal"/>
    <n v="5"/>
    <n v="683.92"/>
    <n v="3419.6"/>
    <n v="0"/>
    <n v="3419.6"/>
    <n v="291"/>
    <s v="20:23:15"/>
    <n v="30"/>
    <n v="12"/>
    <n v="2023"/>
    <d v="2023-12-30T00:00:00"/>
    <s v="Debit Card"/>
    <s v="M"/>
    <n v="1"/>
    <s v="Lucknow"/>
    <x v="1646"/>
  </r>
  <r>
    <n v="6993"/>
    <s v="GreenGrocer Plaza"/>
    <d v="2024-04-16T00:00:00"/>
    <s v="Canned Goods"/>
    <s v="Bananas"/>
    <n v="5"/>
    <n v="2208.63"/>
    <n v="11043.15"/>
    <n v="253.15"/>
    <n v="10790"/>
    <n v="334"/>
    <s v="12:44:04"/>
    <n v="16"/>
    <n v="4"/>
    <n v="2024"/>
    <d v="2024-04-16T00:00:00"/>
    <s v="Cash"/>
    <s v="F"/>
    <n v="5"/>
    <s v="Ahmedabad"/>
    <x v="1647"/>
  </r>
  <r>
    <n v="4228"/>
    <s v="FamilyFood Express"/>
    <d v="2024-07-27T00:00:00"/>
    <s v="Meat &amp; Seafood"/>
    <s v="Salmon"/>
    <n v="3"/>
    <n v="1822.68"/>
    <n v="5468.04"/>
    <n v="546.97"/>
    <n v="4921.07"/>
    <n v="122"/>
    <s v="20:41:09"/>
    <n v="27"/>
    <n v="7"/>
    <n v="2024"/>
    <d v="2024-07-27T00:00:00"/>
    <s v="UPI"/>
    <s v="M"/>
    <n v="1"/>
    <s v="Pune"/>
    <x v="1648"/>
  </r>
  <r>
    <n v="2867"/>
    <s v="FamilyFood Express"/>
    <d v="2024-02-26T00:00:00"/>
    <s v="Canned Goods"/>
    <s v="Eggs"/>
    <n v="3"/>
    <n v="238.21"/>
    <n v="714.63"/>
    <n v="235.72"/>
    <n v="478.91"/>
    <n v="15"/>
    <s v="09:53:46"/>
    <n v="26"/>
    <n v="2"/>
    <n v="2024"/>
    <d v="2024-02-26T00:00:00"/>
    <s v="Debit Card"/>
    <s v="F"/>
    <n v="1"/>
    <s v="Hyderabad"/>
    <x v="1649"/>
  </r>
  <r>
    <n v="9019"/>
    <s v="FamilyFood Express"/>
    <d v="2024-09-19T00:00:00"/>
    <s v="Health &amp; Wellness"/>
    <s v="Salmon"/>
    <n v="2"/>
    <n v="2000.3"/>
    <n v="4000.6"/>
    <n v="296.31"/>
    <n v="3704.29"/>
    <n v="498"/>
    <s v="07:03:57"/>
    <n v="19"/>
    <n v="9"/>
    <n v="2024"/>
    <d v="2024-09-19T00:00:00"/>
    <s v="Debit Card"/>
    <s v="M"/>
    <n v="3"/>
    <s v="Jaipur"/>
    <x v="1650"/>
  </r>
  <r>
    <n v="6134"/>
    <s v="MegaMart Westside"/>
    <d v="2024-11-12T00:00:00"/>
    <s v="Meat &amp; Seafood"/>
    <s v="Ground Beef"/>
    <n v="4"/>
    <n v="1820.19"/>
    <n v="7280.76"/>
    <n v="0"/>
    <n v="7280.76"/>
    <n v="35"/>
    <s v="16:32:24"/>
    <n v="12"/>
    <n v="11"/>
    <n v="2024"/>
    <d v="2024-11-12T00:00:00"/>
    <s v="UPI"/>
    <s v="M"/>
    <n v="4"/>
    <s v="Hyderabad"/>
    <x v="1651"/>
  </r>
  <r>
    <n v="7367"/>
    <s v="FreshMart Downtown"/>
    <d v="2024-11-23T00:00:00"/>
    <s v="Health &amp; Wellness"/>
    <s v="Cheese"/>
    <n v="5"/>
    <n v="2478.38"/>
    <n v="12391.9"/>
    <n v="342.79"/>
    <n v="12049.11"/>
    <n v="441"/>
    <s v="04:30:43"/>
    <n v="23"/>
    <n v="11"/>
    <n v="2024"/>
    <d v="2024-11-23T00:00:00"/>
    <s v="Debit Card"/>
    <s v="F"/>
    <n v="3"/>
    <s v="Ahmedabad"/>
    <x v="1652"/>
  </r>
  <r>
    <n v="7431"/>
    <s v="QuickStop Market"/>
    <d v="2024-11-04T00:00:00"/>
    <s v="Personal Care"/>
    <s v="Chicken Breast"/>
    <n v="5"/>
    <n v="1640.08"/>
    <n v="8200.4"/>
    <n v="820.04"/>
    <n v="7380.36"/>
    <n v="273"/>
    <s v="18:41:53"/>
    <n v="4"/>
    <n v="11"/>
    <n v="2024"/>
    <d v="2024-11-04T00:00:00"/>
    <s v="Debit Card"/>
    <s v="F"/>
    <n v="1"/>
    <s v="Pune"/>
    <x v="1653"/>
  </r>
  <r>
    <n v="2871"/>
    <s v="City Fresh Store"/>
    <d v="2024-05-03T00:00:00"/>
    <s v="Produce"/>
    <s v="Rice"/>
    <n v="4"/>
    <n v="2075.83"/>
    <n v="8303.32"/>
    <n v="1245.83"/>
    <n v="7057.49"/>
    <n v="371"/>
    <s v="18:38:03"/>
    <n v="3"/>
    <n v="5"/>
    <n v="2024"/>
    <d v="2024-05-03T00:00:00"/>
    <s v="Credit Card"/>
    <s v="F"/>
    <n v="5"/>
    <s v="Hyderabad"/>
    <x v="1654"/>
  </r>
  <r>
    <n v="6766"/>
    <s v="Corner Grocery"/>
    <d v="2025-05-24T00:00:00"/>
    <s v="Personal Care"/>
    <s v="Salmon"/>
    <n v="4"/>
    <n v="1977.89"/>
    <n v="7911.56"/>
    <n v="1186.9000000000001"/>
    <n v="6724.66"/>
    <n v="53"/>
    <s v="14:15:00"/>
    <n v="24"/>
    <n v="5"/>
    <n v="2025"/>
    <d v="2025-05-24T00:00:00"/>
    <s v="UPI"/>
    <s v="F"/>
    <n v="3"/>
    <s v="Chennai"/>
    <x v="1655"/>
  </r>
  <r>
    <n v="8501"/>
    <s v="GreenGrocer Plaza"/>
    <d v="2024-11-28T00:00:00"/>
    <s v="Meat &amp; Seafood"/>
    <s v="Orange Juice"/>
    <n v="4"/>
    <n v="1662.49"/>
    <n v="6649.96"/>
    <n v="664.83"/>
    <n v="5985.13"/>
    <n v="72"/>
    <s v="01:50:37"/>
    <n v="28"/>
    <n v="11"/>
    <n v="2024"/>
    <d v="2024-11-28T00:00:00"/>
    <s v="Cash"/>
    <s v="M"/>
    <n v="3"/>
    <s v="Lucknow"/>
    <x v="1656"/>
  </r>
  <r>
    <n v="3826"/>
    <s v="FamilyFood Express"/>
    <d v="2025-04-30T00:00:00"/>
    <s v="Frozen Foods"/>
    <s v="Chicken Breast"/>
    <n v="3"/>
    <n v="1627.63"/>
    <n v="4882.8900000000003"/>
    <n v="0"/>
    <n v="4882.8900000000003"/>
    <n v="37"/>
    <s v="17:43:10"/>
    <n v="30"/>
    <n v="4"/>
    <n v="2025"/>
    <d v="2025-04-30T00:00:00"/>
    <s v="Debit Card"/>
    <s v="M"/>
    <n v="2"/>
    <s v="Pune"/>
    <x v="1657"/>
  </r>
  <r>
    <n v="5873"/>
    <s v="City Fresh Store"/>
    <d v="2025-07-20T00:00:00"/>
    <s v="Bakery"/>
    <s v="Pasta"/>
    <n v="3"/>
    <n v="792.65"/>
    <n v="2377.9499999999998"/>
    <n v="238.21"/>
    <n v="2139.7399999999998"/>
    <n v="227"/>
    <s v="13:19:09"/>
    <n v="20"/>
    <n v="7"/>
    <n v="2025"/>
    <d v="2025-07-20T00:00:00"/>
    <s v="UPI"/>
    <s v="M"/>
    <n v="1"/>
    <s v="Pune"/>
    <x v="1658"/>
  </r>
  <r>
    <n v="2388"/>
    <s v="QuickStop Market"/>
    <d v="2025-01-10T00:00:00"/>
    <s v="Household Items"/>
    <s v="Pasta"/>
    <n v="5"/>
    <n v="168.49"/>
    <n v="842.45"/>
    <n v="178.45"/>
    <n v="664"/>
    <n v="71"/>
    <s v="18:38:22"/>
    <n v="10"/>
    <n v="1"/>
    <n v="2025"/>
    <d v="2025-01-10T00:00:00"/>
    <s v="Credit Card"/>
    <s v="F"/>
    <n v="5"/>
    <s v="Ahmedabad"/>
    <x v="1659"/>
  </r>
  <r>
    <n v="3194"/>
    <s v="FamilyFood Express"/>
    <d v="2024-04-06T00:00:00"/>
    <s v="Canned Goods"/>
    <s v="Orange Juice"/>
    <n v="3"/>
    <n v="820.04"/>
    <n v="2460.12"/>
    <n v="293.82"/>
    <n v="2166.3000000000002"/>
    <n v="366"/>
    <s v="01:05:39"/>
    <n v="6"/>
    <n v="4"/>
    <n v="2024"/>
    <d v="2024-04-06T00:00:00"/>
    <s v="Cash"/>
    <s v="M"/>
    <n v="3"/>
    <s v="Kolkata"/>
    <x v="1660"/>
  </r>
  <r>
    <n v="2931"/>
    <s v="City Fresh Store"/>
    <d v="2024-02-08T00:00:00"/>
    <s v="Beverages"/>
    <s v="Rice"/>
    <n v="2"/>
    <n v="1872.48"/>
    <n v="3744.96"/>
    <n v="748.66"/>
    <n v="2996.3"/>
    <n v="355"/>
    <s v="18:44:20"/>
    <n v="8"/>
    <n v="2"/>
    <n v="2024"/>
    <d v="2024-02-08T00:00:00"/>
    <s v="UPI"/>
    <s v="F"/>
    <n v="3"/>
    <s v="Jaipur"/>
    <x v="1661"/>
  </r>
  <r>
    <n v="6003"/>
    <s v="QuickStop Market"/>
    <d v="2023-11-05T00:00:00"/>
    <s v="Snacks &amp; Candy"/>
    <s v="Pasta"/>
    <n v="2"/>
    <n v="149.4"/>
    <n v="298.8"/>
    <n v="59.76"/>
    <n v="239.04"/>
    <n v="108"/>
    <s v="21:28:45"/>
    <n v="5"/>
    <n v="11"/>
    <n v="2023"/>
    <d v="2023-11-05T00:00:00"/>
    <s v="Cash"/>
    <s v="M"/>
    <n v="5"/>
    <s v="Jaipur"/>
    <x v="1662"/>
  </r>
  <r>
    <n v="3999"/>
    <s v="FreshMart Downtown"/>
    <d v="2024-05-22T00:00:00"/>
    <s v="Frozen Foods"/>
    <s v="Orange Juice"/>
    <n v="5"/>
    <n v="1876.63"/>
    <n v="9383.15"/>
    <n v="937.9"/>
    <n v="8445.25"/>
    <n v="264"/>
    <s v="16:07:46"/>
    <n v="22"/>
    <n v="5"/>
    <n v="2024"/>
    <d v="2024-05-22T00:00:00"/>
    <s v="Cash"/>
    <s v="F"/>
    <n v="1"/>
    <s v="Kolkata"/>
    <x v="1663"/>
  </r>
  <r>
    <n v="3316"/>
    <s v="SuperSave Central"/>
    <d v="2024-09-06T00:00:00"/>
    <s v="Canned Goods"/>
    <s v="Eggs"/>
    <n v="5"/>
    <n v="2134.7600000000002"/>
    <n v="10673.8"/>
    <n v="1067.3800000000001"/>
    <n v="9606.42"/>
    <n v="160"/>
    <s v="05:46:09"/>
    <n v="6"/>
    <n v="9"/>
    <n v="2024"/>
    <d v="2024-09-06T00:00:00"/>
    <s v="Cash"/>
    <s v="F"/>
    <n v="2"/>
    <s v="Bangalore"/>
    <x v="1664"/>
  </r>
  <r>
    <n v="7364"/>
    <s v="City Fresh Store"/>
    <d v="2024-06-26T00:00:00"/>
    <s v="Health &amp; Wellness"/>
    <s v="Apples"/>
    <n v="5"/>
    <n v="1242.51"/>
    <n v="6212.55"/>
    <n v="304.61"/>
    <n v="5907.94"/>
    <n v="247"/>
    <s v="10:18:34"/>
    <n v="26"/>
    <n v="6"/>
    <n v="2024"/>
    <d v="2024-06-26T00:00:00"/>
    <s v="Debit Card"/>
    <s v="M"/>
    <n v="3"/>
    <s v="Hyderabad"/>
    <x v="1665"/>
  </r>
  <r>
    <n v="3258"/>
    <s v="GreenGrocer Plaza"/>
    <d v="2024-10-26T00:00:00"/>
    <s v="Canned Goods"/>
    <s v="Ground Beef"/>
    <n v="3"/>
    <n v="579.34"/>
    <n v="1738.02"/>
    <n v="341.13"/>
    <n v="1396.89"/>
    <n v="76"/>
    <s v="20:10:19"/>
    <n v="26"/>
    <n v="10"/>
    <n v="2024"/>
    <d v="2024-10-26T00:00:00"/>
    <s v="Debit Card"/>
    <s v="F"/>
    <n v="2"/>
    <s v="Lucknow"/>
    <x v="1666"/>
  </r>
  <r>
    <n v="7286"/>
    <s v="GreenGrocer Plaza"/>
    <d v="2024-06-30T00:00:00"/>
    <s v="Health &amp; Wellness"/>
    <s v="Yogurt"/>
    <n v="3"/>
    <n v="1282.3499999999999"/>
    <n v="3847.05"/>
    <n v="0"/>
    <n v="3847.05"/>
    <n v="291"/>
    <s v="10:35:29"/>
    <n v="30"/>
    <n v="6"/>
    <n v="2024"/>
    <d v="2024-06-30T00:00:00"/>
    <s v="Credit Card"/>
    <s v="F"/>
    <n v="4"/>
    <s v="Bangalore"/>
    <x v="1667"/>
  </r>
  <r>
    <n v="4043"/>
    <s v="ValuePlus Market"/>
    <d v="2024-08-19T00:00:00"/>
    <s v="Bakery"/>
    <s v="Yogurt"/>
    <n v="3"/>
    <n v="1680.75"/>
    <n v="5042.25"/>
    <n v="756.13"/>
    <n v="4286.12"/>
    <n v="204"/>
    <s v="09:31:58"/>
    <n v="19"/>
    <n v="8"/>
    <n v="2024"/>
    <d v="2024-08-19T00:00:00"/>
    <s v="Credit Card"/>
    <s v="M"/>
    <n v="1"/>
    <s v="Ahmedabad"/>
    <x v="1668"/>
  </r>
  <r>
    <n v="9804"/>
    <s v="ValuePlus Market"/>
    <d v="2025-01-26T00:00:00"/>
    <s v="Dairy"/>
    <s v="Pasta"/>
    <n v="5"/>
    <n v="2397.04"/>
    <n v="11985.2"/>
    <n v="231.57"/>
    <n v="11753.63"/>
    <n v="433"/>
    <s v="22:33:33"/>
    <n v="26"/>
    <n v="1"/>
    <n v="2025"/>
    <d v="2025-01-26T00:00:00"/>
    <s v="UPI"/>
    <s v="F"/>
    <n v="4"/>
    <s v="Mumbai"/>
    <x v="1669"/>
  </r>
  <r>
    <n v="3838"/>
    <s v="ValuePlus Market"/>
    <d v="2024-10-11T00:00:00"/>
    <s v="Bakery"/>
    <s v="Ground Beef"/>
    <n v="3"/>
    <n v="2001.13"/>
    <n v="6003.39"/>
    <n v="1201.01"/>
    <n v="4802.38"/>
    <n v="93"/>
    <s v="22:28:14"/>
    <n v="11"/>
    <n v="10"/>
    <n v="2024"/>
    <d v="2024-10-11T00:00:00"/>
    <s v="Credit Card"/>
    <s v="F"/>
    <n v="4"/>
    <s v="Pune"/>
    <x v="1670"/>
  </r>
  <r>
    <n v="3733"/>
    <s v="City Fresh Store"/>
    <d v="2024-08-21T00:00:00"/>
    <s v="Meat &amp; Seafood"/>
    <s v="Milk"/>
    <n v="5"/>
    <n v="722.1"/>
    <n v="3610.5"/>
    <n v="0"/>
    <n v="3610.5"/>
    <n v="142"/>
    <s v="19:42:02"/>
    <n v="21"/>
    <n v="8"/>
    <n v="2024"/>
    <d v="2024-08-21T00:00:00"/>
    <s v="Cash"/>
    <s v="F"/>
    <n v="4"/>
    <s v="Chennai"/>
    <x v="1671"/>
  </r>
  <r>
    <n v="5732"/>
    <s v="FamilyFood Express"/>
    <d v="2023-11-23T00:00:00"/>
    <s v="Dairy"/>
    <s v="Eggs"/>
    <n v="5"/>
    <n v="810.91"/>
    <n v="4054.55"/>
    <n v="810.91"/>
    <n v="3243.64"/>
    <n v="106"/>
    <s v="18:07:02"/>
    <n v="23"/>
    <n v="11"/>
    <n v="2023"/>
    <d v="2023-11-23T00:00:00"/>
    <s v="Cash"/>
    <s v="M"/>
    <n v="1"/>
    <s v="Jaipur"/>
    <x v="1672"/>
  </r>
  <r>
    <n v="4065"/>
    <s v="City Fresh Store"/>
    <d v="2024-04-07T00:00:00"/>
    <s v="Beverages"/>
    <s v="Chicken Breast"/>
    <n v="5"/>
    <n v="2204.48"/>
    <n v="11022.4"/>
    <n v="0"/>
    <n v="11022.4"/>
    <n v="26"/>
    <s v="03:25:01"/>
    <n v="7"/>
    <n v="4"/>
    <n v="2024"/>
    <d v="2024-04-07T00:00:00"/>
    <s v="Debit Card"/>
    <s v="M"/>
    <n v="1"/>
    <s v="Delhi"/>
    <x v="1673"/>
  </r>
  <r>
    <n v="8389"/>
    <s v="GreenGrocer Plaza"/>
    <d v="2024-11-30T00:00:00"/>
    <s v="Bakery"/>
    <s v="Potatoes"/>
    <n v="1"/>
    <n v="1146.23"/>
    <n v="1146.23"/>
    <n v="263.11"/>
    <n v="883.12"/>
    <n v="243"/>
    <s v="07:55:34"/>
    <n v="30"/>
    <n v="11"/>
    <n v="2024"/>
    <d v="2024-11-30T00:00:00"/>
    <s v="Cash"/>
    <s v="F"/>
    <n v="5"/>
    <s v="Jaipur"/>
    <x v="1674"/>
  </r>
  <r>
    <n v="1878"/>
    <s v="FamilyFood Express"/>
    <d v="2025-06-09T00:00:00"/>
    <s v="Household Items"/>
    <s v="Potatoes"/>
    <n v="3"/>
    <n v="1452.5"/>
    <n v="4357.5"/>
    <n v="322.04000000000002"/>
    <n v="4035.46"/>
    <n v="297"/>
    <s v="12:29:55"/>
    <n v="9"/>
    <n v="6"/>
    <n v="2025"/>
    <d v="2025-06-09T00:00:00"/>
    <s v="UPI"/>
    <s v="M"/>
    <n v="2"/>
    <s v="Delhi"/>
    <x v="1675"/>
  </r>
  <r>
    <n v="6882"/>
    <s v="City Fresh Store"/>
    <d v="2023-08-14T00:00:00"/>
    <s v="Health &amp; Wellness"/>
    <s v="Yogurt"/>
    <n v="5"/>
    <n v="2021.88"/>
    <n v="10109.4"/>
    <n v="166.83"/>
    <n v="9942.57"/>
    <n v="314"/>
    <s v="10:38:52"/>
    <n v="14"/>
    <n v="8"/>
    <n v="2023"/>
    <d v="2023-08-14T00:00:00"/>
    <s v="Cash"/>
    <s v="F"/>
    <n v="2"/>
    <s v="Ahmedabad"/>
    <x v="204"/>
  </r>
  <r>
    <n v="8939"/>
    <s v="Corner Grocery"/>
    <d v="2023-11-21T00:00:00"/>
    <s v="Household Items"/>
    <s v="Pasta"/>
    <n v="4"/>
    <n v="1601.07"/>
    <n v="6404.28"/>
    <n v="177.62"/>
    <n v="6226.66"/>
    <n v="168"/>
    <s v="20:50:11"/>
    <n v="21"/>
    <n v="11"/>
    <n v="2023"/>
    <d v="2023-11-21T00:00:00"/>
    <s v="Cash"/>
    <s v="F"/>
    <n v="5"/>
    <s v="Delhi"/>
    <x v="1676"/>
  </r>
  <r>
    <n v="4196"/>
    <s v="QuickStop Market"/>
    <d v="2025-05-01T00:00:00"/>
    <s v="Frozen Foods"/>
    <s v="Onions"/>
    <n v="2"/>
    <n v="903.04"/>
    <n v="1806.08"/>
    <n v="0"/>
    <n v="1806.08"/>
    <n v="347"/>
    <s v="02:37:03"/>
    <n v="1"/>
    <n v="5"/>
    <n v="2025"/>
    <d v="2025-05-01T00:00:00"/>
    <s v="UPI"/>
    <s v="F"/>
    <n v="5"/>
    <s v="Bangalore"/>
    <x v="1677"/>
  </r>
  <r>
    <n v="7290"/>
    <s v="City Fresh Store"/>
    <d v="2024-10-16T00:00:00"/>
    <s v="Dairy"/>
    <s v="Apples"/>
    <n v="4"/>
    <n v="97.94"/>
    <n v="391.76"/>
    <n v="39.01"/>
    <n v="352.75"/>
    <n v="457"/>
    <s v="14:54:19"/>
    <n v="16"/>
    <n v="10"/>
    <n v="2024"/>
    <d v="2024-10-16T00:00:00"/>
    <s v="Credit Card"/>
    <s v="F"/>
    <n v="4"/>
    <s v="Ahmedabad"/>
    <x v="1678"/>
  </r>
  <r>
    <n v="9281"/>
    <s v="SuperSave Central"/>
    <d v="2024-12-26T00:00:00"/>
    <s v="Meat &amp; Seafood"/>
    <s v="Bread"/>
    <n v="4"/>
    <n v="1702.33"/>
    <n v="6809.32"/>
    <n v="1021.73"/>
    <n v="5787.59"/>
    <n v="48"/>
    <s v="01:39:31"/>
    <n v="26"/>
    <n v="12"/>
    <n v="2024"/>
    <d v="2024-12-26T00:00:00"/>
    <s v="Credit Card"/>
    <s v="F"/>
    <n v="5"/>
    <s v="Pune"/>
    <x v="1679"/>
  </r>
  <r>
    <n v="9109"/>
    <s v="ValuePlus Market"/>
    <d v="2024-06-19T00:00:00"/>
    <s v="Meat &amp; Seafood"/>
    <s v="Yogurt"/>
    <n v="1"/>
    <n v="1918.13"/>
    <n v="1918.13"/>
    <n v="184.26"/>
    <n v="1733.87"/>
    <n v="109"/>
    <s v="12:20:16"/>
    <n v="19"/>
    <n v="6"/>
    <n v="2024"/>
    <d v="2024-06-19T00:00:00"/>
    <s v="UPI"/>
    <s v="M"/>
    <n v="3"/>
    <s v="Jaipur"/>
    <x v="1680"/>
  </r>
  <r>
    <n v="9056"/>
    <s v="ValuePlus Market"/>
    <d v="2024-06-24T00:00:00"/>
    <s v="Beverages"/>
    <s v="Chicken Breast"/>
    <n v="3"/>
    <n v="2314.87"/>
    <n v="6944.61"/>
    <n v="1041.6500000000001"/>
    <n v="5902.96"/>
    <n v="107"/>
    <s v="05:20:23"/>
    <n v="24"/>
    <n v="6"/>
    <n v="2024"/>
    <d v="2024-06-24T00:00:00"/>
    <s v="Debit Card"/>
    <s v="F"/>
    <n v="2"/>
    <s v="Bangalore"/>
    <x v="1681"/>
  </r>
  <r>
    <n v="8272"/>
    <s v="SuperSave Central"/>
    <d v="2024-08-20T00:00:00"/>
    <s v="Bakery"/>
    <s v="Tomatoes"/>
    <n v="2"/>
    <n v="2133.9299999999998"/>
    <n v="4267.8599999999997"/>
    <n v="639.92999999999995"/>
    <n v="3627.93"/>
    <n v="312"/>
    <s v="16:49:34"/>
    <n v="20"/>
    <n v="8"/>
    <n v="2024"/>
    <d v="2024-08-20T00:00:00"/>
    <s v="Cash"/>
    <s v="M"/>
    <n v="5"/>
    <s v="Kolkata"/>
    <x v="1682"/>
  </r>
  <r>
    <n v="3740"/>
    <s v="ValuePlus Market"/>
    <d v="2023-10-10T00:00:00"/>
    <s v="Beverages"/>
    <s v="Cheese"/>
    <n v="3"/>
    <n v="632.46"/>
    <n v="1897.38"/>
    <n v="284.69"/>
    <n v="1612.69"/>
    <n v="134"/>
    <s v="04:04:52"/>
    <n v="10"/>
    <n v="10"/>
    <n v="2023"/>
    <d v="2023-10-10T00:00:00"/>
    <s v="UPI"/>
    <s v="M"/>
    <n v="3"/>
    <s v="Delhi"/>
    <x v="1683"/>
  </r>
  <r>
    <n v="1505"/>
    <s v="MegaMart Westside"/>
    <d v="2025-04-16T00:00:00"/>
    <s v="Meat &amp; Seafood"/>
    <s v="Rice"/>
    <n v="3"/>
    <n v="1830.98"/>
    <n v="5492.94"/>
    <n v="549.46"/>
    <n v="4943.4799999999996"/>
    <n v="424"/>
    <s v="07:34:55"/>
    <n v="16"/>
    <n v="4"/>
    <n v="2025"/>
    <d v="2025-04-16T00:00:00"/>
    <s v="Cash"/>
    <s v="F"/>
    <n v="3"/>
    <s v="Hyderabad"/>
    <x v="1684"/>
  </r>
  <r>
    <n v="4613"/>
    <s v="QuickStop Market"/>
    <d v="2024-03-20T00:00:00"/>
    <s v="Snacks &amp; Candy"/>
    <s v="Tomatoes"/>
    <n v="4"/>
    <n v="95.45"/>
    <n v="381.8"/>
    <n v="404.21"/>
    <n v="-22.41"/>
    <n v="481"/>
    <s v="14:07:42"/>
    <n v="20"/>
    <n v="3"/>
    <n v="2024"/>
    <d v="2024-03-20T00:00:00"/>
    <s v="Debit Card"/>
    <s v="F"/>
    <n v="3"/>
    <s v="Pune"/>
    <x v="1685"/>
  </r>
  <r>
    <n v="1535"/>
    <s v="MegaMart Westside"/>
    <d v="2024-03-07T00:00:00"/>
    <s v="Health &amp; Wellness"/>
    <s v="Eggs"/>
    <n v="4"/>
    <n v="1928.09"/>
    <n v="7712.36"/>
    <n v="1542.14"/>
    <n v="6170.22"/>
    <n v="9"/>
    <s v="15:24:57"/>
    <n v="7"/>
    <n v="3"/>
    <n v="2024"/>
    <d v="2024-03-07T00:00:00"/>
    <s v="Cash"/>
    <s v="M"/>
    <n v="3"/>
    <s v="Chennai"/>
    <x v="1686"/>
  </r>
  <r>
    <n v="4683"/>
    <s v="QuickStop Market"/>
    <d v="2024-09-27T00:00:00"/>
    <s v="Frozen Foods"/>
    <s v="Orange Juice"/>
    <n v="1"/>
    <n v="856.56"/>
    <n v="856.56"/>
    <n v="128.65"/>
    <n v="727.91"/>
    <n v="404"/>
    <s v="00:44:01"/>
    <n v="27"/>
    <n v="9"/>
    <n v="2024"/>
    <d v="2024-09-27T00:00:00"/>
    <s v="UPI"/>
    <s v="M"/>
    <n v="4"/>
    <s v="Mumbai"/>
    <x v="1687"/>
  </r>
  <r>
    <n v="5729"/>
    <s v="ValuePlus Market"/>
    <d v="2023-12-15T00:00:00"/>
    <s v="Personal Care"/>
    <s v="Yogurt"/>
    <n v="2"/>
    <n v="1568.7"/>
    <n v="3137.4"/>
    <n v="107.9"/>
    <n v="3029.5"/>
    <n v="225"/>
    <s v="09:18:48"/>
    <n v="15"/>
    <n v="12"/>
    <n v="2023"/>
    <d v="2023-12-15T00:00:00"/>
    <s v="Cash"/>
    <s v="M"/>
    <n v="3"/>
    <s v="Kolkata"/>
    <x v="1688"/>
  </r>
  <r>
    <n v="8492"/>
    <s v="SuperSave Central"/>
    <d v="2024-10-19T00:00:00"/>
    <s v="Canned Goods"/>
    <s v="Potatoes"/>
    <n v="5"/>
    <n v="1213.46"/>
    <n v="6067.3"/>
    <n v="0"/>
    <n v="6067.3"/>
    <n v="497"/>
    <s v="04:04:13"/>
    <n v="19"/>
    <n v="10"/>
    <n v="2024"/>
    <d v="2024-10-19T00:00:00"/>
    <s v="Credit Card"/>
    <s v="F"/>
    <n v="4"/>
    <s v="Mumbai"/>
    <x v="1689"/>
  </r>
  <r>
    <n v="9115"/>
    <s v="Corner Grocery"/>
    <d v="2024-10-06T00:00:00"/>
    <s v="Beverages"/>
    <s v="Ground Beef"/>
    <n v="3"/>
    <n v="2457.63"/>
    <n v="7372.89"/>
    <n v="117.03"/>
    <n v="7255.86"/>
    <n v="300"/>
    <s v="18:23:56"/>
    <n v="6"/>
    <n v="10"/>
    <n v="2024"/>
    <d v="2024-10-06T00:00:00"/>
    <s v="Debit Card"/>
    <s v="M"/>
    <n v="4"/>
    <s v="Kolkata"/>
    <x v="1690"/>
  </r>
  <r>
    <n v="9369"/>
    <s v="MegaMart Westside"/>
    <d v="2023-11-02T00:00:00"/>
    <s v="Frozen Foods"/>
    <s v="Onions"/>
    <n v="3"/>
    <n v="1137.0999999999999"/>
    <n v="3411.3"/>
    <n v="341.13"/>
    <n v="3070.17"/>
    <n v="145"/>
    <s v="01:16:23"/>
    <n v="2"/>
    <n v="11"/>
    <n v="2023"/>
    <d v="2023-11-02T00:00:00"/>
    <s v="Debit Card"/>
    <s v="F"/>
    <n v="3"/>
    <s v="Jaipur"/>
    <x v="1691"/>
  </r>
  <r>
    <n v="2871"/>
    <s v="SuperSave Central"/>
    <d v="2024-03-02T00:00:00"/>
    <s v="Dairy"/>
    <s v="Cereal"/>
    <n v="4"/>
    <n v="2066.6999999999998"/>
    <n v="8266.7999999999993"/>
    <n v="182.6"/>
    <n v="8084.2"/>
    <n v="447"/>
    <s v="11:11:10"/>
    <n v="2"/>
    <n v="3"/>
    <n v="2024"/>
    <d v="2024-03-02T00:00:00"/>
    <s v="Debit Card"/>
    <s v="F"/>
    <n v="2"/>
    <s v="Chennai"/>
    <x v="1387"/>
  </r>
  <r>
    <n v="9898"/>
    <s v="FamilyFood Express"/>
    <d v="2025-05-07T00:00:00"/>
    <s v="Personal Care"/>
    <s v="Bread"/>
    <n v="4"/>
    <n v="672.3"/>
    <n v="2689.2"/>
    <n v="258.95999999999998"/>
    <n v="2430.2399999999998"/>
    <n v="293"/>
    <s v="10:02:18"/>
    <n v="7"/>
    <n v="5"/>
    <n v="2025"/>
    <d v="2025-05-07T00:00:00"/>
    <s v="UPI"/>
    <s v="F"/>
    <n v="3"/>
    <s v="Hyderabad"/>
    <x v="1692"/>
  </r>
  <r>
    <n v="7010"/>
    <s v="QuickStop Market"/>
    <d v="2024-10-01T00:00:00"/>
    <s v="Produce"/>
    <s v="Eggs"/>
    <n v="1"/>
    <n v="2177.92"/>
    <n v="2177.92"/>
    <n v="327.02"/>
    <n v="1850.9"/>
    <n v="358"/>
    <s v="16:31:18"/>
    <n v="1"/>
    <n v="10"/>
    <n v="2024"/>
    <d v="2024-10-01T00:00:00"/>
    <s v="Debit Card"/>
    <s v="M"/>
    <n v="3"/>
    <s v="Kolkata"/>
    <x v="1693"/>
  </r>
  <r>
    <n v="1681"/>
    <s v="City Fresh Store"/>
    <d v="2025-03-19T00:00:00"/>
    <s v="Bakery"/>
    <s v="Apples"/>
    <n v="3"/>
    <n v="1209.31"/>
    <n v="3627.93"/>
    <n v="544.48"/>
    <n v="3083.45"/>
    <n v="235"/>
    <s v="13:47:45"/>
    <n v="19"/>
    <n v="3"/>
    <n v="2025"/>
    <d v="2025-03-19T00:00:00"/>
    <s v="Credit Card"/>
    <s v="F"/>
    <n v="3"/>
    <s v="Delhi"/>
    <x v="238"/>
  </r>
  <r>
    <n v="8231"/>
    <s v="FamilyFood Express"/>
    <d v="2024-10-04T00:00:00"/>
    <s v="Health &amp; Wellness"/>
    <s v="Pasta"/>
    <n v="3"/>
    <n v="1534.67"/>
    <n v="4604.01"/>
    <n v="920.47"/>
    <n v="3683.54"/>
    <n v="477"/>
    <s v="11:06:38"/>
    <n v="4"/>
    <n v="10"/>
    <n v="2024"/>
    <d v="2024-10-04T00:00:00"/>
    <s v="UPI"/>
    <s v="F"/>
    <n v="2"/>
    <s v="Chennai"/>
    <x v="1694"/>
  </r>
  <r>
    <n v="4580"/>
    <s v="GreenGrocer Plaza"/>
    <d v="2024-07-02T00:00:00"/>
    <s v="Health &amp; Wellness"/>
    <s v="Cheese"/>
    <n v="4"/>
    <n v="1035.8399999999999"/>
    <n v="4143.3599999999997"/>
    <n v="102.92"/>
    <n v="4040.44"/>
    <n v="249"/>
    <s v="16:06:35"/>
    <n v="2"/>
    <n v="7"/>
    <n v="2024"/>
    <d v="2024-07-02T00:00:00"/>
    <s v="Credit Card"/>
    <s v="F"/>
    <n v="1"/>
    <s v="Hyderabad"/>
    <x v="1695"/>
  </r>
  <r>
    <n v="2677"/>
    <s v="ValuePlus Market"/>
    <d v="2025-02-28T00:00:00"/>
    <s v="Canned Goods"/>
    <s v="Bananas"/>
    <n v="5"/>
    <n v="1134.6099999999999"/>
    <n v="5673.05"/>
    <n v="246.51"/>
    <n v="5426.54"/>
    <n v="16"/>
    <s v="05:28:47"/>
    <n v="28"/>
    <n v="2"/>
    <n v="2025"/>
    <d v="2025-02-28T00:00:00"/>
    <s v="Cash"/>
    <s v="F"/>
    <n v="1"/>
    <s v="Mumbai"/>
    <x v="1696"/>
  </r>
  <r>
    <n v="5055"/>
    <s v="MegaMart Westside"/>
    <d v="2024-03-25T00:00:00"/>
    <s v="Health &amp; Wellness"/>
    <s v="Bread"/>
    <n v="1"/>
    <n v="1442.54"/>
    <n v="1442.54"/>
    <n v="135.29"/>
    <n v="1307.25"/>
    <n v="498"/>
    <s v="05:08:06"/>
    <n v="25"/>
    <n v="3"/>
    <n v="2024"/>
    <d v="2024-03-25T00:00:00"/>
    <s v="Cash"/>
    <s v="F"/>
    <n v="4"/>
    <s v="Chennai"/>
    <x v="1697"/>
  </r>
  <r>
    <n v="1528"/>
    <s v="ValuePlus Market"/>
    <d v="2024-07-21T00:00:00"/>
    <s v="Dairy"/>
    <s v="Salmon"/>
    <n v="5"/>
    <n v="1647.55"/>
    <n v="8237.75"/>
    <n v="0"/>
    <n v="8237.75"/>
    <n v="97"/>
    <s v="19:30:21"/>
    <n v="21"/>
    <n v="7"/>
    <n v="2024"/>
    <d v="2024-07-21T00:00:00"/>
    <s v="Cash"/>
    <s v="M"/>
    <n v="4"/>
    <s v="Delhi"/>
    <x v="1698"/>
  </r>
  <r>
    <n v="5305"/>
    <s v="Corner Grocery"/>
    <d v="2024-05-03T00:00:00"/>
    <s v="Frozen Foods"/>
    <s v="Salmon"/>
    <n v="4"/>
    <n v="2222.7399999999998"/>
    <n v="8890.9599999999991"/>
    <n v="0"/>
    <n v="8890.9599999999991"/>
    <n v="378"/>
    <s v="08:22:36"/>
    <n v="3"/>
    <n v="5"/>
    <n v="2024"/>
    <d v="2024-05-03T00:00:00"/>
    <s v="Cash"/>
    <s v="F"/>
    <n v="2"/>
    <s v="Chennai"/>
    <x v="1699"/>
  </r>
  <r>
    <n v="2425"/>
    <s v="MegaMart Westside"/>
    <d v="2024-07-13T00:00:00"/>
    <s v="Dairy"/>
    <s v="Apples"/>
    <n v="5"/>
    <n v="899.72"/>
    <n v="4498.6000000000004"/>
    <n v="216.63"/>
    <n v="4281.97"/>
    <n v="270"/>
    <s v="09:53:01"/>
    <n v="13"/>
    <n v="7"/>
    <n v="2024"/>
    <d v="2024-07-13T00:00:00"/>
    <s v="Credit Card"/>
    <s v="F"/>
    <n v="5"/>
    <s v="Bangalore"/>
    <x v="1700"/>
  </r>
  <r>
    <n v="2923"/>
    <s v="QuickStop Market"/>
    <d v="2025-03-31T00:00:00"/>
    <s v="Produce"/>
    <s v="Tomatoes"/>
    <n v="1"/>
    <n v="102.92"/>
    <n v="102.92"/>
    <n v="20.75"/>
    <n v="82.17"/>
    <n v="165"/>
    <s v="05:50:03"/>
    <n v="31"/>
    <n v="3"/>
    <n v="2025"/>
    <d v="2025-03-31T00:00:00"/>
    <s v="UPI"/>
    <s v="M"/>
    <n v="1"/>
    <s v="Bangalore"/>
    <x v="1701"/>
  </r>
  <r>
    <n v="4882"/>
    <s v="QuickStop Market"/>
    <d v="2024-01-17T00:00:00"/>
    <s v="Bakery"/>
    <s v="Cereal"/>
    <n v="5"/>
    <n v="1183.58"/>
    <n v="5917.9"/>
    <n v="390.1"/>
    <n v="5527.8"/>
    <n v="340"/>
    <s v="03:57:02"/>
    <n v="17"/>
    <n v="1"/>
    <n v="2024"/>
    <d v="2024-01-17T00:00:00"/>
    <s v="UPI"/>
    <s v="F"/>
    <n v="4"/>
    <s v="Mumbai"/>
    <x v="1702"/>
  </r>
  <r>
    <n v="6744"/>
    <s v="SuperSave Central"/>
    <d v="2025-06-05T00:00:00"/>
    <s v="Bakery"/>
    <s v="Eggs"/>
    <n v="2"/>
    <n v="825.02"/>
    <n v="1650.04"/>
    <n v="283.02999999999997"/>
    <n v="1367.01"/>
    <n v="51"/>
    <s v="18:45:26"/>
    <n v="5"/>
    <n v="6"/>
    <n v="2025"/>
    <d v="2025-06-05T00:00:00"/>
    <s v="Debit Card"/>
    <s v="M"/>
    <n v="1"/>
    <s v="Ahmedabad"/>
    <x v="1703"/>
  </r>
  <r>
    <n v="8015"/>
    <s v="FreshMart Downtown"/>
    <d v="2023-12-13T00:00:00"/>
    <s v="Meat &amp; Seafood"/>
    <s v="Onions"/>
    <n v="3"/>
    <n v="2380.44"/>
    <n v="7141.32"/>
    <n v="1428.43"/>
    <n v="5712.89"/>
    <n v="167"/>
    <s v="04:04:39"/>
    <n v="13"/>
    <n v="12"/>
    <n v="2023"/>
    <d v="2023-12-13T00:00:00"/>
    <s v="Credit Card"/>
    <s v="F"/>
    <n v="2"/>
    <s v="Pune"/>
    <x v="1704"/>
  </r>
  <r>
    <n v="3281"/>
    <s v="FamilyFood Express"/>
    <d v="2025-04-07T00:00:00"/>
    <s v="Bakery"/>
    <s v="Rice"/>
    <n v="2"/>
    <n v="1103.07"/>
    <n v="2206.14"/>
    <n v="441.56"/>
    <n v="1764.58"/>
    <n v="138"/>
    <s v="02:34:49"/>
    <n v="7"/>
    <n v="4"/>
    <n v="2025"/>
    <d v="2025-04-07T00:00:00"/>
    <s v="Cash"/>
    <s v="M"/>
    <n v="2"/>
    <s v="Bangalore"/>
    <x v="1705"/>
  </r>
  <r>
    <n v="4385"/>
    <s v="MegaMart Westside"/>
    <d v="2025-04-29T00:00:00"/>
    <s v="Produce"/>
    <s v="Eggs"/>
    <n v="4"/>
    <n v="378.48"/>
    <n v="1513.92"/>
    <n v="230.74"/>
    <n v="1283.18"/>
    <n v="485"/>
    <s v="18:33:40"/>
    <n v="29"/>
    <n v="4"/>
    <n v="2025"/>
    <d v="2025-04-29T00:00:00"/>
    <s v="Credit Card"/>
    <s v="M"/>
    <n v="5"/>
    <s v="Pune"/>
    <x v="1706"/>
  </r>
  <r>
    <n v="4390"/>
    <s v="FamilyFood Express"/>
    <d v="2025-04-23T00:00:00"/>
    <s v="Snacks &amp; Candy"/>
    <s v="Milk"/>
    <n v="4"/>
    <n v="1137.93"/>
    <n v="4551.72"/>
    <n v="454.84"/>
    <n v="4096.88"/>
    <n v="101"/>
    <s v="22:54:01"/>
    <n v="23"/>
    <n v="4"/>
    <n v="2025"/>
    <d v="2025-04-23T00:00:00"/>
    <s v="Debit Card"/>
    <s v="F"/>
    <n v="5"/>
    <s v="Pune"/>
    <x v="1707"/>
  </r>
  <r>
    <n v="1972"/>
    <s v="GreenGrocer Plaza"/>
    <d v="2024-10-22T00:00:00"/>
    <s v="Dairy"/>
    <s v="Apples"/>
    <n v="5"/>
    <n v="2280.84"/>
    <n v="11404.2"/>
    <n v="2280.84"/>
    <n v="9123.36"/>
    <n v="370"/>
    <s v="20:24:41"/>
    <n v="22"/>
    <n v="10"/>
    <n v="2024"/>
    <d v="2024-10-22T00:00:00"/>
    <s v="Debit Card"/>
    <s v="F"/>
    <n v="2"/>
    <s v="Lucknow"/>
    <x v="1708"/>
  </r>
  <r>
    <n v="6747"/>
    <s v="FamilyFood Express"/>
    <d v="2024-09-23T00:00:00"/>
    <s v="Dairy"/>
    <s v="Potatoes"/>
    <n v="5"/>
    <n v="944.54"/>
    <n v="4722.7"/>
    <n v="944.54"/>
    <n v="3778.16"/>
    <n v="162"/>
    <s v="02:43:47"/>
    <n v="23"/>
    <n v="9"/>
    <n v="2024"/>
    <d v="2024-09-23T00:00:00"/>
    <s v="Credit Card"/>
    <s v="F"/>
    <n v="4"/>
    <s v="Mumbai"/>
    <x v="1709"/>
  </r>
  <r>
    <n v="5605"/>
    <s v="FamilyFood Express"/>
    <d v="2024-11-12T00:00:00"/>
    <s v="Dairy"/>
    <s v="Carrots"/>
    <n v="3"/>
    <n v="1232.55"/>
    <n v="3697.65"/>
    <n v="370.18"/>
    <n v="3327.47"/>
    <n v="260"/>
    <s v="20:29:14"/>
    <n v="12"/>
    <n v="11"/>
    <n v="2024"/>
    <d v="2024-11-12T00:00:00"/>
    <s v="Credit Card"/>
    <s v="M"/>
    <n v="1"/>
    <s v="Delhi"/>
    <x v="1710"/>
  </r>
  <r>
    <n v="9827"/>
    <s v="FreshMart Downtown"/>
    <d v="2023-12-15T00:00:00"/>
    <s v="Produce"/>
    <s v="Tomatoes"/>
    <n v="4"/>
    <n v="1045.8"/>
    <n v="4183.2"/>
    <n v="627.48"/>
    <n v="3555.72"/>
    <n v="439"/>
    <s v="23:15:57"/>
    <n v="15"/>
    <n v="12"/>
    <n v="2023"/>
    <d v="2023-12-15T00:00:00"/>
    <s v="Credit Card"/>
    <s v="M"/>
    <n v="3"/>
    <s v="Mumbai"/>
    <x v="1711"/>
  </r>
  <r>
    <n v="6302"/>
    <s v="MegaMart Westside"/>
    <d v="2025-02-03T00:00:00"/>
    <s v="Frozen Foods"/>
    <s v="Bread"/>
    <n v="4"/>
    <n v="2358.86"/>
    <n v="9435.44"/>
    <n v="1887.42"/>
    <n v="7548.02"/>
    <n v="333"/>
    <s v="05:42:09"/>
    <n v="3"/>
    <n v="2"/>
    <n v="2025"/>
    <d v="2025-02-03T00:00:00"/>
    <s v="UPI"/>
    <s v="M"/>
    <n v="5"/>
    <s v="Ahmedabad"/>
    <x v="1712"/>
  </r>
  <r>
    <n v="5794"/>
    <s v="GreenGrocer Plaza"/>
    <d v="2024-03-18T00:00:00"/>
    <s v="Health &amp; Wellness"/>
    <s v="Tomatoes"/>
    <n v="4"/>
    <n v="120.35"/>
    <n v="481.4"/>
    <n v="0"/>
    <n v="481.4"/>
    <n v="493"/>
    <s v="01:23:15"/>
    <n v="18"/>
    <n v="3"/>
    <n v="2024"/>
    <d v="2024-03-18T00:00:00"/>
    <s v="Cash"/>
    <s v="F"/>
    <n v="3"/>
    <s v="Hyderabad"/>
    <x v="1713"/>
  </r>
  <r>
    <n v="5380"/>
    <s v="MegaMart Westside"/>
    <d v="2025-06-03T00:00:00"/>
    <s v="Produce"/>
    <s v="Eggs"/>
    <n v="2"/>
    <n v="508.79"/>
    <n v="1017.58"/>
    <n v="134.46"/>
    <n v="883.12"/>
    <n v="4"/>
    <s v="00:26:12"/>
    <n v="3"/>
    <n v="6"/>
    <n v="2025"/>
    <d v="2025-06-03T00:00:00"/>
    <s v="Credit Card"/>
    <s v="M"/>
    <n v="4"/>
    <s v="Bangalore"/>
    <x v="1714"/>
  </r>
  <r>
    <n v="9428"/>
    <s v="City Fresh Store"/>
    <d v="2025-07-06T00:00:00"/>
    <s v="Produce"/>
    <s v="Milk"/>
    <n v="5"/>
    <n v="2013.58"/>
    <n v="10067.9"/>
    <n v="1510.6"/>
    <n v="8557.2999999999993"/>
    <n v="443"/>
    <s v="09:24:31"/>
    <n v="6"/>
    <n v="7"/>
    <n v="2025"/>
    <d v="2025-07-06T00:00:00"/>
    <s v="Credit Card"/>
    <s v="M"/>
    <n v="5"/>
    <s v="Jaipur"/>
    <x v="1715"/>
  </r>
  <r>
    <n v="2560"/>
    <s v="Corner Grocery"/>
    <d v="2023-11-20T00:00:00"/>
    <s v="Meat &amp; Seafood"/>
    <s v="Cheese"/>
    <n v="2"/>
    <n v="502.15"/>
    <n v="1004.3"/>
    <n v="0"/>
    <n v="1004.3"/>
    <n v="265"/>
    <s v="18:10:31"/>
    <n v="20"/>
    <n v="11"/>
    <n v="2023"/>
    <d v="2023-11-20T00:00:00"/>
    <s v="Credit Card"/>
    <s v="F"/>
    <n v="3"/>
    <s v="Lucknow"/>
    <x v="1716"/>
  </r>
  <r>
    <n v="7743"/>
    <s v="SuperSave Central"/>
    <d v="2025-07-20T00:00:00"/>
    <s v="Canned Goods"/>
    <s v="Chicken Breast"/>
    <n v="2"/>
    <n v="154.38"/>
    <n v="308.76"/>
    <n v="30.71"/>
    <n v="278.05"/>
    <n v="104"/>
    <s v="11:29:58"/>
    <n v="20"/>
    <n v="7"/>
    <n v="2025"/>
    <d v="2025-07-20T00:00:00"/>
    <s v="Debit Card"/>
    <s v="M"/>
    <n v="4"/>
    <s v="Jaipur"/>
    <x v="1717"/>
  </r>
  <r>
    <n v="1971"/>
    <s v="MegaMart Westside"/>
    <d v="2024-03-09T00:00:00"/>
    <s v="Frozen Foods"/>
    <s v="Cereal"/>
    <n v="1"/>
    <n v="1967.1"/>
    <n v="1967.1"/>
    <n v="196.71"/>
    <n v="1770.39"/>
    <n v="169"/>
    <s v="23:25:28"/>
    <n v="9"/>
    <n v="3"/>
    <n v="2024"/>
    <d v="2024-03-09T00:00:00"/>
    <s v="Debit Card"/>
    <s v="M"/>
    <n v="1"/>
    <s v="Kolkata"/>
    <x v="1718"/>
  </r>
  <r>
    <n v="3078"/>
    <s v="FreshMart Downtown"/>
    <d v="2025-02-01T00:00:00"/>
    <s v="Meat &amp; Seafood"/>
    <s v="Cheese"/>
    <n v="1"/>
    <n v="1380.29"/>
    <n v="1380.29"/>
    <n v="276.39"/>
    <n v="1103.9000000000001"/>
    <n v="390"/>
    <s v="15:20:17"/>
    <n v="1"/>
    <n v="2"/>
    <n v="2025"/>
    <d v="2025-02-01T00:00:00"/>
    <s v="UPI"/>
    <s v="F"/>
    <n v="4"/>
    <s v="Delhi"/>
    <x v="1719"/>
  </r>
  <r>
    <n v="3174"/>
    <s v="GreenGrocer Plaza"/>
    <d v="2024-02-16T00:00:00"/>
    <s v="Produce"/>
    <s v="Orange Juice"/>
    <n v="2"/>
    <n v="303.77999999999997"/>
    <n v="607.55999999999995"/>
    <n v="60.59"/>
    <n v="546.97"/>
    <n v="33"/>
    <s v="11:26:35"/>
    <n v="16"/>
    <n v="2"/>
    <n v="2024"/>
    <d v="2024-02-16T00:00:00"/>
    <s v="Cash"/>
    <s v="M"/>
    <n v="5"/>
    <s v="Ahmedabad"/>
    <x v="1720"/>
  </r>
  <r>
    <n v="3396"/>
    <s v="City Fresh Store"/>
    <d v="2025-02-09T00:00:00"/>
    <s v="Snacks &amp; Candy"/>
    <s v="Onions"/>
    <n v="4"/>
    <n v="405.87"/>
    <n v="1623.48"/>
    <n v="243.19"/>
    <n v="1380.29"/>
    <n v="308"/>
    <s v="08:28:39"/>
    <n v="9"/>
    <n v="2"/>
    <n v="2025"/>
    <d v="2025-02-09T00:00:00"/>
    <s v="UPI"/>
    <s v="F"/>
    <n v="2"/>
    <s v="Hyderabad"/>
    <x v="1721"/>
  </r>
  <r>
    <n v="6277"/>
    <s v="City Fresh Store"/>
    <d v="2025-05-11T00:00:00"/>
    <s v="Beverages"/>
    <s v="Pasta"/>
    <n v="2"/>
    <n v="859.05"/>
    <n v="1718.1"/>
    <n v="304.61"/>
    <n v="1413.49"/>
    <n v="276"/>
    <s v="09:50:19"/>
    <n v="11"/>
    <n v="5"/>
    <n v="2025"/>
    <d v="2025-05-11T00:00:00"/>
    <s v="Cash"/>
    <s v="F"/>
    <n v="1"/>
    <s v="Ahmedabad"/>
    <x v="1722"/>
  </r>
  <r>
    <n v="5055"/>
    <s v="GreenGrocer Plaza"/>
    <d v="2025-03-20T00:00:00"/>
    <s v="Beverages"/>
    <s v="Potatoes"/>
    <n v="5"/>
    <n v="554.44000000000005"/>
    <n v="2772.2"/>
    <n v="554.44000000000005"/>
    <n v="2217.7600000000002"/>
    <n v="112"/>
    <s v="21:21:16"/>
    <n v="20"/>
    <n v="3"/>
    <n v="2025"/>
    <d v="2025-03-20T00:00:00"/>
    <s v="Debit Card"/>
    <s v="F"/>
    <n v="3"/>
    <s v="Delhi"/>
    <x v="1723"/>
  </r>
  <r>
    <n v="7434"/>
    <s v="FamilyFood Express"/>
    <d v="2024-08-21T00:00:00"/>
    <s v="Health &amp; Wellness"/>
    <s v="Bread"/>
    <n v="1"/>
    <n v="1808.57"/>
    <n v="1808.57"/>
    <n v="361.88"/>
    <n v="1446.69"/>
    <n v="144"/>
    <s v="10:35:19"/>
    <n v="21"/>
    <n v="8"/>
    <n v="2024"/>
    <d v="2024-08-21T00:00:00"/>
    <s v="Debit Card"/>
    <s v="F"/>
    <n v="5"/>
    <s v="Mumbai"/>
    <x v="1724"/>
  </r>
  <r>
    <n v="3329"/>
    <s v="FamilyFood Express"/>
    <d v="2024-10-28T00:00:00"/>
    <s v="Frozen Foods"/>
    <s v="Apples"/>
    <n v="3"/>
    <n v="873.16"/>
    <n v="2619.48"/>
    <n v="0"/>
    <n v="2619.48"/>
    <n v="498"/>
    <s v="20:28:09"/>
    <n v="28"/>
    <n v="10"/>
    <n v="2024"/>
    <d v="2024-10-28T00:00:00"/>
    <s v="Debit Card"/>
    <s v="F"/>
    <n v="2"/>
    <s v="Hyderabad"/>
    <x v="1725"/>
  </r>
  <r>
    <n v="5402"/>
    <s v="ValuePlus Market"/>
    <d v="2024-12-06T00:00:00"/>
    <s v="Personal Care"/>
    <s v="Pasta"/>
    <n v="2"/>
    <n v="871.5"/>
    <n v="1743"/>
    <n v="327.85"/>
    <n v="1415.15"/>
    <n v="191"/>
    <s v="19:36:39"/>
    <n v="6"/>
    <n v="12"/>
    <n v="2024"/>
    <d v="2024-12-06T00:00:00"/>
    <s v="UPI"/>
    <s v="M"/>
    <n v="4"/>
    <s v="Kolkata"/>
    <x v="1726"/>
  </r>
  <r>
    <n v="7786"/>
    <s v="FreshMart Downtown"/>
    <d v="2024-05-24T00:00:00"/>
    <s v="Snacks &amp; Candy"/>
    <s v="Milk"/>
    <n v="2"/>
    <n v="2440.1999999999998"/>
    <n v="4880.3999999999996"/>
    <n v="0"/>
    <n v="4880.3999999999996"/>
    <n v="7"/>
    <s v="13:09:03"/>
    <n v="24"/>
    <n v="5"/>
    <n v="2024"/>
    <d v="2024-05-24T00:00:00"/>
    <s v="Credit Card"/>
    <s v="M"/>
    <n v="2"/>
    <s v="Lucknow"/>
    <x v="1727"/>
  </r>
  <r>
    <n v="8405"/>
    <s v="FreshMart Downtown"/>
    <d v="2023-10-04T00:00:00"/>
    <s v="Bakery"/>
    <s v="Apples"/>
    <n v="4"/>
    <n v="858.22"/>
    <n v="3432.88"/>
    <n v="343.62"/>
    <n v="3089.26"/>
    <n v="292"/>
    <s v="07:25:32"/>
    <n v="4"/>
    <n v="10"/>
    <n v="2023"/>
    <d v="2023-10-04T00:00:00"/>
    <s v="Credit Card"/>
    <s v="F"/>
    <n v="5"/>
    <s v="Pune"/>
    <x v="1728"/>
  </r>
  <r>
    <n v="2525"/>
    <s v="MegaMart Westside"/>
    <d v="2024-06-14T00:00:00"/>
    <s v="Bakery"/>
    <s v="Tomatoes"/>
    <n v="4"/>
    <n v="2471.7399999999998"/>
    <n v="9886.9599999999991"/>
    <n v="229.08"/>
    <n v="9657.8799999999992"/>
    <n v="232"/>
    <s v="17:17:36"/>
    <n v="14"/>
    <n v="6"/>
    <n v="2024"/>
    <d v="2024-06-14T00:00:00"/>
    <s v="Debit Card"/>
    <s v="F"/>
    <n v="5"/>
    <s v="Delhi"/>
    <x v="1729"/>
  </r>
  <r>
    <n v="9447"/>
    <s v="QuickStop Market"/>
    <d v="2025-03-11T00:00:00"/>
    <s v="Health &amp; Wellness"/>
    <s v="Carrots"/>
    <n v="3"/>
    <n v="893.91"/>
    <n v="2681.73"/>
    <n v="402.55"/>
    <n v="2279.1799999999998"/>
    <n v="456"/>
    <s v="19:49:08"/>
    <n v="11"/>
    <n v="3"/>
    <n v="2025"/>
    <d v="2025-03-11T00:00:00"/>
    <s v="Credit Card"/>
    <s v="M"/>
    <n v="2"/>
    <s v="Delhi"/>
    <x v="1730"/>
  </r>
  <r>
    <n v="5558"/>
    <s v="MegaMart Westside"/>
    <d v="2025-01-27T00:00:00"/>
    <s v="Beverages"/>
    <s v="Onions"/>
    <n v="4"/>
    <n v="1678.26"/>
    <n v="6713.04"/>
    <n v="170.15"/>
    <n v="6542.89"/>
    <n v="342"/>
    <s v="22:59:47"/>
    <n v="27"/>
    <n v="1"/>
    <n v="2025"/>
    <d v="2025-01-27T00:00:00"/>
    <s v="Credit Card"/>
    <s v="F"/>
    <n v="4"/>
    <s v="Pune"/>
    <x v="1731"/>
  </r>
  <r>
    <n v="7046"/>
    <s v="MegaMart Westside"/>
    <d v="2024-07-25T00:00:00"/>
    <s v="Snacks &amp; Candy"/>
    <s v="Bananas"/>
    <n v="5"/>
    <n v="385.95"/>
    <n v="1929.75"/>
    <n v="122.84"/>
    <n v="1806.91"/>
    <n v="116"/>
    <s v="17:45:39"/>
    <n v="25"/>
    <n v="7"/>
    <n v="2024"/>
    <d v="2024-07-25T00:00:00"/>
    <s v="UPI"/>
    <s v="F"/>
    <n v="2"/>
    <s v="Lucknow"/>
    <x v="1732"/>
  </r>
  <r>
    <n v="8996"/>
    <s v="QuickStop Market"/>
    <d v="2024-04-17T00:00:00"/>
    <s v="Meat &amp; Seafood"/>
    <s v="Orange Juice"/>
    <n v="3"/>
    <n v="1171.1300000000001"/>
    <n v="3513.39"/>
    <n v="143.59"/>
    <n v="3369.8"/>
    <n v="283"/>
    <s v="10:05:43"/>
    <n v="17"/>
    <n v="4"/>
    <n v="2024"/>
    <d v="2024-04-17T00:00:00"/>
    <s v="Cash"/>
    <s v="F"/>
    <n v="5"/>
    <s v="Jaipur"/>
    <x v="1733"/>
  </r>
  <r>
    <n v="1040"/>
    <s v="ValuePlus Market"/>
    <d v="2025-06-11T00:00:00"/>
    <s v="Bakery"/>
    <s v="Eggs"/>
    <n v="2"/>
    <n v="1949.67"/>
    <n v="3899.34"/>
    <n v="282.2"/>
    <n v="3617.14"/>
    <n v="101"/>
    <s v="06:36:46"/>
    <n v="11"/>
    <n v="6"/>
    <n v="2025"/>
    <d v="2025-06-11T00:00:00"/>
    <s v="Debit Card"/>
    <s v="M"/>
    <n v="5"/>
    <s v="Mumbai"/>
    <x v="1734"/>
  </r>
  <r>
    <n v="2526"/>
    <s v="SuperSave Central"/>
    <d v="2025-02-24T00:00:00"/>
    <s v="Household Items"/>
    <s v="Carrots"/>
    <n v="5"/>
    <n v="195.05"/>
    <n v="975.25"/>
    <n v="159.36000000000001"/>
    <n v="815.89"/>
    <n v="272"/>
    <s v="08:37:47"/>
    <n v="24"/>
    <n v="2"/>
    <n v="2025"/>
    <d v="2025-02-24T00:00:00"/>
    <s v="Debit Card"/>
    <s v="M"/>
    <n v="3"/>
    <s v="Jaipur"/>
    <x v="1735"/>
  </r>
  <r>
    <n v="8511"/>
    <s v="ValuePlus Market"/>
    <d v="2024-12-12T00:00:00"/>
    <s v="Meat &amp; Seafood"/>
    <s v="Orange Juice"/>
    <n v="2"/>
    <n v="322.87"/>
    <n v="645.74"/>
    <n v="0"/>
    <n v="645.74"/>
    <n v="84"/>
    <s v="11:30:20"/>
    <n v="12"/>
    <n v="12"/>
    <n v="2024"/>
    <d v="2024-12-12T00:00:00"/>
    <s v="UPI"/>
    <s v="F"/>
    <n v="3"/>
    <s v="Lucknow"/>
    <x v="1736"/>
  </r>
  <r>
    <n v="6869"/>
    <s v="SuperSave Central"/>
    <d v="2025-05-28T00:00:00"/>
    <s v="Personal Care"/>
    <s v="Cheese"/>
    <n v="2"/>
    <n v="751.98"/>
    <n v="1503.96"/>
    <n v="225.76"/>
    <n v="1278.2"/>
    <n v="491"/>
    <s v="10:10:25"/>
    <n v="28"/>
    <n v="5"/>
    <n v="2025"/>
    <d v="2025-05-28T00:00:00"/>
    <s v="UPI"/>
    <s v="F"/>
    <n v="1"/>
    <s v="Hyderabad"/>
    <x v="1737"/>
  </r>
  <r>
    <n v="2037"/>
    <s v="Corner Grocery"/>
    <d v="2025-04-16T00:00:00"/>
    <s v="Personal Care"/>
    <s v="Cheese"/>
    <n v="4"/>
    <n v="1208.48"/>
    <n v="4833.92"/>
    <n v="107.9"/>
    <n v="4726.0200000000004"/>
    <n v="69"/>
    <s v="22:40:42"/>
    <n v="16"/>
    <n v="4"/>
    <n v="2025"/>
    <d v="2025-04-16T00:00:00"/>
    <s v="Credit Card"/>
    <s v="M"/>
    <n v="5"/>
    <s v="Bangalore"/>
    <x v="1738"/>
  </r>
  <r>
    <n v="9756"/>
    <s v="ValuePlus Market"/>
    <d v="2024-06-10T00:00:00"/>
    <s v="Health &amp; Wellness"/>
    <s v="Rice"/>
    <n v="2"/>
    <n v="2304.08"/>
    <n v="4608.16"/>
    <n v="333.66"/>
    <n v="4274.5"/>
    <n v="313"/>
    <s v="13:22:47"/>
    <n v="10"/>
    <n v="6"/>
    <n v="2024"/>
    <d v="2024-06-10T00:00:00"/>
    <s v="Debit Card"/>
    <s v="M"/>
    <n v="3"/>
    <s v="Ahmedabad"/>
    <x v="1739"/>
  </r>
  <r>
    <n v="4568"/>
    <s v="SuperSave Central"/>
    <d v="2024-07-05T00:00:00"/>
    <s v="Meat &amp; Seafood"/>
    <s v="Potatoes"/>
    <n v="2"/>
    <n v="1922.28"/>
    <n v="3844.56"/>
    <n v="384.29"/>
    <n v="3460.27"/>
    <n v="413"/>
    <s v="22:47:37"/>
    <n v="5"/>
    <n v="7"/>
    <n v="2024"/>
    <d v="2024-07-05T00:00:00"/>
    <s v="Cash"/>
    <s v="F"/>
    <n v="2"/>
    <s v="Kolkata"/>
    <x v="1740"/>
  </r>
  <r>
    <n v="4470"/>
    <s v="SuperSave Central"/>
    <d v="2024-08-25T00:00:00"/>
    <s v="Health &amp; Wellness"/>
    <s v="Cheese"/>
    <n v="4"/>
    <n v="1505.62"/>
    <n v="6022.48"/>
    <n v="158.53"/>
    <n v="5863.95"/>
    <n v="127"/>
    <s v="13:37:33"/>
    <n v="25"/>
    <n v="8"/>
    <n v="2024"/>
    <d v="2024-08-25T00:00:00"/>
    <s v="UPI"/>
    <s v="F"/>
    <n v="4"/>
    <s v="Mumbai"/>
    <x v="1741"/>
  </r>
  <r>
    <n v="5399"/>
    <s v="QuickStop Market"/>
    <d v="2024-04-13T00:00:00"/>
    <s v="Meat &amp; Seafood"/>
    <s v="Tomatoes"/>
    <n v="1"/>
    <n v="1829.32"/>
    <n v="1829.32"/>
    <n v="366.03"/>
    <n v="1463.29"/>
    <n v="299"/>
    <s v="02:27:06"/>
    <n v="13"/>
    <n v="4"/>
    <n v="2024"/>
    <d v="2024-04-13T00:00:00"/>
    <s v="Cash"/>
    <s v="M"/>
    <n v="2"/>
    <s v="Lucknow"/>
    <x v="1742"/>
  </r>
  <r>
    <n v="5646"/>
    <s v="City Fresh Store"/>
    <d v="2024-04-25T00:00:00"/>
    <s v="Meat &amp; Seafood"/>
    <s v="Pasta"/>
    <n v="3"/>
    <n v="107.9"/>
    <n v="323.7"/>
    <n v="117.03"/>
    <n v="206.67"/>
    <n v="60"/>
    <s v="11:03:23"/>
    <n v="25"/>
    <n v="4"/>
    <n v="2024"/>
    <d v="2024-04-25T00:00:00"/>
    <s v="Cash"/>
    <s v="M"/>
    <n v="4"/>
    <s v="Chennai"/>
    <x v="1743"/>
  </r>
  <r>
    <n v="9967"/>
    <s v="City Fresh Store"/>
    <d v="2024-10-28T00:00:00"/>
    <s v="Bakery"/>
    <s v="Salmon"/>
    <n v="3"/>
    <n v="2060.89"/>
    <n v="6182.67"/>
    <n v="1236.7"/>
    <n v="4945.97"/>
    <n v="277"/>
    <s v="09:24:53"/>
    <n v="28"/>
    <n v="10"/>
    <n v="2024"/>
    <d v="2024-10-28T00:00:00"/>
    <s v="Debit Card"/>
    <s v="M"/>
    <n v="3"/>
    <s v="Hyderabad"/>
    <x v="1744"/>
  </r>
  <r>
    <n v="3139"/>
    <s v="GreenGrocer Plaza"/>
    <d v="2024-10-19T00:00:00"/>
    <s v="Canned Goods"/>
    <s v="Pasta"/>
    <n v="1"/>
    <n v="1000.15"/>
    <n v="1000.15"/>
    <n v="291.33"/>
    <n v="708.82"/>
    <n v="456"/>
    <s v="09:45:01"/>
    <n v="19"/>
    <n v="10"/>
    <n v="2024"/>
    <d v="2024-10-19T00:00:00"/>
    <s v="Debit Card"/>
    <s v="F"/>
    <n v="1"/>
    <s v="Lucknow"/>
    <x v="1745"/>
  </r>
  <r>
    <n v="8951"/>
    <s v="Corner Grocery"/>
    <d v="2025-04-10T00:00:00"/>
    <s v="Household Items"/>
    <s v="Apples"/>
    <n v="4"/>
    <n v="1908.17"/>
    <n v="7632.68"/>
    <n v="414.17"/>
    <n v="7218.51"/>
    <n v="115"/>
    <s v="16:46:03"/>
    <n v="10"/>
    <n v="4"/>
    <n v="2025"/>
    <d v="2025-04-10T00:00:00"/>
    <s v="UPI"/>
    <s v="M"/>
    <n v="2"/>
    <s v="Kolkata"/>
    <x v="1746"/>
  </r>
  <r>
    <n v="6631"/>
    <s v="MegaMart Westside"/>
    <d v="2025-07-01T00:00:00"/>
    <s v="Bakery"/>
    <s v="Potatoes"/>
    <n v="4"/>
    <n v="1097.26"/>
    <n v="4389.04"/>
    <n v="658.19"/>
    <n v="3730.85"/>
    <n v="326"/>
    <s v="00:42:21"/>
    <n v="1"/>
    <n v="7"/>
    <n v="2025"/>
    <d v="2025-07-01T00:00:00"/>
    <s v="Debit Card"/>
    <s v="F"/>
    <n v="2"/>
    <s v="Bangalore"/>
    <x v="1747"/>
  </r>
  <r>
    <n v="1793"/>
    <s v="QuickStop Market"/>
    <d v="2023-09-11T00:00:00"/>
    <s v="Frozen Foods"/>
    <s v="Carrots"/>
    <n v="3"/>
    <n v="1092.28"/>
    <n v="3276.84"/>
    <n v="491.36"/>
    <n v="2785.48"/>
    <n v="428"/>
    <s v="23:30:53"/>
    <n v="11"/>
    <n v="9"/>
    <n v="2023"/>
    <d v="2023-09-11T00:00:00"/>
    <s v="Debit Card"/>
    <s v="M"/>
    <n v="2"/>
    <s v="Delhi"/>
    <x v="1748"/>
  </r>
  <r>
    <n v="2631"/>
    <s v="GreenGrocer Plaza"/>
    <d v="2024-12-05T00:00:00"/>
    <s v="Produce"/>
    <s v="Chicken Breast"/>
    <n v="4"/>
    <n v="666.49"/>
    <n v="2665.96"/>
    <n v="227.42"/>
    <n v="2438.54"/>
    <n v="253"/>
    <s v="09:33:23"/>
    <n v="5"/>
    <n v="12"/>
    <n v="2024"/>
    <d v="2024-12-05T00:00:00"/>
    <s v="Debit Card"/>
    <s v="M"/>
    <n v="4"/>
    <s v="Jaipur"/>
    <x v="1749"/>
  </r>
  <r>
    <n v="8529"/>
    <s v="QuickStop Market"/>
    <d v="2023-08-19T00:00:00"/>
    <s v="Dairy"/>
    <s v="Potatoes"/>
    <n v="5"/>
    <n v="1542.14"/>
    <n v="7710.7"/>
    <n v="255.64"/>
    <n v="7455.06"/>
    <n v="289"/>
    <s v="11:08:57"/>
    <n v="19"/>
    <n v="8"/>
    <n v="2023"/>
    <d v="2023-08-19T00:00:00"/>
    <s v="Cash"/>
    <s v="M"/>
    <n v="3"/>
    <s v="Chennai"/>
    <x v="1750"/>
  </r>
  <r>
    <n v="3035"/>
    <s v="Corner Grocery"/>
    <d v="2025-07-28T00:00:00"/>
    <s v="Produce"/>
    <s v="Chicken Breast"/>
    <n v="5"/>
    <n v="2099.9"/>
    <n v="10499.5"/>
    <n v="114.54"/>
    <n v="10384.959999999999"/>
    <n v="329"/>
    <s v="05:17:00"/>
    <n v="28"/>
    <n v="7"/>
    <n v="2025"/>
    <d v="2025-07-28T00:00:00"/>
    <s v="UPI"/>
    <s v="M"/>
    <n v="2"/>
    <s v="Delhi"/>
    <x v="1751"/>
  </r>
  <r>
    <n v="3588"/>
    <s v="FamilyFood Express"/>
    <d v="2024-07-14T00:00:00"/>
    <s v="Canned Goods"/>
    <s v="Cheese"/>
    <n v="4"/>
    <n v="1811.06"/>
    <n v="7244.24"/>
    <n v="0"/>
    <n v="7244.24"/>
    <n v="20"/>
    <s v="04:04:22"/>
    <n v="14"/>
    <n v="7"/>
    <n v="2024"/>
    <d v="2024-07-14T00:00:00"/>
    <s v="Credit Card"/>
    <s v="F"/>
    <n v="2"/>
    <s v="Jaipur"/>
    <x v="1752"/>
  </r>
  <r>
    <n v="8479"/>
    <s v="City Fresh Store"/>
    <d v="2023-08-07T00:00:00"/>
    <s v="Beverages"/>
    <s v="Carrots"/>
    <n v="1"/>
    <n v="2345.58"/>
    <n v="2345.58"/>
    <n v="0"/>
    <n v="2345.58"/>
    <n v="416"/>
    <s v="16:29:40"/>
    <n v="7"/>
    <n v="8"/>
    <n v="2023"/>
    <d v="2023-08-07T00:00:00"/>
    <s v="Cash"/>
    <s v="F"/>
    <n v="1"/>
    <s v="Jaipur"/>
    <x v="1753"/>
  </r>
  <r>
    <n v="8009"/>
    <s v="FreshMart Downtown"/>
    <d v="2024-01-11T00:00:00"/>
    <s v="Bakery"/>
    <s v="Apples"/>
    <n v="1"/>
    <n v="1600.24"/>
    <n v="1600.24"/>
    <n v="239.87"/>
    <n v="1360.37"/>
    <n v="168"/>
    <s v="08:48:14"/>
    <n v="11"/>
    <n v="1"/>
    <n v="2024"/>
    <d v="2024-01-11T00:00:00"/>
    <s v="Debit Card"/>
    <s v="M"/>
    <n v="1"/>
    <s v="Jaipur"/>
    <x v="1754"/>
  </r>
  <r>
    <n v="3161"/>
    <s v="Corner Grocery"/>
    <d v="2025-06-22T00:00:00"/>
    <s v="Produce"/>
    <s v="Salmon"/>
    <n v="3"/>
    <n v="945.37"/>
    <n v="2836.11"/>
    <n v="425.79"/>
    <n v="2410.3200000000002"/>
    <n v="349"/>
    <s v="13:01:46"/>
    <n v="22"/>
    <n v="6"/>
    <n v="2025"/>
    <d v="2025-06-22T00:00:00"/>
    <s v="Cash"/>
    <s v="F"/>
    <n v="3"/>
    <s v="Jaipur"/>
    <x v="1755"/>
  </r>
  <r>
    <n v="5945"/>
    <s v="FamilyFood Express"/>
    <d v="2023-12-08T00:00:00"/>
    <s v="Frozen Foods"/>
    <s v="Salmon"/>
    <n v="1"/>
    <n v="863.2"/>
    <n v="863.2"/>
    <n v="172.64"/>
    <n v="690.56"/>
    <n v="357"/>
    <s v="22:26:05"/>
    <n v="8"/>
    <n v="12"/>
    <n v="2023"/>
    <d v="2023-12-08T00:00:00"/>
    <s v="Debit Card"/>
    <s v="M"/>
    <n v="3"/>
    <s v="Jaipur"/>
    <x v="1756"/>
  </r>
  <r>
    <n v="5489"/>
    <s v="FamilyFood Express"/>
    <d v="2023-10-18T00:00:00"/>
    <s v="Personal Care"/>
    <s v="Onions"/>
    <n v="3"/>
    <n v="1865.01"/>
    <n v="5595.03"/>
    <n v="1118.8399999999999"/>
    <n v="4476.1899999999996"/>
    <n v="385"/>
    <s v="15:00:59"/>
    <n v="18"/>
    <n v="10"/>
    <n v="2023"/>
    <d v="2023-10-18T00:00:00"/>
    <s v="Debit Card"/>
    <s v="M"/>
    <n v="5"/>
    <s v="Mumbai"/>
    <x v="1757"/>
  </r>
  <r>
    <n v="6905"/>
    <s v="City Fresh Store"/>
    <d v="2024-02-17T00:00:00"/>
    <s v="Dairy"/>
    <s v="Cereal"/>
    <n v="3"/>
    <n v="1566.21"/>
    <n v="4698.63"/>
    <n v="704.67"/>
    <n v="3993.96"/>
    <n v="378"/>
    <s v="07:12:20"/>
    <n v="17"/>
    <n v="2"/>
    <n v="2024"/>
    <d v="2024-02-17T00:00:00"/>
    <s v="Cash"/>
    <s v="M"/>
    <n v="1"/>
    <s v="Kolkata"/>
    <x v="1758"/>
  </r>
  <r>
    <n v="2350"/>
    <s v="QuickStop Market"/>
    <d v="2024-05-21T00:00:00"/>
    <s v="Dairy"/>
    <s v="Bread"/>
    <n v="4"/>
    <n v="834.98"/>
    <n v="3339.92"/>
    <n v="333.66"/>
    <n v="3006.26"/>
    <n v="254"/>
    <s v="21:22:46"/>
    <n v="21"/>
    <n v="5"/>
    <n v="2024"/>
    <d v="2024-05-21T00:00:00"/>
    <s v="UPI"/>
    <s v="M"/>
    <n v="5"/>
    <s v="Pune"/>
    <x v="1759"/>
  </r>
  <r>
    <n v="3711"/>
    <s v="FamilyFood Express"/>
    <d v="2023-09-16T00:00:00"/>
    <s v="Frozen Foods"/>
    <s v="Potatoes"/>
    <n v="3"/>
    <n v="893.08"/>
    <n v="2679.24"/>
    <n v="536.17999999999995"/>
    <n v="2143.06"/>
    <n v="224"/>
    <s v="15:54:14"/>
    <n v="16"/>
    <n v="9"/>
    <n v="2023"/>
    <d v="2023-09-16T00:00:00"/>
    <s v="Debit Card"/>
    <s v="F"/>
    <n v="4"/>
    <s v="Mumbai"/>
    <x v="1760"/>
  </r>
  <r>
    <n v="7493"/>
    <s v="SuperSave Central"/>
    <d v="2024-12-04T00:00:00"/>
    <s v="Canned Goods"/>
    <s v="Bananas"/>
    <n v="1"/>
    <n v="538.66999999999996"/>
    <n v="538.66999999999996"/>
    <n v="261.45"/>
    <n v="277.22000000000003"/>
    <n v="158"/>
    <s v="20:49:16"/>
    <n v="4"/>
    <n v="12"/>
    <n v="2024"/>
    <d v="2024-12-04T00:00:00"/>
    <s v="UPI"/>
    <s v="M"/>
    <n v="5"/>
    <s v="Kolkata"/>
    <x v="1761"/>
  </r>
  <r>
    <n v="6005"/>
    <s v="Corner Grocery"/>
    <d v="2025-02-20T00:00:00"/>
    <s v="Household Items"/>
    <s v="Bread"/>
    <n v="2"/>
    <n v="307.10000000000002"/>
    <n v="614.20000000000005"/>
    <n v="92.13"/>
    <n v="522.07000000000005"/>
    <n v="364"/>
    <s v="03:56:21"/>
    <n v="20"/>
    <n v="2"/>
    <n v="2025"/>
    <d v="2025-02-20T00:00:00"/>
    <s v="Credit Card"/>
    <s v="M"/>
    <n v="2"/>
    <s v="Chennai"/>
    <x v="1762"/>
  </r>
  <r>
    <n v="4836"/>
    <s v="SuperSave Central"/>
    <d v="2024-07-05T00:00:00"/>
    <s v="Canned Goods"/>
    <s v="Onions"/>
    <n v="3"/>
    <n v="1037.5"/>
    <n v="3112.5"/>
    <n v="363.54"/>
    <n v="2748.96"/>
    <n v="471"/>
    <s v="02:43:52"/>
    <n v="5"/>
    <n v="7"/>
    <n v="2024"/>
    <d v="2024-07-05T00:00:00"/>
    <s v="Debit Card"/>
    <s v="F"/>
    <n v="5"/>
    <s v="Ahmedabad"/>
    <x v="1763"/>
  </r>
  <r>
    <n v="2494"/>
    <s v="QuickStop Market"/>
    <d v="2025-02-03T00:00:00"/>
    <s v="Household Items"/>
    <s v="Bread"/>
    <n v="3"/>
    <n v="2487.5100000000002"/>
    <n v="7462.53"/>
    <n v="1492.34"/>
    <n v="5970.19"/>
    <n v="226"/>
    <s v="09:26:28"/>
    <n v="3"/>
    <n v="2"/>
    <n v="2025"/>
    <d v="2025-02-03T00:00:00"/>
    <s v="UPI"/>
    <s v="M"/>
    <n v="3"/>
    <s v="Mumbai"/>
    <x v="1764"/>
  </r>
  <r>
    <n v="2559"/>
    <s v="ValuePlus Market"/>
    <d v="2023-08-07T00:00:00"/>
    <s v="Meat &amp; Seafood"/>
    <s v="Pasta"/>
    <n v="1"/>
    <n v="1272.3900000000001"/>
    <n v="1272.3900000000001"/>
    <n v="254.81"/>
    <n v="1017.58"/>
    <n v="426"/>
    <d v="1899-12-30T11:43:58"/>
    <n v="7"/>
    <n v="8"/>
    <n v="2023"/>
    <d v="2023-08-07T00:00:00"/>
    <s v="UPI"/>
    <s v="M"/>
    <n v="4"/>
    <s v="Chennai"/>
    <x v="1765"/>
  </r>
  <r>
    <n v="4496"/>
    <s v="FamilyFood Express"/>
    <d v="2024-08-11T00:00:00"/>
    <s v="Beverages"/>
    <s v="Yogurt"/>
    <n v="2"/>
    <n v="112.05"/>
    <n v="224.1"/>
    <n v="243.19"/>
    <n v="-19.09"/>
    <n v="124"/>
    <d v="1899-12-30T23:00:34"/>
    <n v="11"/>
    <n v="8"/>
    <n v="2024"/>
    <d v="2024-08-11T00:00:00"/>
    <s v="Credit Card"/>
    <s v="M"/>
    <n v="2"/>
    <s v="Delhi"/>
    <x v="1766"/>
  </r>
  <r>
    <n v="2276"/>
    <s v="City Fresh Store"/>
    <d v="2023-11-18T00:00:00"/>
    <s v="Snacks &amp; Candy"/>
    <s v="Onions"/>
    <n v="5"/>
    <n v="2485.02"/>
    <n v="12425.1"/>
    <n v="2485.02"/>
    <n v="9940.08"/>
    <n v="98"/>
    <d v="1899-12-30T06:43:51"/>
    <n v="18"/>
    <n v="11"/>
    <n v="2023"/>
    <d v="2023-11-18T00:00:00"/>
    <s v="UPI"/>
    <s v="F"/>
    <n v="5"/>
    <s v="Chennai"/>
    <x v="1767"/>
  </r>
  <r>
    <n v="4705"/>
    <s v="ValuePlus Market"/>
    <d v="2024-09-13T00:00:00"/>
    <s v="Household Items"/>
    <s v="Tomatoes"/>
    <n v="5"/>
    <n v="2221.08"/>
    <n v="11105.4"/>
    <n v="0"/>
    <n v="11105.4"/>
    <n v="198"/>
    <s v="20:08:27"/>
    <n v="13"/>
    <n v="9"/>
    <n v="2024"/>
    <d v="2024-09-13T00:00:00"/>
    <s v="UPI"/>
    <s v="M"/>
    <n v="4"/>
    <s v="Hyderabad"/>
    <x v="1768"/>
  </r>
  <r>
    <n v="8291"/>
    <s v="MegaMart Westside"/>
    <d v="2023-08-14T00:00:00"/>
    <s v="Frozen Foods"/>
    <s v="Cheese"/>
    <n v="3"/>
    <n v="959.48"/>
    <n v="2878.44"/>
    <n v="431.6"/>
    <n v="2446.84"/>
    <n v="473"/>
    <s v="17:36:45"/>
    <n v="14"/>
    <n v="8"/>
    <n v="2023"/>
    <d v="2023-08-14T00:00:00"/>
    <s v="Credit Card"/>
    <s v="F"/>
    <n v="4"/>
    <s v="Delhi"/>
    <x v="1769"/>
  </r>
  <r>
    <n v="1132"/>
    <s v="ValuePlus Market"/>
    <d v="2025-01-28T00:00:00"/>
    <s v="Canned Goods"/>
    <s v="Bread"/>
    <n v="2"/>
    <n v="856.56"/>
    <n v="1713.12"/>
    <n v="275.56"/>
    <n v="1437.56"/>
    <n v="423"/>
    <s v="13:44:20"/>
    <n v="28"/>
    <n v="1"/>
    <n v="2025"/>
    <d v="2025-01-28T00:00:00"/>
    <s v="Debit Card"/>
    <s v="M"/>
    <n v="2"/>
    <s v="Lucknow"/>
    <x v="1770"/>
  </r>
  <r>
    <n v="6629"/>
    <s v="GreenGrocer Plaza"/>
    <d v="2025-05-02T00:00:00"/>
    <s v="Personal Care"/>
    <s v="Potatoes"/>
    <n v="5"/>
    <n v="836.64"/>
    <n v="4183.2"/>
    <n v="0"/>
    <n v="4183.2"/>
    <n v="413"/>
    <s v="20:16:44"/>
    <n v="2"/>
    <n v="5"/>
    <n v="2025"/>
    <d v="2025-05-02T00:00:00"/>
    <s v="UPI"/>
    <s v="M"/>
    <n v="5"/>
    <s v="Chennai"/>
    <x v="1771"/>
  </r>
  <r>
    <n v="2975"/>
    <s v="MegaMart Westside"/>
    <d v="2025-06-05T00:00:00"/>
    <s v="Health &amp; Wellness"/>
    <s v="Onions"/>
    <n v="2"/>
    <n v="1201.8399999999999"/>
    <n v="2403.6799999999998"/>
    <n v="240.7"/>
    <n v="2162.98"/>
    <n v="294"/>
    <s v="13:13:19"/>
    <n v="5"/>
    <n v="6"/>
    <n v="2025"/>
    <d v="2025-06-05T00:00:00"/>
    <s v="UPI"/>
    <s v="F"/>
    <n v="4"/>
    <s v="Bangalore"/>
    <x v="1772"/>
  </r>
  <r>
    <n v="7919"/>
    <s v="City Fresh Store"/>
    <d v="2025-01-27T00:00:00"/>
    <s v="Beverages"/>
    <s v="Cheese"/>
    <n v="1"/>
    <n v="2376.29"/>
    <n v="2376.29"/>
    <n v="231.57"/>
    <n v="2144.7199999999998"/>
    <n v="87"/>
    <d v="1899-12-30T04:00:11"/>
    <n v="27"/>
    <n v="1"/>
    <n v="2025"/>
    <d v="2025-01-27T00:00:00"/>
    <s v="UPI"/>
    <s v="M"/>
    <n v="4"/>
    <s v="Mumbai"/>
    <x v="1773"/>
  </r>
  <r>
    <n v="3165"/>
    <s v="FreshMart Downtown"/>
    <d v="2024-08-12T00:00:00"/>
    <s v="Canned Goods"/>
    <s v="Potatoes"/>
    <n v="2"/>
    <n v="235.72"/>
    <n v="471.44"/>
    <n v="0"/>
    <n v="471.44"/>
    <n v="181"/>
    <d v="1899-12-30T18:03:07"/>
    <n v="12"/>
    <n v="8"/>
    <n v="2024"/>
    <d v="2024-08-12T00:00:00"/>
    <s v="Cash"/>
    <s v="M"/>
    <n v="1"/>
    <s v="Chennai"/>
    <x v="1774"/>
  </r>
  <r>
    <n v="2160"/>
    <s v="QuickStop Market"/>
    <d v="2024-01-31T00:00:00"/>
    <s v="Household Items"/>
    <s v="Pasta"/>
    <n v="1"/>
    <n v="1799.44"/>
    <n v="1799.44"/>
    <n v="0"/>
    <n v="1799.44"/>
    <n v="251"/>
    <d v="1899-12-30T19:36:19"/>
    <n v="31"/>
    <n v="1"/>
    <n v="2024"/>
    <d v="2024-01-31T00:00:00"/>
    <s v="Credit Card"/>
    <s v="F"/>
    <n v="4"/>
    <s v="Jaipur"/>
    <x v="1775"/>
  </r>
  <r>
    <n v="7276"/>
    <s v="SuperSave Central"/>
    <d v="2023-10-15T00:00:00"/>
    <s v="Snacks &amp; Candy"/>
    <s v="Yogurt"/>
    <n v="4"/>
    <n v="827.51"/>
    <n v="3310.04"/>
    <n v="496.34"/>
    <n v="2813.7"/>
    <n v="356"/>
    <d v="1899-12-30T09:04:35"/>
    <n v="15"/>
    <n v="10"/>
    <n v="2023"/>
    <d v="2023-10-15T00:00:00"/>
    <s v="Cash"/>
    <s v="F"/>
    <n v="1"/>
    <s v="Chennai"/>
    <x v="1776"/>
  </r>
  <r>
    <n v="2678"/>
    <s v="FamilyFood Express"/>
    <d v="2023-10-26T00:00:00"/>
    <s v="Household Items"/>
    <s v="Carrots"/>
    <n v="4"/>
    <n v="429.11"/>
    <n v="1716.44"/>
    <n v="405.04"/>
    <n v="1311.4"/>
    <n v="276"/>
    <d v="1899-12-30T07:28:50"/>
    <n v="26"/>
    <n v="10"/>
    <n v="2023"/>
    <d v="2023-10-26T00:00:00"/>
    <s v="Credit Card"/>
    <s v="F"/>
    <n v="5"/>
    <s v="Bangalore"/>
    <x v="1777"/>
  </r>
  <r>
    <n v="6133"/>
    <s v="FreshMart Downtown"/>
    <d v="2024-05-18T00:00:00"/>
    <s v="Canned Goods"/>
    <s v="Chicken Breast"/>
    <n v="1"/>
    <n v="1559.57"/>
    <n v="1559.57"/>
    <n v="0"/>
    <n v="1559.57"/>
    <n v="271"/>
    <d v="1899-12-30T04:07:38"/>
    <n v="18"/>
    <n v="5"/>
    <n v="2024"/>
    <d v="2024-05-18T00:00:00"/>
    <s v="Debit Card"/>
    <s v="F"/>
    <n v="5"/>
    <s v="Pune"/>
    <x v="1778"/>
  </r>
  <r>
    <n v="5902"/>
    <s v="SuperSave Central"/>
    <d v="2023-11-21T00:00:00"/>
    <s v="Bakery"/>
    <s v="Ground Beef"/>
    <n v="5"/>
    <n v="1944.69"/>
    <n v="9723.4500000000007"/>
    <n v="298.8"/>
    <n v="9424.65"/>
    <n v="91"/>
    <d v="1899-12-30T17:23:36"/>
    <n v="21"/>
    <n v="11"/>
    <n v="2023"/>
    <d v="2023-11-21T00:00:00"/>
    <s v="Debit Card"/>
    <s v="F"/>
    <n v="5"/>
    <s v="Pune"/>
    <x v="1779"/>
  </r>
  <r>
    <n v="7270"/>
    <s v="City Fresh Store"/>
    <d v="2025-03-29T00:00:00"/>
    <s v="Dairy"/>
    <s v="Cereal"/>
    <n v="1"/>
    <n v="308.76"/>
    <n v="308.76"/>
    <n v="30.71"/>
    <n v="278.05"/>
    <n v="206"/>
    <d v="1899-12-30T07:49:43"/>
    <n v="29"/>
    <n v="3"/>
    <n v="2025"/>
    <d v="2025-03-29T00:00:00"/>
    <s v="UPI"/>
    <s v="M"/>
    <n v="3"/>
    <s v="Bangalore"/>
    <x v="1780"/>
  </r>
  <r>
    <n v="3181"/>
    <s v="Corner Grocery"/>
    <d v="2024-12-17T00:00:00"/>
    <s v="Beverages"/>
    <s v="Eggs"/>
    <n v="3"/>
    <n v="522.9"/>
    <n v="1568.7"/>
    <n v="313.74"/>
    <n v="1254.96"/>
    <n v="159"/>
    <d v="1899-12-30T06:45:34"/>
    <n v="17"/>
    <n v="12"/>
    <n v="2024"/>
    <d v="2024-12-17T00:00:00"/>
    <s v="Credit Card"/>
    <s v="F"/>
    <n v="5"/>
    <s v="Bangalore"/>
    <x v="1781"/>
  </r>
  <r>
    <n v="3340"/>
    <s v="Corner Grocery"/>
    <d v="2023-09-29T00:00:00"/>
    <s v="Frozen Foods"/>
    <s v="Potatoes"/>
    <n v="1"/>
    <n v="526.22"/>
    <n v="526.22"/>
    <n v="105.41"/>
    <n v="420.81"/>
    <n v="205"/>
    <d v="1899-12-30T17:18:53"/>
    <n v="29"/>
    <n v="9"/>
    <n v="2023"/>
    <d v="2023-09-29T00:00:00"/>
    <s v="Debit Card"/>
    <s v="M"/>
    <n v="4"/>
    <s v="Delhi"/>
    <x v="1782"/>
  </r>
  <r>
    <n v="9691"/>
    <s v="MegaMart Westside"/>
    <d v="2024-10-17T00:00:00"/>
    <s v="Health &amp; Wellness"/>
    <s v="Bread"/>
    <n v="3"/>
    <n v="1169.47"/>
    <n v="3508.41"/>
    <n v="375.16"/>
    <n v="3133.25"/>
    <n v="48"/>
    <d v="1899-12-30T18:56:31"/>
    <n v="17"/>
    <n v="10"/>
    <n v="2024"/>
    <d v="2024-10-17T00:00:00"/>
    <s v="Credit Card"/>
    <s v="M"/>
    <n v="2"/>
    <s v="Pune"/>
    <x v="1783"/>
  </r>
  <r>
    <n v="1138"/>
    <s v="FreshMart Downtown"/>
    <d v="2024-11-23T00:00:00"/>
    <s v="Personal Care"/>
    <s v="Milk"/>
    <n v="3"/>
    <n v="312.08"/>
    <n v="936.24"/>
    <n v="191.73"/>
    <n v="744.51"/>
    <n v="0"/>
    <d v="1899-12-30T13:59:07"/>
    <n v="23"/>
    <n v="11"/>
    <n v="2024"/>
    <d v="2024-11-23T00:00:00"/>
    <s v="Debit Card"/>
    <s v="M"/>
    <n v="1"/>
    <s v="Mumbai"/>
    <x v="1784"/>
  </r>
  <r>
    <n v="3688"/>
    <s v="QuickStop Market"/>
    <d v="2024-07-13T00:00:00"/>
    <s v="Produce"/>
    <s v="Orange Juice"/>
    <n v="1"/>
    <n v="2382.9299999999998"/>
    <n v="2382.9299999999998"/>
    <n v="476.42"/>
    <n v="1906.51"/>
    <n v="96"/>
    <d v="1899-12-30T01:11:37"/>
    <n v="13"/>
    <n v="7"/>
    <n v="2024"/>
    <d v="2024-07-13T00:00:00"/>
    <s v="Cash"/>
    <s v="F"/>
    <n v="3"/>
    <s v="Ahmedabad"/>
    <x v="1785"/>
  </r>
  <r>
    <n v="6753"/>
    <s v="ValuePlus Market"/>
    <d v="2025-02-18T00:00:00"/>
    <s v="Bakery"/>
    <s v="Orange Juice"/>
    <n v="1"/>
    <n v="2181.2399999999998"/>
    <n v="2181.2399999999998"/>
    <n v="207.5"/>
    <n v="1973.74"/>
    <n v="467"/>
    <d v="1899-12-30T09:07:24"/>
    <n v="18"/>
    <n v="2"/>
    <n v="2025"/>
    <d v="2025-02-18T00:00:00"/>
    <s v="Debit Card"/>
    <s v="F"/>
    <n v="5"/>
    <s v="Hyderabad"/>
    <x v="1786"/>
  </r>
  <r>
    <n v="4490"/>
    <s v="SuperSave Central"/>
    <d v="2024-12-06T00:00:00"/>
    <s v="Beverages"/>
    <s v="Apples"/>
    <n v="5"/>
    <n v="440.73"/>
    <n v="2203.65"/>
    <n v="289.67"/>
    <n v="1913.98"/>
    <n v="419"/>
    <d v="1899-12-30T08:42:06"/>
    <n v="6"/>
    <n v="12"/>
    <n v="2024"/>
    <d v="2024-12-06T00:00:00"/>
    <s v="Cash"/>
    <s v="M"/>
    <n v="5"/>
    <s v="Mumbai"/>
    <x v="1787"/>
  </r>
  <r>
    <n v="3480"/>
    <s v="ValuePlus Market"/>
    <d v="2025-07-21T00:00:00"/>
    <s v="Dairy"/>
    <s v="Rice"/>
    <n v="3"/>
    <n v="341.96"/>
    <n v="1025.8800000000001"/>
    <n v="254.81"/>
    <n v="771.07"/>
    <n v="349"/>
    <d v="1899-12-30T21:07:18"/>
    <n v="21"/>
    <n v="7"/>
    <n v="2025"/>
    <d v="2025-07-21T00:00:00"/>
    <s v="Debit Card"/>
    <s v="F"/>
    <n v="2"/>
    <s v="Hyderabad"/>
    <x v="1788"/>
  </r>
  <r>
    <n v="7745"/>
    <s v="GreenGrocer Plaza"/>
    <d v="2024-11-27T00:00:00"/>
    <s v="Beverages"/>
    <s v="Yogurt"/>
    <n v="5"/>
    <n v="455.67"/>
    <n v="2278.35"/>
    <n v="228.25"/>
    <n v="2050.1"/>
    <n v="313"/>
    <d v="1899-12-30T11:40:39"/>
    <n v="27"/>
    <n v="11"/>
    <n v="2024"/>
    <d v="2024-11-27T00:00:00"/>
    <s v="UPI"/>
    <s v="F"/>
    <n v="2"/>
    <s v="Mumbai"/>
    <x v="1789"/>
  </r>
  <r>
    <n v="8248"/>
    <s v="ValuePlus Market"/>
    <d v="2025-06-04T00:00:00"/>
    <s v="Snacks &amp; Candy"/>
    <s v="Salmon"/>
    <n v="1"/>
    <n v="1691.54"/>
    <n v="1691.54"/>
    <n v="338.64"/>
    <n v="1352.9"/>
    <n v="33"/>
    <d v="1899-12-30T11:14:51"/>
    <n v="4"/>
    <n v="6"/>
    <n v="2025"/>
    <d v="2025-06-04T00:00:00"/>
    <s v="Cash"/>
    <s v="F"/>
    <n v="3"/>
    <s v="Chennai"/>
    <x v="1790"/>
  </r>
  <r>
    <n v="4559"/>
    <s v="MegaMart Westside"/>
    <d v="2023-10-13T00:00:00"/>
    <s v="Meat &amp; Seafood"/>
    <s v="Ground Beef"/>
    <n v="4"/>
    <n v="535.35"/>
    <n v="2141.4"/>
    <n v="321.20999999999998"/>
    <n v="1820.19"/>
    <n v="206"/>
    <d v="1899-12-30T21:05:32"/>
    <n v="13"/>
    <n v="10"/>
    <n v="2023"/>
    <d v="2023-10-13T00:00:00"/>
    <s v="Debit Card"/>
    <s v="F"/>
    <n v="1"/>
    <s v="Ahmedabad"/>
    <x v="1791"/>
  </r>
  <r>
    <n v="2646"/>
    <s v="FreshMart Downtown"/>
    <d v="2023-11-23T00:00:00"/>
    <s v="Beverages"/>
    <s v="Chicken Breast"/>
    <n v="5"/>
    <n v="301.29000000000002"/>
    <n v="1506.45"/>
    <n v="269.75"/>
    <n v="1236.7"/>
    <n v="335"/>
    <d v="1899-12-30T05:27:53"/>
    <n v="23"/>
    <n v="11"/>
    <n v="2023"/>
    <d v="2023-11-23T00:00:00"/>
    <s v="UPI"/>
    <s v="M"/>
    <n v="5"/>
    <s v="Jaipur"/>
    <x v="1792"/>
  </r>
  <r>
    <n v="3017"/>
    <s v="ValuePlus Market"/>
    <d v="2024-11-06T00:00:00"/>
    <s v="Personal Care"/>
    <s v="Tomatoes"/>
    <n v="5"/>
    <n v="1630.12"/>
    <n v="8150.6"/>
    <n v="1630.12"/>
    <n v="6520.48"/>
    <n v="144"/>
    <d v="1899-12-30T00:06:49"/>
    <n v="6"/>
    <n v="11"/>
    <n v="2024"/>
    <d v="2024-11-06T00:00:00"/>
    <s v="Cash"/>
    <s v="M"/>
    <n v="3"/>
    <s v="Kolkata"/>
    <x v="1793"/>
  </r>
  <r>
    <n v="7291"/>
    <s v="City Fresh Store"/>
    <d v="2024-05-06T00:00:00"/>
    <s v="Bakery"/>
    <s v="Rice"/>
    <n v="4"/>
    <n v="1054.93"/>
    <n v="4219.72"/>
    <n v="421.64"/>
    <n v="3798.08"/>
    <n v="193"/>
    <d v="1899-12-30T12:57:15"/>
    <n v="6"/>
    <n v="5"/>
    <n v="2024"/>
    <d v="2024-05-06T00:00:00"/>
    <s v="UPI"/>
    <s v="F"/>
    <n v="4"/>
    <s v="Jaipur"/>
    <x v="1135"/>
  </r>
  <r>
    <n v="8035"/>
    <s v="FreshMart Downtown"/>
    <d v="2024-04-07T00:00:00"/>
    <s v="Beverages"/>
    <s v="Chicken Breast"/>
    <n v="3"/>
    <n v="1433.41"/>
    <n v="4300.2299999999996"/>
    <n v="644.91"/>
    <n v="3655.32"/>
    <n v="312"/>
    <d v="1899-12-30T09:56:53"/>
    <n v="7"/>
    <n v="4"/>
    <n v="2024"/>
    <d v="2024-04-07T00:00:00"/>
    <s v="Credit Card"/>
    <s v="M"/>
    <n v="4"/>
    <s v="Pune"/>
    <x v="1794"/>
  </r>
  <r>
    <n v="3290"/>
    <s v="City Fresh Store"/>
    <d v="2024-02-15T00:00:00"/>
    <s v="Frozen Foods"/>
    <s v="Milk"/>
    <n v="5"/>
    <n v="2083.3000000000002"/>
    <n v="10416.5"/>
    <n v="1562.06"/>
    <n v="8854.44"/>
    <n v="96"/>
    <d v="1899-12-30T08:42:06"/>
    <n v="15"/>
    <n v="2"/>
    <n v="2024"/>
    <d v="2024-02-15T00:00:00"/>
    <s v="Credit Card"/>
    <s v="F"/>
    <n v="3"/>
    <s v="Ahmedabad"/>
    <x v="1787"/>
  </r>
  <r>
    <n v="5537"/>
    <s v="ValuePlus Market"/>
    <d v="2024-12-19T00:00:00"/>
    <s v="Meat &amp; Seafood"/>
    <s v="Cereal"/>
    <n v="1"/>
    <n v="1367.84"/>
    <n v="1367.84"/>
    <n v="136.94999999999999"/>
    <n v="1230.8900000000001"/>
    <n v="24"/>
    <d v="1899-12-30T06:08:19"/>
    <n v="19"/>
    <n v="12"/>
    <n v="2024"/>
    <d v="2024-12-19T00:00:00"/>
    <s v="Cash"/>
    <s v="F"/>
    <n v="5"/>
    <s v="Mumbai"/>
    <x v="1795"/>
  </r>
  <r>
    <n v="2380"/>
    <s v="FamilyFood Express"/>
    <d v="2024-02-15T00:00:00"/>
    <s v="Canned Goods"/>
    <s v="Onions"/>
    <n v="1"/>
    <n v="2065.04"/>
    <n v="2065.04"/>
    <n v="0"/>
    <n v="2065.04"/>
    <n v="350"/>
    <d v="1899-12-30T22:10:46"/>
    <n v="15"/>
    <n v="2"/>
    <n v="2024"/>
    <d v="2024-02-15T00:00:00"/>
    <s v="Debit Card"/>
    <s v="M"/>
    <n v="3"/>
    <s v="Hyderabad"/>
    <x v="1796"/>
  </r>
  <r>
    <n v="5668"/>
    <s v="ValuePlus Market"/>
    <d v="2025-04-03T00:00:00"/>
    <s v="Personal Care"/>
    <s v="Apples"/>
    <n v="5"/>
    <n v="974.42"/>
    <n v="4872.1000000000004"/>
    <n v="974.42"/>
    <n v="3897.68"/>
    <n v="357"/>
    <d v="1899-12-30T06:04:51"/>
    <n v="3"/>
    <n v="4"/>
    <n v="2025"/>
    <d v="2025-04-03T00:00:00"/>
    <s v="Cash"/>
    <s v="M"/>
    <n v="5"/>
    <s v="Ahmedabad"/>
    <x v="1797"/>
  </r>
  <r>
    <n v="1439"/>
    <s v="GreenGrocer Plaza"/>
    <d v="2025-05-26T00:00:00"/>
    <s v="Beverages"/>
    <s v="Apples"/>
    <n v="2"/>
    <n v="1796.95"/>
    <n v="3593.9"/>
    <n v="359.39"/>
    <n v="3234.51"/>
    <n v="37"/>
    <d v="1899-12-30T01:47:10"/>
    <n v="26"/>
    <n v="5"/>
    <n v="2025"/>
    <d v="2025-05-26T00:00:00"/>
    <s v="UPI"/>
    <s v="M"/>
    <n v="2"/>
    <s v="Chennai"/>
    <x v="1798"/>
  </r>
  <r>
    <n v="5942"/>
    <s v="FamilyFood Express"/>
    <d v="2024-01-13T00:00:00"/>
    <s v="Household Items"/>
    <s v="Bananas"/>
    <n v="1"/>
    <n v="2301.59"/>
    <n v="2301.59"/>
    <n v="345.28"/>
    <n v="1956.31"/>
    <n v="105"/>
    <d v="1899-12-30T14:07:28"/>
    <n v="13"/>
    <n v="1"/>
    <n v="2024"/>
    <d v="2024-01-13T00:00:00"/>
    <s v="Debit Card"/>
    <s v="F"/>
    <n v="3"/>
    <s v="Mumbai"/>
    <x v="1799"/>
  </r>
  <r>
    <n v="9482"/>
    <s v="FreshMart Downtown"/>
    <d v="2024-11-20T00:00:00"/>
    <s v="Bakery"/>
    <s v="Cereal"/>
    <n v="2"/>
    <n v="2458.46"/>
    <n v="4916.92"/>
    <n v="737.87"/>
    <n v="4179.05"/>
    <n v="423"/>
    <d v="1899-12-30T05:54:57"/>
    <n v="20"/>
    <n v="11"/>
    <n v="2024"/>
    <d v="2024-11-20T00:00:00"/>
    <s v="Credit Card"/>
    <s v="M"/>
    <n v="5"/>
    <s v="Chennai"/>
    <x v="1800"/>
  </r>
  <r>
    <n v="9348"/>
    <s v="Corner Grocery"/>
    <d v="2023-12-31T00:00:00"/>
    <s v="Produce"/>
    <s v="Eggs"/>
    <n v="2"/>
    <n v="1523.05"/>
    <n v="3046.1"/>
    <n v="304.61"/>
    <n v="2741.49"/>
    <n v="318"/>
    <d v="1899-12-30T04:58:59"/>
    <n v="31"/>
    <n v="12"/>
    <n v="2023"/>
    <d v="2023-12-31T00:00:00"/>
    <s v="Debit Card"/>
    <s v="F"/>
    <n v="3"/>
    <s v="Ahmedabad"/>
    <x v="1801"/>
  </r>
  <r>
    <n v="7418"/>
    <s v="QuickStop Market"/>
    <d v="2024-03-23T00:00:00"/>
    <s v="Bakery"/>
    <s v="Pasta"/>
    <n v="4"/>
    <n v="1743.83"/>
    <n v="6975.32"/>
    <n v="697.2"/>
    <n v="6278.12"/>
    <n v="212"/>
    <d v="1899-12-30T21:40:57"/>
    <n v="23"/>
    <n v="3"/>
    <n v="2024"/>
    <d v="2024-03-23T00:00:00"/>
    <s v="Credit Card"/>
    <s v="M"/>
    <n v="3"/>
    <s v="Delhi"/>
    <x v="1802"/>
  </r>
  <r>
    <n v="1894"/>
    <s v="QuickStop Market"/>
    <d v="2025-04-06T00:00:00"/>
    <s v="Bakery"/>
    <s v="Potatoes"/>
    <n v="3"/>
    <n v="1526.37"/>
    <n v="4579.1099999999997"/>
    <n v="313.74"/>
    <n v="4265.37"/>
    <n v="320"/>
    <d v="1899-12-30T03:28:18"/>
    <n v="6"/>
    <n v="4"/>
    <n v="2025"/>
    <d v="2025-04-06T00:00:00"/>
    <s v="Debit Card"/>
    <s v="M"/>
    <n v="5"/>
    <s v="Chennai"/>
    <x v="1803"/>
  </r>
  <r>
    <n v="4921"/>
    <s v="City Fresh Store"/>
    <d v="2024-08-25T00:00:00"/>
    <s v="Meat &amp; Seafood"/>
    <s v="Ground Beef"/>
    <n v="1"/>
    <n v="1616.84"/>
    <n v="1616.84"/>
    <n v="161.85"/>
    <n v="1454.99"/>
    <n v="59"/>
    <d v="1899-12-30T20:56:45"/>
    <n v="25"/>
    <n v="8"/>
    <n v="2024"/>
    <d v="2024-08-25T00:00:00"/>
    <s v="Debit Card"/>
    <s v="F"/>
    <n v="5"/>
    <s v="Kolkata"/>
    <x v="1804"/>
  </r>
  <r>
    <n v="7322"/>
    <s v="GreenGrocer Plaza"/>
    <d v="2023-11-02T00:00:00"/>
    <s v="Meat &amp; Seafood"/>
    <s v="Onions"/>
    <n v="3"/>
    <n v="484.72"/>
    <n v="1454.16"/>
    <n v="0"/>
    <n v="1454.16"/>
    <n v="378"/>
    <d v="1899-12-30T20:56:45"/>
    <n v="2"/>
    <n v="11"/>
    <n v="2023"/>
    <d v="2023-11-02T00:00:00"/>
    <s v="Debit Card"/>
    <s v="F"/>
    <n v="1"/>
    <s v="Kolkata"/>
    <x v="1804"/>
  </r>
  <r>
    <n v="4949"/>
    <s v="Corner Grocery"/>
    <d v="2024-08-29T00:00:00"/>
    <s v="Frozen Foods"/>
    <s v="Onions"/>
    <n v="3"/>
    <n v="767.75"/>
    <n v="2303.25"/>
    <n v="335.32"/>
    <n v="1967.93"/>
    <n v="291"/>
    <d v="1899-12-30T13:51:39"/>
    <n v="29"/>
    <n v="8"/>
    <n v="2024"/>
    <d v="2024-08-29T00:00:00"/>
    <s v="UPI"/>
    <s v="F"/>
    <n v="3"/>
    <s v="Pune"/>
    <x v="1805"/>
  </r>
  <r>
    <n v="2163"/>
    <s v="QuickStop Market"/>
    <d v="2024-09-20T00:00:00"/>
    <s v="Bakery"/>
    <s v="Bread"/>
    <n v="5"/>
    <n v="2119.8200000000002"/>
    <n v="10599.1"/>
    <n v="413.34"/>
    <n v="10185.76"/>
    <n v="102"/>
    <d v="1899-12-30T03:37:43"/>
    <n v="20"/>
    <n v="9"/>
    <n v="2024"/>
    <d v="2024-09-20T00:00:00"/>
    <s v="UPI"/>
    <s v="F"/>
    <n v="4"/>
    <s v="Kolkata"/>
    <x v="1806"/>
  </r>
  <r>
    <n v="1197"/>
    <s v="City Fresh Store"/>
    <d v="2024-05-13T00:00:00"/>
    <s v="Beverages"/>
    <s v="Chicken Breast"/>
    <n v="1"/>
    <n v="632.46"/>
    <n v="632.46"/>
    <n v="126.16"/>
    <n v="506.3"/>
    <n v="426"/>
    <d v="1899-12-30T04:33:22"/>
    <n v="13"/>
    <n v="5"/>
    <n v="2024"/>
    <d v="2024-05-13T00:00:00"/>
    <s v="Cash"/>
    <s v="F"/>
    <n v="3"/>
    <s v="Chennai"/>
    <x v="1807"/>
  </r>
  <r>
    <n v="6185"/>
    <s v="GreenGrocer Plaza"/>
    <d v="2023-11-17T00:00:00"/>
    <s v="Dairy"/>
    <s v="Ground Beef"/>
    <n v="4"/>
    <n v="1562.89"/>
    <n v="6251.56"/>
    <n v="624.99"/>
    <n v="5626.57"/>
    <n v="224"/>
    <d v="1899-12-30T12:36:39"/>
    <n v="17"/>
    <n v="11"/>
    <n v="2023"/>
    <d v="2023-11-17T00:00:00"/>
    <s v="Cash"/>
    <s v="F"/>
    <n v="3"/>
    <s v="Bangalore"/>
    <x v="1808"/>
  </r>
  <r>
    <n v="7337"/>
    <s v="FreshMart Downtown"/>
    <d v="2025-06-05T00:00:00"/>
    <s v="Health &amp; Wellness"/>
    <s v="Carrots"/>
    <n v="2"/>
    <n v="1932.24"/>
    <n v="3864.48"/>
    <n v="272.24"/>
    <n v="3592.24"/>
    <n v="371"/>
    <d v="1899-12-30T15:56:54"/>
    <n v="5"/>
    <n v="6"/>
    <n v="2025"/>
    <d v="2025-06-05T00:00:00"/>
    <s v="Credit Card"/>
    <s v="F"/>
    <n v="5"/>
    <s v="Pune"/>
    <x v="1809"/>
  </r>
  <r>
    <n v="7895"/>
    <s v="SuperSave Central"/>
    <d v="2024-05-16T00:00:00"/>
    <s v="Canned Goods"/>
    <s v="Pasta"/>
    <n v="2"/>
    <n v="924.62"/>
    <n v="1849.24"/>
    <n v="185.09"/>
    <n v="1664.15"/>
    <n v="102"/>
    <d v="1899-12-30T21:59:28"/>
    <n v="16"/>
    <n v="5"/>
    <n v="2024"/>
    <d v="2024-05-16T00:00:00"/>
    <s v="UPI"/>
    <s v="F"/>
    <n v="3"/>
    <s v="Pune"/>
    <x v="1810"/>
  </r>
  <r>
    <n v="9951"/>
    <s v="Corner Grocery"/>
    <d v="2025-01-18T00:00:00"/>
    <s v="Meat &amp; Seafood"/>
    <s v="Rice"/>
    <n v="5"/>
    <n v="235.72"/>
    <n v="1178.5999999999999"/>
    <n v="176.79"/>
    <n v="1001.81"/>
    <n v="94"/>
    <d v="1899-12-30T06:14:25"/>
    <n v="18"/>
    <n v="1"/>
    <n v="2025"/>
    <d v="2025-01-18T00:00:00"/>
    <s v="Credit Card"/>
    <s v="M"/>
    <n v="3"/>
    <s v="Chennai"/>
    <x v="1811"/>
  </r>
  <r>
    <n v="3830"/>
    <s v="City Fresh Store"/>
    <d v="2025-03-21T00:00:00"/>
    <s v="Produce"/>
    <s v="Salmon"/>
    <n v="1"/>
    <n v="2112.35"/>
    <n v="2112.35"/>
    <n v="136.12"/>
    <n v="1976.23"/>
    <n v="308"/>
    <d v="1899-12-30T07:51:50"/>
    <n v="21"/>
    <n v="3"/>
    <n v="2025"/>
    <d v="2025-03-21T00:00:00"/>
    <s v="Cash"/>
    <s v="F"/>
    <n v="4"/>
    <s v="Jaipur"/>
    <x v="1812"/>
  </r>
  <r>
    <n v="8717"/>
    <s v="ValuePlus Market"/>
    <d v="2025-03-27T00:00:00"/>
    <s v="Canned Goods"/>
    <s v="Milk"/>
    <n v="1"/>
    <n v="1730.55"/>
    <n v="1730.55"/>
    <n v="322.04000000000002"/>
    <n v="1408.51"/>
    <n v="209"/>
    <d v="1899-12-30T05:19:57"/>
    <n v="27"/>
    <n v="3"/>
    <n v="2025"/>
    <d v="2025-03-27T00:00:00"/>
    <s v="Credit Card"/>
    <s v="F"/>
    <n v="5"/>
    <s v="Ahmedabad"/>
    <x v="1813"/>
  </r>
  <r>
    <n v="2195"/>
    <s v="MegaMart Westside"/>
    <d v="2023-08-19T00:00:00"/>
    <s v="Canned Goods"/>
    <s v="Milk"/>
    <n v="2"/>
    <n v="2251.79"/>
    <n v="4503.58"/>
    <n v="209.16"/>
    <n v="4294.42"/>
    <n v="350"/>
    <d v="1899-12-30T18:23:44"/>
    <n v="19"/>
    <n v="8"/>
    <n v="2023"/>
    <d v="2023-08-19T00:00:00"/>
    <s v="Cash"/>
    <s v="M"/>
    <n v="3"/>
    <s v="Delhi"/>
    <x v="1814"/>
  </r>
  <r>
    <n v="2106"/>
    <s v="FreshMart Downtown"/>
    <d v="2023-08-17T00:00:00"/>
    <s v="Snacks &amp; Candy"/>
    <s v="Chicken Breast"/>
    <n v="2"/>
    <n v="1916.47"/>
    <n v="3832.94"/>
    <n v="298.8"/>
    <n v="3534.14"/>
    <n v="18"/>
    <d v="1899-12-30T00:42:18"/>
    <n v="17"/>
    <n v="8"/>
    <n v="2023"/>
    <d v="2023-08-17T00:00:00"/>
    <s v="UPI"/>
    <s v="F"/>
    <n v="2"/>
    <s v="Kolkata"/>
    <x v="1815"/>
  </r>
  <r>
    <n v="5295"/>
    <s v="City Fresh Store"/>
    <d v="2024-01-21T00:00:00"/>
    <s v="Household Items"/>
    <s v="Tomatoes"/>
    <n v="3"/>
    <n v="1732.21"/>
    <n v="5196.63"/>
    <n v="0"/>
    <n v="5196.63"/>
    <n v="198"/>
    <d v="1899-12-30T10:27:52"/>
    <n v="21"/>
    <n v="1"/>
    <n v="2024"/>
    <d v="2024-01-21T00:00:00"/>
    <s v="Debit Card"/>
    <s v="M"/>
    <n v="1"/>
    <s v="Delhi"/>
    <x v="395"/>
  </r>
  <r>
    <n v="1652"/>
    <s v="FamilyFood Express"/>
    <d v="2025-07-23T00:00:00"/>
    <s v="Health &amp; Wellness"/>
    <s v="Potatoes"/>
    <n v="5"/>
    <n v="683.92"/>
    <n v="3419.6"/>
    <n v="341.96"/>
    <n v="3077.64"/>
    <n v="325"/>
    <d v="1899-12-30T04:00:22"/>
    <n v="23"/>
    <n v="7"/>
    <n v="2025"/>
    <d v="2025-07-23T00:00:00"/>
    <s v="UPI"/>
    <s v="M"/>
    <n v="4"/>
    <s v="Kolkata"/>
    <x v="1816"/>
  </r>
  <r>
    <n v="1990"/>
    <s v="SuperSave Central"/>
    <d v="2025-04-11T00:00:00"/>
    <s v="Beverages"/>
    <s v="Onions"/>
    <n v="3"/>
    <n v="620.84"/>
    <n v="1862.52"/>
    <n v="185.92"/>
    <n v="1676.6"/>
    <n v="146"/>
    <d v="1899-12-30T17:15:09"/>
    <n v="11"/>
    <n v="4"/>
    <n v="2025"/>
    <d v="2025-04-11T00:00:00"/>
    <s v="Credit Card"/>
    <s v="F"/>
    <n v="3"/>
    <s v="Lucknow"/>
    <x v="1817"/>
  </r>
  <r>
    <n v="7520"/>
    <s v="QuickStop Market"/>
    <d v="2024-09-03T00:00:00"/>
    <s v="Meat &amp; Seafood"/>
    <s v="Orange Juice"/>
    <n v="1"/>
    <n v="1121.33"/>
    <n v="1121.33"/>
    <n v="235.72"/>
    <n v="885.61"/>
    <n v="153"/>
    <d v="1899-12-30T07:29:02"/>
    <n v="3"/>
    <n v="9"/>
    <n v="2024"/>
    <d v="2024-09-03T00:00:00"/>
    <s v="Credit Card"/>
    <s v="M"/>
    <n v="2"/>
    <s v="Bangalore"/>
    <x v="1818"/>
  </r>
  <r>
    <n v="5693"/>
    <s v="ValuePlus Market"/>
    <d v="2024-12-07T00:00:00"/>
    <s v="Bakery"/>
    <s v="Tomatoes"/>
    <n v="2"/>
    <n v="2104.0500000000002"/>
    <n v="4208.1000000000004"/>
    <n v="420.81"/>
    <n v="3787.29"/>
    <n v="180"/>
    <d v="1899-12-30T10:09:24"/>
    <n v="7"/>
    <n v="12"/>
    <n v="2024"/>
    <d v="2024-12-07T00:00:00"/>
    <s v="UPI"/>
    <s v="F"/>
    <n v="3"/>
    <s v="Jaipur"/>
    <x v="1819"/>
  </r>
  <r>
    <n v="9209"/>
    <s v="Corner Grocery"/>
    <d v="2025-03-24T00:00:00"/>
    <s v="Snacks &amp; Candy"/>
    <s v="Salmon"/>
    <n v="4"/>
    <n v="1150.3800000000001"/>
    <n v="4601.5200000000004"/>
    <n v="690.56"/>
    <n v="3910.96"/>
    <n v="198"/>
    <d v="1899-12-30T19:52:27"/>
    <n v="24"/>
    <n v="3"/>
    <n v="2025"/>
    <d v="2025-03-24T00:00:00"/>
    <s v="UPI"/>
    <s v="M"/>
    <n v="3"/>
    <s v="Ahmedabad"/>
    <x v="1820"/>
  </r>
  <r>
    <n v="7806"/>
    <s v="MegaMart Westside"/>
    <d v="2024-07-01T00:00:00"/>
    <s v="Canned Goods"/>
    <s v="Tomatoes"/>
    <n v="2"/>
    <n v="1823.51"/>
    <n v="3647.02"/>
    <n v="729.57"/>
    <n v="2917.45"/>
    <n v="105"/>
    <d v="1899-12-30T20:44:34"/>
    <n v="1"/>
    <n v="7"/>
    <n v="2024"/>
    <d v="2024-07-01T00:00:00"/>
    <s v="Cash"/>
    <s v="M"/>
    <n v="5"/>
    <s v="Chennai"/>
    <x v="1821"/>
  </r>
  <r>
    <n v="7590"/>
    <s v="FamilyFood Express"/>
    <d v="2023-10-10T00:00:00"/>
    <s v="Household Items"/>
    <s v="Yogurt"/>
    <n v="5"/>
    <n v="956.99"/>
    <n v="4784.95"/>
    <n v="717.95"/>
    <n v="4067"/>
    <n v="237"/>
    <d v="1899-12-30T21:30:30"/>
    <n v="10"/>
    <n v="10"/>
    <n v="2023"/>
    <d v="2023-10-10T00:00:00"/>
    <s v="Credit Card"/>
    <s v="M"/>
    <n v="5"/>
    <s v="Delhi"/>
    <x v="1822"/>
  </r>
  <r>
    <n v="9791"/>
    <s v="QuickStop Market"/>
    <d v="2024-09-27T00:00:00"/>
    <s v="Bakery"/>
    <s v="Tomatoes"/>
    <n v="2"/>
    <n v="1214.29"/>
    <n v="2428.58"/>
    <n v="364.37"/>
    <n v="2064.21"/>
    <n v="277"/>
    <d v="1899-12-30T00:52:30"/>
    <n v="27"/>
    <n v="9"/>
    <n v="2024"/>
    <d v="2024-09-27T00:00:00"/>
    <s v="Credit Card"/>
    <s v="F"/>
    <n v="5"/>
    <s v="Delhi"/>
    <x v="1823"/>
  </r>
  <r>
    <n v="3501"/>
    <s v="Corner Grocery"/>
    <d v="2024-03-09T00:00:00"/>
    <s v="Produce"/>
    <s v="Yogurt"/>
    <n v="2"/>
    <n v="894.74"/>
    <n v="1789.48"/>
    <n v="0"/>
    <n v="1789.48"/>
    <n v="455"/>
    <d v="1899-12-30T00:16:02"/>
    <n v="9"/>
    <n v="3"/>
    <n v="2024"/>
    <d v="2024-03-09T00:00:00"/>
    <s v="UPI"/>
    <s v="F"/>
    <n v="2"/>
    <s v="Chennai"/>
    <x v="1824"/>
  </r>
  <r>
    <n v="2369"/>
    <s v="Corner Grocery"/>
    <d v="2024-04-03T00:00:00"/>
    <s v="Personal Care"/>
    <s v="Cheese"/>
    <n v="2"/>
    <n v="2352.2199999999998"/>
    <n v="4704.4399999999996"/>
    <n v="470.61"/>
    <n v="4233.83"/>
    <n v="12"/>
    <d v="1899-12-30T15:29:25"/>
    <n v="3"/>
    <n v="4"/>
    <n v="2024"/>
    <d v="2024-04-03T00:00:00"/>
    <s v="Debit Card"/>
    <s v="M"/>
    <n v="3"/>
    <s v="Ahmedabad"/>
    <x v="1825"/>
  </r>
  <r>
    <n v="2294"/>
    <s v="SuperSave Central"/>
    <d v="2024-09-07T00:00:00"/>
    <s v="Frozen Foods"/>
    <s v="Eggs"/>
    <n v="4"/>
    <n v="1466.61"/>
    <n v="5866.44"/>
    <n v="1173.6199999999999"/>
    <n v="4692.82"/>
    <n v="410"/>
    <d v="1899-12-30T13:28:25"/>
    <n v="7"/>
    <n v="9"/>
    <n v="2024"/>
    <d v="2024-09-07T00:00:00"/>
    <s v="Credit Card"/>
    <s v="M"/>
    <n v="1"/>
    <s v="Ahmedabad"/>
    <x v="1826"/>
  </r>
  <r>
    <n v="4329"/>
    <s v="Corner Grocery"/>
    <d v="2025-04-25T00:00:00"/>
    <s v="Canned Goods"/>
    <s v="Salmon"/>
    <n v="2"/>
    <n v="2171.2800000000002"/>
    <n v="4342.5600000000004"/>
    <n v="651.54999999999995"/>
    <n v="3691.01"/>
    <n v="66"/>
    <d v="1899-12-30T09:53:06"/>
    <n v="25"/>
    <n v="4"/>
    <n v="2025"/>
    <d v="2025-04-25T00:00:00"/>
    <s v="Debit Card"/>
    <s v="F"/>
    <n v="4"/>
    <s v="Pune"/>
    <x v="1827"/>
  </r>
  <r>
    <n v="3545"/>
    <s v="ValuePlus Market"/>
    <d v="2024-09-26T00:00:00"/>
    <s v="Health &amp; Wellness"/>
    <s v="Milk"/>
    <n v="1"/>
    <n v="1976.23"/>
    <n v="1976.23"/>
    <n v="388.44"/>
    <n v="1587.79"/>
    <n v="43"/>
    <d v="1899-12-30T19:10:00"/>
    <n v="26"/>
    <n v="9"/>
    <n v="2024"/>
    <d v="2024-09-26T00:00:00"/>
    <s v="UPI"/>
    <s v="F"/>
    <n v="5"/>
    <s v="Lucknow"/>
    <x v="1828"/>
  </r>
  <r>
    <n v="6353"/>
    <s v="FreshMart Downtown"/>
    <d v="2024-06-05T00:00:00"/>
    <s v="Canned Goods"/>
    <s v="Bread"/>
    <n v="3"/>
    <n v="2324.83"/>
    <n v="6974.49"/>
    <n v="0"/>
    <n v="6974.49"/>
    <n v="182"/>
    <d v="1899-12-30T13:32:45"/>
    <n v="5"/>
    <n v="6"/>
    <n v="2024"/>
    <d v="2024-06-05T00:00:00"/>
    <s v="UPI"/>
    <s v="M"/>
    <n v="5"/>
    <s v="Kolkata"/>
    <x v="1829"/>
  </r>
  <r>
    <n v="2083"/>
    <s v="SuperSave Central"/>
    <d v="2024-04-03T00:00:00"/>
    <s v="Bakery"/>
    <s v="Rice"/>
    <n v="1"/>
    <n v="956.16"/>
    <n v="956.16"/>
    <n v="383.46"/>
    <n v="572.70000000000005"/>
    <n v="465"/>
    <d v="1899-12-30T03:41:51"/>
    <n v="3"/>
    <n v="4"/>
    <n v="2024"/>
    <d v="2024-04-03T00:00:00"/>
    <s v="Cash"/>
    <s v="M"/>
    <n v="3"/>
    <s v="Bangalore"/>
    <x v="1830"/>
  </r>
  <r>
    <n v="8167"/>
    <s v="City Fresh Store"/>
    <d v="2025-02-23T00:00:00"/>
    <s v="Beverages"/>
    <s v="Cereal"/>
    <n v="2"/>
    <n v="779.37"/>
    <n v="1558.74"/>
    <n v="312.08"/>
    <n v="1246.6600000000001"/>
    <n v="51"/>
    <d v="1899-12-30T03:11:37"/>
    <n v="23"/>
    <n v="2"/>
    <n v="2025"/>
    <d v="2025-02-23T00:00:00"/>
    <s v="Credit Card"/>
    <s v="F"/>
    <n v="3"/>
    <s v="Pune"/>
    <x v="1831"/>
  </r>
  <r>
    <n v="4909"/>
    <s v="SuperSave Central"/>
    <d v="2023-09-20T00:00:00"/>
    <s v="Snacks &amp; Candy"/>
    <s v="Chicken Breast"/>
    <n v="5"/>
    <n v="2273.37"/>
    <n v="11366.85"/>
    <n v="266.43"/>
    <n v="11100.42"/>
    <n v="209"/>
    <d v="1899-12-30T13:44:19"/>
    <n v="20"/>
    <n v="9"/>
    <n v="2023"/>
    <d v="2023-09-20T00:00:00"/>
    <s v="Debit Card"/>
    <s v="F"/>
    <n v="2"/>
    <s v="Chennai"/>
    <x v="1832"/>
  </r>
  <r>
    <n v="5005"/>
    <s v="City Fresh Store"/>
    <d v="2023-10-12T00:00:00"/>
    <s v="Frozen Foods"/>
    <s v="Ground Beef"/>
    <n v="1"/>
    <n v="1679.92"/>
    <n v="1679.92"/>
    <n v="333.66"/>
    <n v="1346.26"/>
    <n v="75"/>
    <d v="1899-12-30T16:25:21"/>
    <n v="12"/>
    <n v="10"/>
    <n v="2023"/>
    <d v="2023-10-12T00:00:00"/>
    <s v="Cash"/>
    <s v="F"/>
    <n v="2"/>
    <s v="Pune"/>
    <x v="1161"/>
  </r>
  <r>
    <n v="8118"/>
    <s v="SuperSave Central"/>
    <d v="2023-11-05T00:00:00"/>
    <s v="Snacks &amp; Candy"/>
    <s v="Potatoes"/>
    <n v="4"/>
    <n v="1230.06"/>
    <n v="4920.24"/>
    <n v="311.25"/>
    <n v="4608.99"/>
    <n v="392"/>
    <d v="1899-12-30T11:46:05"/>
    <n v="5"/>
    <n v="11"/>
    <n v="2023"/>
    <d v="2023-11-05T00:00:00"/>
    <s v="Credit Card"/>
    <s v="F"/>
    <n v="5"/>
    <s v="Mumbai"/>
    <x v="1833"/>
  </r>
  <r>
    <n v="8428"/>
    <s v="MegaMart Westside"/>
    <d v="2024-11-24T00:00:00"/>
    <s v="Beverages"/>
    <s v="Apples"/>
    <n v="4"/>
    <n v="2234.36"/>
    <n v="8937.44"/>
    <n v="0"/>
    <n v="8937.44"/>
    <n v="496"/>
    <d v="1899-12-30T06:36:21"/>
    <n v="24"/>
    <n v="11"/>
    <n v="2024"/>
    <d v="2024-11-24T00:00:00"/>
    <s v="Cash"/>
    <s v="F"/>
    <n v="3"/>
    <s v="Chennai"/>
    <x v="1834"/>
  </r>
  <r>
    <n v="1901"/>
    <s v="MegaMart Westside"/>
    <d v="2024-04-03T00:00:00"/>
    <s v="Canned Goods"/>
    <s v="Bread"/>
    <n v="3"/>
    <n v="248.17"/>
    <n v="744.51"/>
    <n v="0"/>
    <n v="744.51"/>
    <n v="69"/>
    <d v="1899-12-30T12:36:04"/>
    <n v="3"/>
    <n v="4"/>
    <n v="2024"/>
    <d v="2024-04-03T00:00:00"/>
    <s v="UPI"/>
    <s v="M"/>
    <n v="1"/>
    <s v="Lucknow"/>
    <x v="1835"/>
  </r>
  <r>
    <n v="3877"/>
    <s v="Corner Grocery"/>
    <d v="2023-11-07T00:00:00"/>
    <s v="Meat &amp; Seafood"/>
    <s v="Chicken Breast"/>
    <n v="2"/>
    <n v="2397.04"/>
    <n v="4794.08"/>
    <n v="0"/>
    <n v="4794.08"/>
    <n v="164"/>
    <d v="1899-12-30T00:21:51"/>
    <n v="7"/>
    <n v="11"/>
    <n v="2023"/>
    <d v="2023-11-07T00:00:00"/>
    <s v="Credit Card"/>
    <s v="F"/>
    <n v="4"/>
    <s v="Kolkata"/>
    <x v="1836"/>
  </r>
  <r>
    <n v="1207"/>
    <s v="GreenGrocer Plaza"/>
    <d v="2025-02-06T00:00:00"/>
    <s v="Canned Goods"/>
    <s v="Potatoes"/>
    <n v="1"/>
    <n v="1578.66"/>
    <n v="1578.66"/>
    <n v="315.39999999999998"/>
    <n v="1263.26"/>
    <n v="302"/>
    <d v="1899-12-30T13:21:36"/>
    <n v="6"/>
    <n v="2"/>
    <n v="2025"/>
    <d v="2025-02-06T00:00:00"/>
    <s v="Cash"/>
    <s v="M"/>
    <n v="3"/>
    <s v="Ahmedabad"/>
    <x v="1837"/>
  </r>
  <r>
    <n v="3248"/>
    <s v="MegaMart Westside"/>
    <d v="2025-02-01T00:00:00"/>
    <s v="Frozen Foods"/>
    <s v="Yogurt"/>
    <n v="5"/>
    <n v="756.96"/>
    <n v="3784.8"/>
    <n v="378.48"/>
    <n v="3406.32"/>
    <n v="266"/>
    <d v="1899-12-30T01:47:38"/>
    <n v="1"/>
    <n v="2"/>
    <n v="2025"/>
    <d v="2025-02-01T00:00:00"/>
    <s v="Cash"/>
    <s v="F"/>
    <n v="3"/>
    <s v="Mumbai"/>
    <x v="1838"/>
  </r>
  <r>
    <n v="1185"/>
    <s v="MegaMart Westside"/>
    <d v="2023-12-12T00:00:00"/>
    <s v="Meat &amp; Seafood"/>
    <s v="Milk"/>
    <n v="2"/>
    <n v="1767.9"/>
    <n v="3535.8"/>
    <n v="353.58"/>
    <n v="3182.22"/>
    <n v="134"/>
    <d v="1899-12-30T22:01:53"/>
    <n v="12"/>
    <n v="12"/>
    <n v="2023"/>
    <d v="2023-12-12T00:00:00"/>
    <s v="Debit Card"/>
    <s v="M"/>
    <n v="2"/>
    <s v="Delhi"/>
    <x v="1839"/>
  </r>
  <r>
    <n v="9133"/>
    <s v="MegaMart Westside"/>
    <d v="2024-05-02T00:00:00"/>
    <s v="Produce"/>
    <s v="Pasta"/>
    <n v="4"/>
    <n v="1669.13"/>
    <n v="6676.52"/>
    <n v="1335.47"/>
    <n v="5341.05"/>
    <n v="170"/>
    <d v="1899-12-30T15:29:11"/>
    <n v="2"/>
    <n v="5"/>
    <n v="2024"/>
    <d v="2024-05-02T00:00:00"/>
    <s v="Cash"/>
    <s v="F"/>
    <n v="4"/>
    <s v="Kolkata"/>
    <x v="1840"/>
  </r>
  <r>
    <n v="9568"/>
    <s v="FreshMart Downtown"/>
    <d v="2024-09-11T00:00:00"/>
    <s v="Household Items"/>
    <s v="Bananas"/>
    <n v="3"/>
    <n v="998.49"/>
    <n v="2995.47"/>
    <n v="299.63"/>
    <n v="2695.84"/>
    <n v="463"/>
    <d v="1899-12-30T01:20:38"/>
    <n v="11"/>
    <n v="9"/>
    <n v="2024"/>
    <d v="2024-09-11T00:00:00"/>
    <s v="Credit Card"/>
    <s v="F"/>
    <n v="5"/>
    <s v="Chennai"/>
    <x v="1841"/>
  </r>
  <r>
    <n v="5247"/>
    <s v="Corner Grocery"/>
    <d v="2023-12-14T00:00:00"/>
    <s v="Produce"/>
    <s v="Pasta"/>
    <n v="4"/>
    <n v="889.76"/>
    <n v="3559.04"/>
    <n v="356.07"/>
    <n v="3202.97"/>
    <n v="411"/>
    <d v="1899-12-30T12:34:12"/>
    <n v="14"/>
    <n v="12"/>
    <n v="2023"/>
    <d v="2023-12-14T00:00:00"/>
    <s v="Credit Card"/>
    <s v="M"/>
    <n v="3"/>
    <s v="Jaipur"/>
    <x v="1842"/>
  </r>
  <r>
    <n v="7092"/>
    <s v="MegaMart Westside"/>
    <d v="2023-11-13T00:00:00"/>
    <s v="Meat &amp; Seafood"/>
    <s v="Orange Juice"/>
    <n v="3"/>
    <n v="1411.83"/>
    <n v="4235.49"/>
    <n v="634.95000000000005"/>
    <n v="3600.54"/>
    <n v="250"/>
    <d v="1899-12-30T18:56:41"/>
    <n v="13"/>
    <n v="11"/>
    <n v="2023"/>
    <d v="2023-11-13T00:00:00"/>
    <s v="Debit Card"/>
    <s v="M"/>
    <n v="5"/>
    <s v="Bangalore"/>
    <x v="1843"/>
  </r>
  <r>
    <n v="5403"/>
    <s v="GreenGrocer Plaza"/>
    <d v="2025-02-26T00:00:00"/>
    <s v="Beverages"/>
    <s v="Bread"/>
    <n v="3"/>
    <n v="2155.5100000000002"/>
    <n v="6466.53"/>
    <n v="351.92"/>
    <n v="6114.61"/>
    <n v="458"/>
    <d v="1899-12-30T17:09:11"/>
    <n v="26"/>
    <n v="2"/>
    <n v="2025"/>
    <d v="2025-02-26T00:00:00"/>
    <s v="Credit Card"/>
    <s v="F"/>
    <n v="3"/>
    <s v="Mumbai"/>
    <x v="1844"/>
  </r>
  <r>
    <n v="2934"/>
    <s v="GreenGrocer Plaza"/>
    <d v="2025-03-28T00:00:00"/>
    <s v="Bakery"/>
    <s v="Bread"/>
    <n v="2"/>
    <n v="981.06"/>
    <n v="1962.12"/>
    <n v="369.35"/>
    <n v="1592.77"/>
    <n v="78"/>
    <d v="1899-12-30T02:33:38"/>
    <n v="28"/>
    <n v="3"/>
    <n v="2025"/>
    <d v="2025-03-28T00:00:00"/>
    <s v="UPI"/>
    <s v="F"/>
    <n v="5"/>
    <s v="Bangalore"/>
    <x v="1845"/>
  </r>
  <r>
    <n v="1480"/>
    <s v="FreshMart Downtown"/>
    <d v="2024-04-23T00:00:00"/>
    <s v="Produce"/>
    <s v="Cereal"/>
    <n v="5"/>
    <n v="251.49"/>
    <n v="1257.45"/>
    <n v="0"/>
    <n v="1257.45"/>
    <n v="298"/>
    <d v="1899-12-30T18:47:51"/>
    <n v="23"/>
    <n v="4"/>
    <n v="2024"/>
    <d v="2024-04-23T00:00:00"/>
    <s v="Credit Card"/>
    <s v="F"/>
    <n v="4"/>
    <s v="Lucknow"/>
    <x v="1846"/>
  </r>
  <r>
    <n v="8034"/>
    <s v="MegaMart Westside"/>
    <d v="2024-03-05T00:00:00"/>
    <s v="Health &amp; Wellness"/>
    <s v="Chicken Breast"/>
    <n v="5"/>
    <n v="375.99"/>
    <n v="1879.95"/>
    <n v="375.99"/>
    <n v="1503.96"/>
    <n v="360"/>
    <d v="1899-12-30T03:13:47"/>
    <n v="5"/>
    <n v="3"/>
    <n v="2024"/>
    <d v="2024-03-05T00:00:00"/>
    <s v="Credit Card"/>
    <s v="F"/>
    <n v="2"/>
    <s v="Pune"/>
    <x v="1847"/>
  </r>
  <r>
    <n v="9582"/>
    <s v="GreenGrocer Plaza"/>
    <d v="2023-09-25T00:00:00"/>
    <s v="Meat &amp; Seafood"/>
    <s v="Bread"/>
    <n v="1"/>
    <n v="91.3"/>
    <n v="91.3"/>
    <n v="18.260000000000002"/>
    <n v="73.040000000000006"/>
    <n v="405"/>
    <d v="1899-12-30T01:37:46"/>
    <n v="25"/>
    <n v="9"/>
    <n v="2023"/>
    <d v="2023-09-25T00:00:00"/>
    <s v="Cash"/>
    <s v="F"/>
    <n v="4"/>
    <s v="Mumbai"/>
    <x v="1848"/>
  </r>
  <r>
    <n v="5308"/>
    <s v="FreshMart Downtown"/>
    <d v="2025-02-10T00:00:00"/>
    <s v="Dairy"/>
    <s v="Tomatoes"/>
    <n v="3"/>
    <n v="1587.79"/>
    <n v="4763.37"/>
    <n v="952.84"/>
    <n v="3810.53"/>
    <n v="98"/>
    <d v="1899-12-30T03:27:31"/>
    <n v="10"/>
    <n v="2"/>
    <n v="2025"/>
    <d v="2025-02-10T00:00:00"/>
    <s v="Cash"/>
    <s v="M"/>
    <n v="1"/>
    <s v="Bangalore"/>
    <x v="1849"/>
  </r>
  <r>
    <n v="2262"/>
    <s v="City Fresh Store"/>
    <d v="2024-08-26T00:00:00"/>
    <s v="Household Items"/>
    <s v="Apples"/>
    <n v="4"/>
    <n v="775.22"/>
    <n v="3100.88"/>
    <n v="310.42"/>
    <n v="2790.46"/>
    <n v="346"/>
    <d v="1899-12-30T10:51:05"/>
    <n v="26"/>
    <n v="8"/>
    <n v="2024"/>
    <d v="2024-08-26T00:00:00"/>
    <s v="Credit Card"/>
    <s v="M"/>
    <n v="2"/>
    <s v="Delhi"/>
    <x v="1850"/>
  </r>
  <r>
    <n v="8457"/>
    <s v="SuperSave Central"/>
    <d v="2024-09-06T00:00:00"/>
    <s v="Personal Care"/>
    <s v="Bananas"/>
    <n v="1"/>
    <n v="505.47"/>
    <n v="505.47"/>
    <n v="101.26"/>
    <n v="404.21"/>
    <n v="101"/>
    <d v="1899-12-30T12:09:21"/>
    <n v="6"/>
    <n v="9"/>
    <n v="2024"/>
    <d v="2024-09-06T00:00:00"/>
    <s v="Debit Card"/>
    <s v="F"/>
    <n v="4"/>
    <s v="Hyderabad"/>
    <x v="1851"/>
  </r>
  <r>
    <n v="6900"/>
    <s v="ValuePlus Market"/>
    <d v="2023-09-19T00:00:00"/>
    <s v="Household Items"/>
    <s v="Yogurt"/>
    <n v="1"/>
    <n v="1773.71"/>
    <n v="1773.71"/>
    <n v="354.41"/>
    <n v="1419.3"/>
    <n v="38"/>
    <d v="1899-12-30T21:38:30"/>
    <n v="19"/>
    <n v="9"/>
    <n v="2023"/>
    <d v="2023-09-19T00:00:00"/>
    <s v="Cash"/>
    <s v="M"/>
    <n v="1"/>
    <s v="Chennai"/>
    <x v="1852"/>
  </r>
  <r>
    <n v="9185"/>
    <s v="MegaMart Westside"/>
    <d v="2025-06-04T00:00:00"/>
    <s v="Bakery"/>
    <s v="Apples"/>
    <n v="4"/>
    <n v="1611.03"/>
    <n v="6444.12"/>
    <n v="219.95"/>
    <n v="6224.17"/>
    <n v="303"/>
    <d v="1899-12-30T19:40:56"/>
    <n v="4"/>
    <n v="6"/>
    <n v="2025"/>
    <d v="2025-06-04T00:00:00"/>
    <s v="Debit Card"/>
    <s v="M"/>
    <n v="3"/>
    <s v="Chennai"/>
    <x v="1853"/>
  </r>
  <r>
    <n v="3734"/>
    <s v="QuickStop Market"/>
    <d v="2024-05-18T00:00:00"/>
    <s v="Bakery"/>
    <s v="Cheese"/>
    <n v="3"/>
    <n v="2066.6999999999998"/>
    <n v="6200.1"/>
    <n v="85.49"/>
    <n v="6114.61"/>
    <n v="376"/>
    <d v="1899-12-30T06:56:32"/>
    <n v="18"/>
    <n v="5"/>
    <n v="2024"/>
    <d v="2024-05-18T00:00:00"/>
    <s v="Credit Card"/>
    <s v="M"/>
    <n v="3"/>
    <s v="Kolkata"/>
    <x v="1854"/>
  </r>
  <r>
    <n v="3577"/>
    <s v="QuickStop Market"/>
    <d v="2024-02-21T00:00:00"/>
    <s v="Frozen Foods"/>
    <s v="Apples"/>
    <n v="1"/>
    <n v="230.74"/>
    <n v="230.74"/>
    <n v="0"/>
    <n v="230.74"/>
    <n v="252"/>
    <d v="1899-12-30T01:28:03"/>
    <n v="21"/>
    <n v="2"/>
    <n v="2024"/>
    <d v="2024-02-21T00:00:00"/>
    <s v="Credit Card"/>
    <s v="F"/>
    <n v="5"/>
    <s v="Lucknow"/>
    <x v="1855"/>
  </r>
  <r>
    <n v="2685"/>
    <s v="FreshMart Downtown"/>
    <d v="2025-07-01T00:00:00"/>
    <s v="Household Items"/>
    <s v="Cheese"/>
    <n v="1"/>
    <n v="1704.82"/>
    <n v="1704.82"/>
    <n v="407.53"/>
    <n v="1297.29"/>
    <n v="460"/>
    <d v="1899-12-30T23:10:57"/>
    <n v="1"/>
    <n v="7"/>
    <n v="2025"/>
    <d v="2025-07-01T00:00:00"/>
    <s v="UPI"/>
    <s v="M"/>
    <n v="2"/>
    <s v="Mumbai"/>
    <x v="1856"/>
  </r>
  <r>
    <n v="2889"/>
    <s v="GreenGrocer Plaza"/>
    <d v="2024-01-31T00:00:00"/>
    <s v="Canned Goods"/>
    <s v="Orange Juice"/>
    <n v="5"/>
    <n v="1714.78"/>
    <n v="8573.9"/>
    <n v="0"/>
    <n v="8573.9"/>
    <n v="33"/>
    <d v="1899-12-30T15:52:55"/>
    <n v="31"/>
    <n v="1"/>
    <n v="2024"/>
    <d v="2024-01-31T00:00:00"/>
    <s v="Cash"/>
    <s v="F"/>
    <n v="3"/>
    <s v="Lucknow"/>
    <x v="1857"/>
  </r>
  <r>
    <n v="9336"/>
    <s v="MegaMart Westside"/>
    <d v="2023-08-08T00:00:00"/>
    <s v="Beverages"/>
    <s v="Orange Juice"/>
    <n v="4"/>
    <n v="973.59"/>
    <n v="3894.36"/>
    <n v="584.32000000000005"/>
    <n v="3310.04"/>
    <n v="153"/>
    <d v="1899-12-30T19:35:30"/>
    <n v="8"/>
    <n v="8"/>
    <n v="2023"/>
    <d v="2023-08-08T00:00:00"/>
    <s v="Credit Card"/>
    <s v="M"/>
    <n v="2"/>
    <s v="Bangalore"/>
    <x v="1858"/>
  </r>
  <r>
    <n v="1721"/>
    <s v="ValuePlus Market"/>
    <d v="2025-06-03T00:00:00"/>
    <s v="Bakery"/>
    <s v="Ground Beef"/>
    <n v="5"/>
    <n v="493.02"/>
    <n v="2465.1"/>
    <n v="246.51"/>
    <n v="2218.59"/>
    <n v="353"/>
    <d v="1899-12-30T06:05:15"/>
    <n v="3"/>
    <n v="6"/>
    <n v="2025"/>
    <d v="2025-06-03T00:00:00"/>
    <s v="UPI"/>
    <s v="F"/>
    <n v="3"/>
    <s v="Pune"/>
    <x v="1859"/>
  </r>
  <r>
    <n v="1201"/>
    <s v="City Fresh Store"/>
    <d v="2024-02-12T00:00:00"/>
    <s v="Beverages"/>
    <s v="Cereal"/>
    <n v="4"/>
    <n v="1198.52"/>
    <n v="4794.08"/>
    <n v="479.74"/>
    <n v="4314.34"/>
    <n v="460"/>
    <d v="1899-12-30T03:54:59"/>
    <n v="12"/>
    <n v="2"/>
    <n v="2024"/>
    <d v="2024-02-12T00:00:00"/>
    <s v="Cash"/>
    <s v="M"/>
    <n v="5"/>
    <s v="Chennai"/>
    <x v="1860"/>
  </r>
  <r>
    <n v="1753"/>
    <s v="SuperSave Central"/>
    <d v="2024-08-07T00:00:00"/>
    <s v="Meat &amp; Seafood"/>
    <s v="Tomatoes"/>
    <n v="4"/>
    <n v="2367.9899999999998"/>
    <n v="9471.9599999999991"/>
    <n v="1420.96"/>
    <n v="8051"/>
    <n v="447"/>
    <d v="1899-12-30T09:56:16"/>
    <n v="7"/>
    <n v="8"/>
    <n v="2024"/>
    <d v="2024-08-07T00:00:00"/>
    <s v="Credit Card"/>
    <s v="F"/>
    <n v="4"/>
    <s v="Chennai"/>
    <x v="1861"/>
  </r>
  <r>
    <n v="6963"/>
    <s v="Corner Grocery"/>
    <d v="2024-05-30T00:00:00"/>
    <s v="Health &amp; Wellness"/>
    <s v="Eggs"/>
    <n v="4"/>
    <n v="962.8"/>
    <n v="3851.2"/>
    <n v="770.24"/>
    <n v="3080.96"/>
    <n v="222"/>
    <d v="1899-12-30T20:12:59"/>
    <n v="30"/>
    <n v="5"/>
    <n v="2024"/>
    <d v="2024-05-30T00:00:00"/>
    <s v="Credit Card"/>
    <s v="F"/>
    <n v="5"/>
    <s v="Pune"/>
    <x v="1862"/>
  </r>
  <r>
    <n v="3458"/>
    <s v="SuperSave Central"/>
    <d v="2023-12-24T00:00:00"/>
    <s v="Bakery"/>
    <s v="Chicken Breast"/>
    <n v="1"/>
    <n v="1024.22"/>
    <n v="1024.22"/>
    <n v="153.55000000000001"/>
    <n v="870.67"/>
    <n v="76"/>
    <d v="1899-12-30T14:20:52"/>
    <n v="24"/>
    <n v="12"/>
    <n v="2023"/>
    <d v="2023-12-24T00:00:00"/>
    <s v="Cash"/>
    <s v="M"/>
    <n v="1"/>
    <s v="Delhi"/>
    <x v="1863"/>
  </r>
  <r>
    <n v="1579"/>
    <s v="FamilyFood Express"/>
    <d v="2024-10-09T00:00:00"/>
    <s v="Produce"/>
    <s v="Potatoes"/>
    <n v="4"/>
    <n v="463.14"/>
    <n v="1852.56"/>
    <n v="370.18"/>
    <n v="1482.38"/>
    <n v="424"/>
    <d v="1899-12-30T00:55:03"/>
    <n v="9"/>
    <n v="10"/>
    <n v="2024"/>
    <d v="2024-10-09T00:00:00"/>
    <s v="Cash"/>
    <s v="F"/>
    <n v="3"/>
    <s v="Lucknow"/>
    <x v="1864"/>
  </r>
  <r>
    <n v="7870"/>
    <s v="FamilyFood Express"/>
    <d v="2024-01-28T00:00:00"/>
    <s v="Beverages"/>
    <s v="Potatoes"/>
    <n v="4"/>
    <n v="1129.6300000000001"/>
    <n v="4518.5200000000004"/>
    <n v="451.52"/>
    <n v="4067"/>
    <n v="436"/>
    <d v="1899-12-30T01:35:45"/>
    <n v="28"/>
    <n v="1"/>
    <n v="2024"/>
    <d v="2024-01-28T00:00:00"/>
    <s v="Cash"/>
    <s v="F"/>
    <n v="1"/>
    <s v="Bangalore"/>
    <x v="1865"/>
  </r>
  <r>
    <n v="6272"/>
    <s v="FreshMart Downtown"/>
    <d v="2024-02-15T00:00:00"/>
    <s v="Canned Goods"/>
    <s v="Chicken Breast"/>
    <n v="1"/>
    <n v="2376.29"/>
    <n v="2376.29"/>
    <n v="179.28"/>
    <n v="2197.0100000000002"/>
    <n v="361"/>
    <d v="1899-12-30T18:50:14"/>
    <n v="15"/>
    <n v="2"/>
    <n v="2024"/>
    <d v="2024-02-15T00:00:00"/>
    <s v="Credit Card"/>
    <s v="F"/>
    <n v="1"/>
    <s v="Jaipur"/>
    <x v="1866"/>
  </r>
  <r>
    <n v="7819"/>
    <s v="FamilyFood Express"/>
    <d v="2025-07-18T00:00:00"/>
    <s v="Personal Care"/>
    <s v="Potatoes"/>
    <n v="2"/>
    <n v="1083.98"/>
    <n v="2167.96"/>
    <n v="0"/>
    <n v="2167.96"/>
    <n v="6"/>
    <d v="1899-12-30T17:54:13"/>
    <n v="18"/>
    <n v="7"/>
    <n v="2025"/>
    <d v="2025-07-18T00:00:00"/>
    <s v="Credit Card"/>
    <s v="F"/>
    <n v="2"/>
    <s v="Chennai"/>
    <x v="1867"/>
  </r>
  <r>
    <n v="6241"/>
    <s v="SuperSave Central"/>
    <d v="2024-03-04T00:00:00"/>
    <s v="Canned Goods"/>
    <s v="Rice"/>
    <n v="5"/>
    <n v="1114.69"/>
    <n v="5573.45"/>
    <n v="176.79"/>
    <n v="5396.66"/>
    <n v="62"/>
    <d v="1899-12-30T23:53:07"/>
    <n v="4"/>
    <n v="3"/>
    <n v="2024"/>
    <d v="2024-03-04T00:00:00"/>
    <s v="UPI"/>
    <s v="F"/>
    <n v="3"/>
    <s v="Kolkata"/>
    <x v="1868"/>
  </r>
  <r>
    <n v="2276"/>
    <s v="MegaMart Westside"/>
    <d v="2024-10-23T00:00:00"/>
    <s v="Meat &amp; Seafood"/>
    <s v="Orange Juice"/>
    <n v="5"/>
    <n v="2417.79"/>
    <n v="12088.95"/>
    <n v="1209.31"/>
    <n v="10879.64"/>
    <n v="32"/>
    <d v="1899-12-30T22:52:36"/>
    <n v="23"/>
    <n v="10"/>
    <n v="2024"/>
    <d v="2024-10-23T00:00:00"/>
    <s v="Debit Card"/>
    <s v="F"/>
    <n v="1"/>
    <s v="Chennai"/>
    <x v="1869"/>
  </r>
  <r>
    <n v="7108"/>
    <s v="MegaMart Westside"/>
    <d v="2023-11-07T00:00:00"/>
    <s v="Snacks &amp; Candy"/>
    <s v="Ground Beef"/>
    <n v="2"/>
    <n v="2355.54"/>
    <n v="4711.08"/>
    <n v="706.33"/>
    <n v="4004.75"/>
    <n v="352"/>
    <d v="1899-12-30T22:22:04"/>
    <n v="7"/>
    <n v="11"/>
    <n v="2023"/>
    <d v="2023-11-07T00:00:00"/>
    <s v="Cash"/>
    <s v="F"/>
    <n v="4"/>
    <s v="Ahmedabad"/>
    <x v="1870"/>
  </r>
  <r>
    <n v="9225"/>
    <s v="City Fresh Store"/>
    <d v="2025-01-10T00:00:00"/>
    <s v="Frozen Foods"/>
    <s v="Onions"/>
    <n v="3"/>
    <n v="1471.59"/>
    <n v="4414.7700000000004"/>
    <n v="883.12"/>
    <n v="3531.65"/>
    <n v="169"/>
    <d v="1899-12-30T17:31:10"/>
    <n v="10"/>
    <n v="1"/>
    <n v="2025"/>
    <d v="2025-01-10T00:00:00"/>
    <s v="Credit Card"/>
    <s v="F"/>
    <n v="1"/>
    <s v="Hyderabad"/>
    <x v="1871"/>
  </r>
  <r>
    <n v="1862"/>
    <s v="MegaMart Westside"/>
    <d v="2023-12-24T00:00:00"/>
    <s v="Health &amp; Wellness"/>
    <s v="Ground Beef"/>
    <n v="5"/>
    <n v="1548.78"/>
    <n v="7743.9"/>
    <n v="774.39"/>
    <n v="6969.51"/>
    <n v="416"/>
    <d v="1899-12-30T21:02:02"/>
    <n v="24"/>
    <n v="12"/>
    <n v="2023"/>
    <d v="2023-12-24T00:00:00"/>
    <s v="Credit Card"/>
    <s v="M"/>
    <n v="4"/>
    <s v="Delhi"/>
    <x v="1872"/>
  </r>
  <r>
    <n v="4656"/>
    <s v="City Fresh Store"/>
    <d v="2025-04-22T00:00:00"/>
    <s v="Produce"/>
    <s v="Cereal"/>
    <n v="5"/>
    <n v="2201.9899999999998"/>
    <n v="11009.95"/>
    <n v="190.07"/>
    <n v="10819.88"/>
    <n v="196"/>
    <d v="1899-12-30T10:50:48"/>
    <n v="22"/>
    <n v="4"/>
    <n v="2025"/>
    <d v="2025-04-22T00:00:00"/>
    <s v="Cash"/>
    <s v="M"/>
    <n v="2"/>
    <s v="Mumbai"/>
    <x v="1873"/>
  </r>
  <r>
    <n v="9450"/>
    <s v="ValuePlus Market"/>
    <d v="2023-09-11T00:00:00"/>
    <s v="Beverages"/>
    <s v="Salmon"/>
    <n v="5"/>
    <n v="2249.3000000000002"/>
    <n v="11246.5"/>
    <n v="232.4"/>
    <n v="11014.1"/>
    <n v="484"/>
    <d v="1899-12-30T08:07:48"/>
    <n v="11"/>
    <n v="9"/>
    <n v="2023"/>
    <d v="2023-09-11T00:00:00"/>
    <s v="Debit Card"/>
    <s v="F"/>
    <n v="1"/>
    <s v="Bangalore"/>
    <x v="1874"/>
  </r>
  <r>
    <n v="7568"/>
    <s v="FamilyFood Express"/>
    <d v="2023-09-29T00:00:00"/>
    <s v="Frozen Foods"/>
    <s v="Eggs"/>
    <n v="3"/>
    <n v="2123.14"/>
    <n v="6369.42"/>
    <n v="1274.05"/>
    <n v="5095.37"/>
    <n v="30"/>
    <d v="1899-12-30T07:10:00"/>
    <n v="29"/>
    <n v="9"/>
    <n v="2023"/>
    <d v="2023-09-29T00:00:00"/>
    <s v="Cash"/>
    <s v="F"/>
    <n v="5"/>
    <s v="Pune"/>
    <x v="1875"/>
  </r>
  <r>
    <n v="8620"/>
    <s v="FamilyFood Express"/>
    <d v="2025-06-09T00:00:00"/>
    <s v="Health &amp; Wellness"/>
    <s v="Bananas"/>
    <n v="3"/>
    <n v="939.56"/>
    <n v="2818.68"/>
    <n v="131.13999999999999"/>
    <n v="2687.54"/>
    <n v="317"/>
    <d v="1899-12-30T10:44:01"/>
    <n v="9"/>
    <n v="6"/>
    <n v="2025"/>
    <d v="2025-06-09T00:00:00"/>
    <s v="Debit Card"/>
    <s v="M"/>
    <n v="2"/>
    <s v="Jaipur"/>
    <x v="1876"/>
  </r>
  <r>
    <n v="5625"/>
    <s v="QuickStop Market"/>
    <d v="2025-03-29T00:00:00"/>
    <s v="Canned Goods"/>
    <s v="Potatoes"/>
    <n v="3"/>
    <n v="1537.99"/>
    <n v="4613.97"/>
    <n v="0"/>
    <n v="4613.97"/>
    <n v="274"/>
    <d v="1899-12-30T16:22:57"/>
    <n v="29"/>
    <n v="3"/>
    <n v="2025"/>
    <d v="2025-03-29T00:00:00"/>
    <s v="Credit Card"/>
    <s v="M"/>
    <n v="4"/>
    <s v="Kolkata"/>
    <x v="1877"/>
  </r>
  <r>
    <n v="6090"/>
    <s v="FamilyFood Express"/>
    <d v="2024-04-17T00:00:00"/>
    <s v="Household Items"/>
    <s v="Chicken Breast"/>
    <n v="3"/>
    <n v="1847.58"/>
    <n v="5542.74"/>
    <n v="348.6"/>
    <n v="5194.1400000000003"/>
    <n v="376"/>
    <d v="1899-12-30T17:47:15"/>
    <n v="17"/>
    <n v="4"/>
    <n v="2024"/>
    <d v="2024-04-17T00:00:00"/>
    <s v="Debit Card"/>
    <s v="M"/>
    <n v="2"/>
    <s v="Jaipur"/>
    <x v="1878"/>
  </r>
  <r>
    <n v="2415"/>
    <s v="QuickStop Market"/>
    <d v="2024-10-09T00:00:00"/>
    <s v="Bakery"/>
    <s v="Tomatoes"/>
    <n v="4"/>
    <n v="1768.73"/>
    <n v="7074.92"/>
    <n v="1061.57"/>
    <n v="6013.35"/>
    <n v="436"/>
    <d v="1899-12-30T01:47:54"/>
    <n v="9"/>
    <n v="10"/>
    <n v="2024"/>
    <d v="2024-10-09T00:00:00"/>
    <s v="UPI"/>
    <s v="F"/>
    <n v="1"/>
    <s v="Delhi"/>
    <x v="1879"/>
  </r>
  <r>
    <n v="8483"/>
    <s v="QuickStop Market"/>
    <d v="2023-08-13T00:00:00"/>
    <s v="Bakery"/>
    <s v="Eggs"/>
    <n v="3"/>
    <n v="142.76"/>
    <n v="428.28"/>
    <n v="205.01"/>
    <n v="223.27"/>
    <n v="333"/>
    <d v="1899-12-30T07:32:55"/>
    <n v="13"/>
    <n v="8"/>
    <n v="2023"/>
    <d v="2023-08-13T00:00:00"/>
    <s v="Credit Card"/>
    <s v="M"/>
    <n v="3"/>
    <s v="Ahmedabad"/>
    <x v="1880"/>
  </r>
  <r>
    <n v="7044"/>
    <s v="SuperSave Central"/>
    <d v="2024-01-09T00:00:00"/>
    <s v="Beverages"/>
    <s v="Tomatoes"/>
    <n v="5"/>
    <n v="459.82"/>
    <n v="2299.1"/>
    <n v="394.25"/>
    <n v="1904.85"/>
    <n v="227"/>
    <d v="1899-12-30T18:49:54"/>
    <n v="9"/>
    <n v="1"/>
    <n v="2024"/>
    <d v="2024-01-09T00:00:00"/>
    <s v="UPI"/>
    <s v="F"/>
    <n v="3"/>
    <s v="Ahmedabad"/>
    <x v="1881"/>
  </r>
  <r>
    <n v="5777"/>
    <s v="City Fresh Store"/>
    <d v="2024-10-17T00:00:00"/>
    <s v="Frozen Foods"/>
    <s v="Yogurt"/>
    <n v="5"/>
    <n v="1173.6199999999999"/>
    <n v="5868.1"/>
    <n v="880.63"/>
    <n v="4987.47"/>
    <n v="83"/>
    <d v="1899-12-30T19:12:42"/>
    <n v="17"/>
    <n v="10"/>
    <n v="2024"/>
    <d v="2024-10-17T00:00:00"/>
    <s v="Cash"/>
    <s v="F"/>
    <n v="4"/>
    <s v="Pune"/>
    <x v="1882"/>
  </r>
  <r>
    <n v="5979"/>
    <s v="FreshMart Downtown"/>
    <d v="2025-03-03T00:00:00"/>
    <s v="Dairy"/>
    <s v="Milk"/>
    <n v="3"/>
    <n v="1411.83"/>
    <n v="4235.49"/>
    <n v="634.95000000000005"/>
    <n v="3600.54"/>
    <n v="188"/>
    <d v="1899-12-30T12:17:46"/>
    <n v="3"/>
    <n v="3"/>
    <n v="2025"/>
    <d v="2025-03-03T00:00:00"/>
    <s v="Cash"/>
    <s v="M"/>
    <n v="4"/>
    <s v="Hyderabad"/>
    <x v="1883"/>
  </r>
  <r>
    <n v="4974"/>
    <s v="Corner Grocery"/>
    <d v="2024-08-01T00:00:00"/>
    <s v="Personal Care"/>
    <s v="Bananas"/>
    <n v="4"/>
    <n v="1637.59"/>
    <n v="6550.36"/>
    <n v="982.72"/>
    <n v="5567.64"/>
    <n v="202"/>
    <d v="1899-12-30T03:25:05"/>
    <n v="1"/>
    <n v="8"/>
    <n v="2024"/>
    <d v="2024-08-01T00:00:00"/>
    <s v="Cash"/>
    <s v="F"/>
    <n v="3"/>
    <s v="Lucknow"/>
    <x v="1884"/>
  </r>
  <r>
    <n v="7033"/>
    <s v="FreshMart Downtown"/>
    <d v="2024-11-08T00:00:00"/>
    <s v="Health &amp; Wellness"/>
    <s v="Rice"/>
    <n v="3"/>
    <n v="1443.37"/>
    <n v="4330.1099999999997"/>
    <n v="101.26"/>
    <n v="4228.8500000000004"/>
    <n v="291"/>
    <d v="1899-12-30T19:50:30"/>
    <n v="8"/>
    <n v="11"/>
    <n v="2024"/>
    <d v="2024-11-08T00:00:00"/>
    <s v="Debit Card"/>
    <s v="F"/>
    <n v="4"/>
    <s v="Ahmedabad"/>
    <x v="1885"/>
  </r>
  <r>
    <n v="9083"/>
    <s v="SuperSave Central"/>
    <d v="2025-03-29T00:00:00"/>
    <s v="Beverages"/>
    <s v="Bread"/>
    <n v="1"/>
    <n v="419.15"/>
    <n v="419.15"/>
    <n v="0"/>
    <n v="419.15"/>
    <n v="52"/>
    <d v="1899-12-30T10:46:19"/>
    <n v="29"/>
    <n v="3"/>
    <n v="2025"/>
    <d v="2025-03-29T00:00:00"/>
    <s v="Credit Card"/>
    <s v="F"/>
    <n v="2"/>
    <s v="Pune"/>
    <x v="1886"/>
  </r>
  <r>
    <n v="4201"/>
    <s v="FamilyFood Express"/>
    <d v="2025-02-25T00:00:00"/>
    <s v="Dairy"/>
    <s v="Orange Juice"/>
    <n v="3"/>
    <n v="896.4"/>
    <n v="2689.2"/>
    <n v="246.51"/>
    <n v="2442.69"/>
    <n v="211"/>
    <d v="1899-12-30T05:17:54"/>
    <n v="25"/>
    <n v="2"/>
    <n v="2025"/>
    <d v="2025-02-25T00:00:00"/>
    <s v="Cash"/>
    <s v="F"/>
    <n v="5"/>
    <s v="Hyderabad"/>
    <x v="1887"/>
  </r>
  <r>
    <n v="9954"/>
    <s v="ValuePlus Market"/>
    <d v="2025-03-19T00:00:00"/>
    <s v="Produce"/>
    <s v="Carrots"/>
    <n v="4"/>
    <n v="1626.8"/>
    <n v="6507.2"/>
    <n v="356.07"/>
    <n v="6151.13"/>
    <n v="202"/>
    <d v="1899-12-30T21:54:43"/>
    <n v="19"/>
    <n v="3"/>
    <n v="2025"/>
    <d v="2025-03-19T00:00:00"/>
    <s v="Cash"/>
    <s v="M"/>
    <n v="5"/>
    <s v="Delhi"/>
    <x v="1888"/>
  </r>
  <r>
    <n v="5016"/>
    <s v="FamilyFood Express"/>
    <d v="2023-12-01T00:00:00"/>
    <s v="Beverages"/>
    <s v="Apples"/>
    <n v="1"/>
    <n v="1918.13"/>
    <n v="1918.13"/>
    <n v="383.46"/>
    <n v="1534.67"/>
    <n v="444"/>
    <d v="1899-12-30T14:58:45"/>
    <n v="1"/>
    <n v="12"/>
    <n v="2023"/>
    <d v="2023-12-01T00:00:00"/>
    <s v="Credit Card"/>
    <s v="M"/>
    <n v="2"/>
    <s v="Bangalore"/>
    <x v="1889"/>
  </r>
  <r>
    <n v="1104"/>
    <s v="FamilyFood Express"/>
    <d v="2025-07-31T00:00:00"/>
    <s v="Produce"/>
    <s v="Onions"/>
    <n v="1"/>
    <n v="208.33"/>
    <n v="208.33"/>
    <n v="20.75"/>
    <n v="187.58"/>
    <n v="431"/>
    <d v="1899-12-30T15:03:34"/>
    <n v="31"/>
    <n v="7"/>
    <n v="2025"/>
    <d v="2025-07-31T00:00:00"/>
    <s v="Cash"/>
    <s v="F"/>
    <n v="5"/>
    <s v="Delhi"/>
    <x v="1890"/>
  </r>
  <r>
    <n v="7718"/>
    <s v="FreshMart Downtown"/>
    <d v="2023-08-25T00:00:00"/>
    <s v="Produce"/>
    <s v="Ground Beef"/>
    <n v="2"/>
    <n v="2368.8200000000002"/>
    <n v="4737.6400000000003"/>
    <n v="189.24"/>
    <n v="4548.3999999999996"/>
    <n v="488"/>
    <d v="1899-12-30T18:52:18"/>
    <n v="25"/>
    <n v="8"/>
    <n v="2023"/>
    <d v="2023-08-25T00:00:00"/>
    <s v="UPI"/>
    <s v="F"/>
    <n v="1"/>
    <s v="Pune"/>
    <x v="1891"/>
  </r>
  <r>
    <n v="4817"/>
    <s v="Corner Grocery"/>
    <d v="2024-09-30T00:00:00"/>
    <s v="Health &amp; Wellness"/>
    <s v="Tomatoes"/>
    <n v="1"/>
    <n v="1310.57"/>
    <n v="1310.57"/>
    <n v="305.44"/>
    <n v="1005.13"/>
    <n v="148"/>
    <d v="1899-12-30T01:24:55"/>
    <n v="30"/>
    <n v="9"/>
    <n v="2024"/>
    <d v="2024-09-30T00:00:00"/>
    <s v="Credit Card"/>
    <s v="M"/>
    <n v="2"/>
    <s v="Bangalore"/>
    <x v="1892"/>
  </r>
  <r>
    <n v="6675"/>
    <s v="Corner Grocery"/>
    <d v="2024-12-12T00:00:00"/>
    <s v="Personal Care"/>
    <s v="Bread"/>
    <n v="1"/>
    <n v="563.57000000000005"/>
    <n v="563.57000000000005"/>
    <n v="112.88"/>
    <n v="450.69"/>
    <n v="18"/>
    <d v="1899-12-30T15:25:42"/>
    <n v="12"/>
    <n v="12"/>
    <n v="2024"/>
    <d v="2024-12-12T00:00:00"/>
    <s v="Credit Card"/>
    <s v="F"/>
    <n v="4"/>
    <s v="Pune"/>
    <x v="1893"/>
  </r>
  <r>
    <n v="1157"/>
    <s v="City Fresh Store"/>
    <d v="2024-04-23T00:00:00"/>
    <s v="Produce"/>
    <s v="Orange Juice"/>
    <n v="1"/>
    <n v="1482.38"/>
    <n v="1482.38"/>
    <n v="148.57"/>
    <n v="1333.81"/>
    <n v="188"/>
    <d v="1899-12-30T00:08:38"/>
    <n v="23"/>
    <n v="4"/>
    <n v="2024"/>
    <d v="2024-04-23T00:00:00"/>
    <s v="Credit Card"/>
    <s v="M"/>
    <n v="2"/>
    <s v="Delhi"/>
    <x v="1894"/>
  </r>
  <r>
    <n v="1023"/>
    <s v="FamilyFood Express"/>
    <d v="2025-03-18T00:00:00"/>
    <s v="Meat &amp; Seafood"/>
    <s v="Onions"/>
    <n v="1"/>
    <n v="2284.9899999999998"/>
    <n v="2284.9899999999998"/>
    <n v="342.79"/>
    <n v="1942.2"/>
    <n v="381"/>
    <d v="1899-12-30T08:09:37"/>
    <n v="18"/>
    <n v="3"/>
    <n v="2025"/>
    <d v="2025-03-18T00:00:00"/>
    <s v="UPI"/>
    <s v="F"/>
    <n v="3"/>
    <s v="Chennai"/>
    <x v="1895"/>
  </r>
  <r>
    <n v="7164"/>
    <s v="ValuePlus Market"/>
    <d v="2025-05-27T00:00:00"/>
    <s v="Canned Goods"/>
    <s v="Carrots"/>
    <n v="4"/>
    <n v="467.29"/>
    <n v="1869.16"/>
    <n v="280.54000000000002"/>
    <n v="1588.62"/>
    <n v="103"/>
    <d v="1899-12-30T23:17:13"/>
    <n v="27"/>
    <n v="5"/>
    <n v="2025"/>
    <d v="2025-05-27T00:00:00"/>
    <s v="Credit Card"/>
    <s v="F"/>
    <n v="4"/>
    <s v="Chennai"/>
    <x v="1896"/>
  </r>
  <r>
    <n v="6038"/>
    <s v="FamilyFood Express"/>
    <d v="2023-10-26T00:00:00"/>
    <s v="Canned Goods"/>
    <s v="Pasta"/>
    <n v="4"/>
    <n v="369.35"/>
    <n v="1477.4"/>
    <n v="230.74"/>
    <n v="1246.6600000000001"/>
    <n v="146"/>
    <d v="1899-12-30T23:25:07"/>
    <n v="26"/>
    <n v="10"/>
    <n v="2023"/>
    <d v="2023-10-26T00:00:00"/>
    <s v="UPI"/>
    <s v="M"/>
    <n v="3"/>
    <s v="Delhi"/>
    <x v="1897"/>
  </r>
  <r>
    <n v="4361"/>
    <s v="ValuePlus Market"/>
    <d v="2024-09-21T00:00:00"/>
    <s v="Snacks &amp; Candy"/>
    <s v="Yogurt"/>
    <n v="2"/>
    <n v="353.58"/>
    <n v="707.16"/>
    <n v="0"/>
    <n v="707.16"/>
    <n v="198"/>
    <d v="1899-12-30T23:27:51"/>
    <n v="21"/>
    <n v="9"/>
    <n v="2024"/>
    <d v="2024-09-21T00:00:00"/>
    <s v="Credit Card"/>
    <s v="M"/>
    <n v="4"/>
    <s v="Jaipur"/>
    <x v="1898"/>
  </r>
  <r>
    <n v="4902"/>
    <s v="FamilyFood Express"/>
    <d v="2024-06-28T00:00:00"/>
    <s v="Bakery"/>
    <s v="Rice"/>
    <n v="2"/>
    <n v="2216.1"/>
    <n v="4432.2"/>
    <n v="664.83"/>
    <n v="3767.37"/>
    <n v="418"/>
    <d v="1899-12-30T16:55:54"/>
    <n v="28"/>
    <n v="6"/>
    <n v="2024"/>
    <d v="2024-06-28T00:00:00"/>
    <s v="Debit Card"/>
    <s v="M"/>
    <n v="5"/>
    <s v="Jaipur"/>
    <x v="1899"/>
  </r>
  <r>
    <n v="9061"/>
    <s v="City Fresh Store"/>
    <d v="2023-09-22T00:00:00"/>
    <s v="Produce"/>
    <s v="Ground Beef"/>
    <n v="5"/>
    <n v="2225.23"/>
    <n v="11126.15"/>
    <n v="2225.23"/>
    <n v="8900.92"/>
    <n v="431"/>
    <d v="1899-12-30T03:17:47"/>
    <n v="22"/>
    <n v="9"/>
    <n v="2023"/>
    <d v="2023-09-22T00:00:00"/>
    <s v="Cash"/>
    <s v="M"/>
    <n v="2"/>
    <s v="Ahmedabad"/>
    <x v="1900"/>
  </r>
  <r>
    <n v="3332"/>
    <s v="ValuePlus Market"/>
    <d v="2025-02-09T00:00:00"/>
    <s v="Produce"/>
    <s v="Rice"/>
    <n v="1"/>
    <n v="603.41"/>
    <n v="603.41"/>
    <n v="120.35"/>
    <n v="483.06"/>
    <n v="92"/>
    <d v="1899-12-30T06:11:53"/>
    <n v="9"/>
    <n v="2"/>
    <n v="2025"/>
    <d v="2025-02-09T00:00:00"/>
    <s v="Debit Card"/>
    <s v="F"/>
    <n v="1"/>
    <s v="Ahmedabad"/>
    <x v="1901"/>
  </r>
  <r>
    <n v="5584"/>
    <s v="City Fresh Store"/>
    <d v="2023-10-18T00:00:00"/>
    <s v="Snacks &amp; Candy"/>
    <s v="Cereal"/>
    <n v="4"/>
    <n v="2450.9899999999998"/>
    <n v="9803.9599999999991"/>
    <n v="980.23"/>
    <n v="8823.73"/>
    <n v="308"/>
    <d v="1899-12-30T15:56:36"/>
    <n v="18"/>
    <n v="10"/>
    <n v="2023"/>
    <d v="2023-10-18T00:00:00"/>
    <s v="Cash"/>
    <s v="M"/>
    <n v="4"/>
    <s v="Bangalore"/>
    <x v="1902"/>
  </r>
  <r>
    <n v="1719"/>
    <s v="City Fresh Store"/>
    <d v="2025-07-22T00:00:00"/>
    <s v="Personal Care"/>
    <s v="Rice"/>
    <n v="2"/>
    <n v="268.92"/>
    <n v="537.84"/>
    <n v="288.83999999999997"/>
    <n v="249"/>
    <n v="54"/>
    <d v="1899-12-30T21:47:36"/>
    <n v="22"/>
    <n v="7"/>
    <n v="2025"/>
    <d v="2025-07-22T00:00:00"/>
    <s v="UPI"/>
    <s v="F"/>
    <n v="4"/>
    <s v="Bangalore"/>
    <x v="1903"/>
  </r>
  <r>
    <n v="4792"/>
    <s v="FreshMart Downtown"/>
    <d v="2025-07-03T00:00:00"/>
    <s v="Frozen Foods"/>
    <s v="Bananas"/>
    <n v="3"/>
    <n v="1153.7"/>
    <n v="3461.1"/>
    <n v="100.43"/>
    <n v="3360.67"/>
    <n v="373"/>
    <d v="1899-12-30T10:22:43"/>
    <n v="3"/>
    <n v="7"/>
    <n v="2025"/>
    <d v="2025-07-03T00:00:00"/>
    <s v="Debit Card"/>
    <s v="M"/>
    <n v="3"/>
    <s v="Chennai"/>
    <x v="1904"/>
  </r>
  <r>
    <n v="9515"/>
    <s v="FamilyFood Express"/>
    <d v="2024-06-22T00:00:00"/>
    <s v="Health &amp; Wellness"/>
    <s v="Yogurt"/>
    <n v="4"/>
    <n v="1867.5"/>
    <n v="7470"/>
    <n v="1120.5"/>
    <n v="6349.5"/>
    <n v="190"/>
    <d v="1899-12-30T17:51:02"/>
    <n v="22"/>
    <n v="6"/>
    <n v="2024"/>
    <d v="2024-06-22T00:00:00"/>
    <s v="Credit Card"/>
    <s v="M"/>
    <n v="5"/>
    <s v="Jaipur"/>
    <x v="1905"/>
  </r>
  <r>
    <n v="7102"/>
    <s v="Corner Grocery"/>
    <d v="2024-07-28T00:00:00"/>
    <s v="Health &amp; Wellness"/>
    <s v="Bananas"/>
    <n v="3"/>
    <n v="1936.39"/>
    <n v="5809.17"/>
    <n v="871.5"/>
    <n v="4937.67"/>
    <n v="460"/>
    <d v="1899-12-30T00:41:49"/>
    <n v="28"/>
    <n v="7"/>
    <n v="2024"/>
    <d v="2024-07-28T00:00:00"/>
    <s v="Cash"/>
    <s v="F"/>
    <n v="3"/>
    <s v="Hyderabad"/>
    <x v="1906"/>
  </r>
  <r>
    <n v="2391"/>
    <s v="SuperSave Central"/>
    <d v="2024-10-31T00:00:00"/>
    <s v="Frozen Foods"/>
    <s v="Salmon"/>
    <n v="2"/>
    <n v="371.84"/>
    <n v="743.68"/>
    <n v="74.7"/>
    <n v="668.98"/>
    <n v="325"/>
    <d v="1899-12-30T16:26:47"/>
    <n v="31"/>
    <n v="10"/>
    <n v="2024"/>
    <d v="2024-10-31T00:00:00"/>
    <s v="Cash"/>
    <s v="M"/>
    <n v="3"/>
    <s v="Delhi"/>
    <x v="1907"/>
  </r>
  <r>
    <n v="2565"/>
    <s v="SuperSave Central"/>
    <d v="2024-09-02T00:00:00"/>
    <s v="Produce"/>
    <s v="Chicken Breast"/>
    <n v="1"/>
    <n v="1826.83"/>
    <n v="1826.83"/>
    <n v="273.89999999999998"/>
    <n v="1552.93"/>
    <n v="233"/>
    <d v="1899-12-30T04:18:35"/>
    <n v="2"/>
    <n v="9"/>
    <n v="2024"/>
    <d v="2024-09-02T00:00:00"/>
    <s v="Debit Card"/>
    <s v="M"/>
    <n v="5"/>
    <s v="Hyderabad"/>
    <x v="1908"/>
  </r>
  <r>
    <n v="3187"/>
    <s v="FreshMart Downtown"/>
    <d v="2024-12-13T00:00:00"/>
    <s v="Household Items"/>
    <s v="Potatoes"/>
    <n v="1"/>
    <n v="1842.6"/>
    <n v="1842.6"/>
    <n v="214.97"/>
    <n v="1627.63"/>
    <n v="78"/>
    <d v="1899-12-30T20:18:49"/>
    <n v="13"/>
    <n v="12"/>
    <n v="2024"/>
    <d v="2024-12-13T00:00:00"/>
    <s v="UPI"/>
    <s v="M"/>
    <n v="1"/>
    <s v="Bangalore"/>
    <x v="1909"/>
  </r>
  <r>
    <n v="7461"/>
    <s v="Corner Grocery"/>
    <d v="2023-10-04T00:00:00"/>
    <s v="Produce"/>
    <s v="Milk"/>
    <n v="4"/>
    <n v="1122.99"/>
    <n v="4491.96"/>
    <n v="898.06"/>
    <n v="3593.9"/>
    <n v="238"/>
    <d v="1899-12-30T00:28:24"/>
    <n v="4"/>
    <n v="10"/>
    <n v="2023"/>
    <d v="2023-10-04T00:00:00"/>
    <s v="Debit Card"/>
    <s v="M"/>
    <n v="3"/>
    <s v="Hyderabad"/>
    <x v="1910"/>
  </r>
  <r>
    <n v="2020"/>
    <s v="FreshMart Downtown"/>
    <d v="2024-07-09T00:00:00"/>
    <s v="Household Items"/>
    <s v="Milk"/>
    <n v="1"/>
    <n v="2391.23"/>
    <n v="2391.23"/>
    <n v="0"/>
    <n v="2391.23"/>
    <n v="448"/>
    <d v="1899-12-30T11:08:53"/>
    <n v="9"/>
    <n v="7"/>
    <n v="2024"/>
    <d v="2024-07-09T00:00:00"/>
    <s v="UPI"/>
    <s v="F"/>
    <n v="3"/>
    <s v="Pune"/>
    <x v="1911"/>
  </r>
  <r>
    <n v="3141"/>
    <s v="QuickStop Market"/>
    <d v="2024-02-06T00:00:00"/>
    <s v="Beverages"/>
    <s v="Yogurt"/>
    <n v="3"/>
    <n v="141.1"/>
    <n v="423.3"/>
    <n v="84.66"/>
    <n v="338.64"/>
    <n v="139"/>
    <d v="1899-12-30T16:47:47"/>
    <n v="6"/>
    <n v="2"/>
    <n v="2024"/>
    <d v="2024-02-06T00:00:00"/>
    <s v="UPI"/>
    <s v="F"/>
    <n v="4"/>
    <s v="Mumbai"/>
    <x v="1912"/>
  </r>
  <r>
    <n v="5778"/>
    <s v="City Fresh Store"/>
    <d v="2024-02-25T00:00:00"/>
    <s v="Produce"/>
    <s v="Milk"/>
    <n v="5"/>
    <n v="2093.2600000000002"/>
    <n v="10466.299999999999"/>
    <n v="2093.2600000000002"/>
    <n v="8373.0400000000009"/>
    <n v="222"/>
    <d v="1899-12-30T01:53:26"/>
    <n v="25"/>
    <n v="2"/>
    <n v="2024"/>
    <d v="2024-02-25T00:00:00"/>
    <s v="Cash"/>
    <s v="M"/>
    <n v="5"/>
    <s v="Chennai"/>
    <x v="1913"/>
  </r>
  <r>
    <n v="6161"/>
    <s v="FreshMart Downtown"/>
    <d v="2025-07-26T00:00:00"/>
    <s v="Frozen Foods"/>
    <s v="Orange Juice"/>
    <n v="1"/>
    <n v="1521.39"/>
    <n v="1521.39"/>
    <n v="137.78"/>
    <n v="1383.61"/>
    <n v="233"/>
    <d v="1899-12-30T14:46:51"/>
    <n v="26"/>
    <n v="7"/>
    <n v="2025"/>
    <d v="2025-07-26T00:00:00"/>
    <s v="Debit Card"/>
    <s v="M"/>
    <n v="2"/>
    <s v="Jaipur"/>
    <x v="1914"/>
  </r>
  <r>
    <n v="7438"/>
    <s v="MegaMart Westside"/>
    <d v="2025-02-01T00:00:00"/>
    <s v="Personal Care"/>
    <s v="Onions"/>
    <n v="2"/>
    <n v="854.07"/>
    <n v="1708.14"/>
    <n v="170.98"/>
    <n v="1537.16"/>
    <n v="327"/>
    <d v="1899-12-30T20:00:12"/>
    <n v="1"/>
    <n v="2"/>
    <n v="2025"/>
    <d v="2025-02-01T00:00:00"/>
    <s v="Debit Card"/>
    <s v="M"/>
    <n v="1"/>
    <s v="Lucknow"/>
    <x v="1915"/>
  </r>
  <r>
    <n v="6345"/>
    <s v="SuperSave Central"/>
    <d v="2024-04-10T00:00:00"/>
    <s v="Household Items"/>
    <s v="Tomatoes"/>
    <n v="3"/>
    <n v="1207.6500000000001"/>
    <n v="3622.95"/>
    <n v="724.59"/>
    <n v="2898.36"/>
    <n v="177"/>
    <d v="1899-12-30T12:20:21"/>
    <n v="10"/>
    <n v="4"/>
    <n v="2024"/>
    <d v="2024-04-10T00:00:00"/>
    <s v="UPI"/>
    <s v="F"/>
    <n v="1"/>
    <s v="Chennai"/>
    <x v="1916"/>
  </r>
  <r>
    <n v="8417"/>
    <s v="City Fresh Store"/>
    <d v="2024-03-05T00:00:00"/>
    <s v="Health &amp; Wellness"/>
    <s v="Onions"/>
    <n v="4"/>
    <n v="949.52"/>
    <n v="3798.08"/>
    <n v="166.83"/>
    <n v="3631.25"/>
    <n v="221"/>
    <d v="1899-12-30T22:12:46"/>
    <n v="5"/>
    <n v="3"/>
    <n v="2024"/>
    <d v="2024-03-05T00:00:00"/>
    <s v="Debit Card"/>
    <s v="F"/>
    <n v="5"/>
    <s v="Pune"/>
    <x v="1917"/>
  </r>
  <r>
    <n v="4827"/>
    <s v="SuperSave Central"/>
    <d v="2023-10-04T00:00:00"/>
    <s v="Canned Goods"/>
    <s v="Orange Juice"/>
    <n v="4"/>
    <n v="1166.98"/>
    <n v="4667.92"/>
    <n v="196.71"/>
    <n v="4471.21"/>
    <n v="276"/>
    <d v="1899-12-30T14:36:48"/>
    <n v="4"/>
    <n v="10"/>
    <n v="2023"/>
    <d v="2023-10-04T00:00:00"/>
    <s v="Credit Card"/>
    <s v="F"/>
    <n v="4"/>
    <s v="Jaipur"/>
    <x v="1918"/>
  </r>
  <r>
    <n v="4321"/>
    <s v="SuperSave Central"/>
    <d v="2023-11-20T00:00:00"/>
    <s v="Household Items"/>
    <s v="Cereal"/>
    <n v="5"/>
    <n v="1605.22"/>
    <n v="8026.1"/>
    <n v="129.47999999999999"/>
    <n v="7896.62"/>
    <n v="381"/>
    <d v="1899-12-30T18:46:45"/>
    <n v="20"/>
    <n v="11"/>
    <n v="2023"/>
    <d v="2023-11-20T00:00:00"/>
    <s v="Credit Card"/>
    <s v="F"/>
    <n v="4"/>
    <s v="Bangalore"/>
    <x v="1919"/>
  </r>
  <r>
    <n v="2785"/>
    <s v="FamilyFood Express"/>
    <d v="2023-12-05T00:00:00"/>
    <s v="Snacks &amp; Candy"/>
    <s v="Bread"/>
    <n v="4"/>
    <n v="2201.9899999999998"/>
    <n v="8807.9599999999991"/>
    <n v="117.86"/>
    <n v="8690.1"/>
    <n v="256"/>
    <d v="1899-12-30T11:26:10"/>
    <n v="5"/>
    <n v="12"/>
    <n v="2023"/>
    <d v="2023-12-05T00:00:00"/>
    <s v="Debit Card"/>
    <s v="M"/>
    <n v="5"/>
    <s v="Lucknow"/>
    <x v="1920"/>
  </r>
  <r>
    <n v="2731"/>
    <s v="FreshMart Downtown"/>
    <d v="2023-12-12T00:00:00"/>
    <s v="Frozen Foods"/>
    <s v="Onions"/>
    <n v="2"/>
    <n v="1862.52"/>
    <n v="3725.04"/>
    <n v="372.67"/>
    <n v="3352.37"/>
    <n v="350"/>
    <d v="1899-12-30T15:26:21"/>
    <n v="12"/>
    <n v="12"/>
    <n v="2023"/>
    <d v="2023-12-12T00:00:00"/>
    <s v="Debit Card"/>
    <s v="M"/>
    <n v="4"/>
    <s v="Delhi"/>
    <x v="1921"/>
  </r>
  <r>
    <n v="8365"/>
    <s v="GreenGrocer Plaza"/>
    <d v="2024-08-02T00:00:00"/>
    <s v="Canned Goods"/>
    <s v="Orange Juice"/>
    <n v="5"/>
    <n v="2337.2800000000002"/>
    <n v="11686.4"/>
    <n v="2337.2800000000002"/>
    <n v="9349.1200000000008"/>
    <n v="267"/>
    <d v="1899-12-30T17:13:33"/>
    <n v="2"/>
    <n v="8"/>
    <n v="2024"/>
    <d v="2024-08-02T00:00:00"/>
    <s v="UPI"/>
    <s v="M"/>
    <n v="1"/>
    <s v="Delhi"/>
    <x v="1922"/>
  </r>
  <r>
    <n v="6145"/>
    <s v="MegaMart Westside"/>
    <d v="2024-06-17T00:00:00"/>
    <s v="Snacks &amp; Candy"/>
    <s v="Chicken Breast"/>
    <n v="2"/>
    <n v="1623.48"/>
    <n v="3246.96"/>
    <n v="0"/>
    <n v="3246.96"/>
    <n v="232"/>
    <d v="1899-12-30T02:54:42"/>
    <n v="17"/>
    <n v="6"/>
    <n v="2024"/>
    <d v="2024-06-17T00:00:00"/>
    <s v="Credit Card"/>
    <s v="F"/>
    <n v="1"/>
    <s v="Ahmedabad"/>
    <x v="1923"/>
  </r>
  <r>
    <n v="2978"/>
    <s v="FamilyFood Express"/>
    <d v="2024-09-26T00:00:00"/>
    <s v="Produce"/>
    <s v="Carrots"/>
    <n v="1"/>
    <n v="1274.05"/>
    <n v="1274.05"/>
    <n v="0"/>
    <n v="1274.05"/>
    <n v="468"/>
    <d v="1899-12-30T01:48:57"/>
    <n v="26"/>
    <n v="9"/>
    <n v="2024"/>
    <d v="2024-09-26T00:00:00"/>
    <s v="Credit Card"/>
    <s v="M"/>
    <n v="2"/>
    <s v="Kolkata"/>
    <x v="1924"/>
  </r>
  <r>
    <n v="6870"/>
    <s v="QuickStop Market"/>
    <d v="2025-03-27T00:00:00"/>
    <s v="Bakery"/>
    <s v="Tomatoes"/>
    <n v="3"/>
    <n v="2068.36"/>
    <n v="6205.08"/>
    <n v="1240.8499999999999"/>
    <n v="4964.2299999999996"/>
    <n v="277"/>
    <d v="1899-12-30T03:37:20"/>
    <n v="27"/>
    <n v="3"/>
    <n v="2025"/>
    <d v="2025-03-27T00:00:00"/>
    <s v="Cash"/>
    <s v="F"/>
    <n v="5"/>
    <s v="Pune"/>
    <x v="1925"/>
  </r>
  <r>
    <n v="4401"/>
    <s v="FreshMart Downtown"/>
    <d v="2024-07-23T00:00:00"/>
    <s v="Produce"/>
    <s v="Bananas"/>
    <n v="3"/>
    <n v="373.5"/>
    <n v="1120.5"/>
    <n v="166.83"/>
    <n v="953.67"/>
    <n v="95"/>
    <d v="1899-12-30T20:36:07"/>
    <n v="23"/>
    <n v="7"/>
    <n v="2024"/>
    <d v="2024-07-23T00:00:00"/>
    <s v="UPI"/>
    <s v="F"/>
    <n v="3"/>
    <s v="Jaipur"/>
    <x v="1926"/>
  </r>
  <r>
    <n v="6051"/>
    <s v="GreenGrocer Plaza"/>
    <d v="2024-07-31T00:00:00"/>
    <s v="Snacks &amp; Candy"/>
    <s v="Orange Juice"/>
    <n v="4"/>
    <n v="107.9"/>
    <n v="431.6"/>
    <n v="64.739999999999995"/>
    <n v="366.86"/>
    <n v="305"/>
    <d v="1899-12-30T15:27:24"/>
    <n v="31"/>
    <n v="7"/>
    <n v="2024"/>
    <d v="2024-07-31T00:00:00"/>
    <s v="Cash"/>
    <s v="M"/>
    <n v="3"/>
    <s v="Kolkata"/>
    <x v="1927"/>
  </r>
  <r>
    <n v="5341"/>
    <s v="Corner Grocery"/>
    <d v="2025-05-30T00:00:00"/>
    <s v="Canned Goods"/>
    <s v="Yogurt"/>
    <n v="3"/>
    <n v="1113.8599999999999"/>
    <n v="3341.58"/>
    <n v="0"/>
    <n v="3341.58"/>
    <n v="301"/>
    <d v="1899-12-30T08:06:41"/>
    <n v="30"/>
    <n v="5"/>
    <n v="2025"/>
    <d v="2025-05-30T00:00:00"/>
    <s v="Credit Card"/>
    <s v="M"/>
    <n v="2"/>
    <s v="Kolkata"/>
    <x v="1928"/>
  </r>
  <r>
    <n v="2964"/>
    <s v="FreshMart Downtown"/>
    <d v="2023-10-16T00:00:00"/>
    <s v="Health &amp; Wellness"/>
    <s v="Potatoes"/>
    <n v="1"/>
    <n v="1285.67"/>
    <n v="1285.67"/>
    <n v="192.56"/>
    <n v="1093.1099999999999"/>
    <n v="179"/>
    <d v="1899-12-30T01:08:31"/>
    <n v="16"/>
    <n v="10"/>
    <n v="2023"/>
    <d v="2023-10-16T00:00:00"/>
    <s v="UPI"/>
    <s v="M"/>
    <n v="2"/>
    <s v="Lucknow"/>
    <x v="1929"/>
  </r>
  <r>
    <n v="3582"/>
    <s v="City Fresh Store"/>
    <d v="2025-04-25T00:00:00"/>
    <s v="Snacks &amp; Candy"/>
    <s v="Onions"/>
    <n v="1"/>
    <n v="1099.75"/>
    <n v="1099.75"/>
    <n v="0"/>
    <n v="1099.75"/>
    <n v="300"/>
    <d v="1899-12-30T00:46:12"/>
    <n v="25"/>
    <n v="4"/>
    <n v="2025"/>
    <d v="2025-04-25T00:00:00"/>
    <s v="Debit Card"/>
    <s v="F"/>
    <n v="4"/>
    <s v="Delhi"/>
    <x v="1930"/>
  </r>
  <r>
    <n v="5984"/>
    <s v="City Fresh Store"/>
    <d v="2025-05-09T00:00:00"/>
    <s v="Produce"/>
    <s v="Tomatoes"/>
    <n v="1"/>
    <n v="2399.5300000000002"/>
    <n v="2399.5300000000002"/>
    <n v="239.87"/>
    <n v="2159.66"/>
    <n v="388"/>
    <d v="1899-12-30T05:27:48"/>
    <n v="9"/>
    <n v="5"/>
    <n v="2025"/>
    <d v="2025-05-09T00:00:00"/>
    <s v="UPI"/>
    <s v="F"/>
    <n v="2"/>
    <s v="Bangalore"/>
    <x v="1931"/>
  </r>
  <r>
    <n v="1660"/>
    <s v="QuickStop Market"/>
    <d v="2024-01-21T00:00:00"/>
    <s v="Personal Care"/>
    <s v="Bread"/>
    <n v="1"/>
    <n v="673.13"/>
    <n v="673.13"/>
    <n v="67.23"/>
    <n v="605.9"/>
    <n v="425"/>
    <d v="1899-12-30T14:26:58"/>
    <n v="21"/>
    <n v="1"/>
    <n v="2024"/>
    <d v="2024-01-21T00:00:00"/>
    <s v="Debit Card"/>
    <s v="M"/>
    <n v="2"/>
    <s v="Chennai"/>
    <x v="1932"/>
  </r>
  <r>
    <n v="6370"/>
    <s v="Corner Grocery"/>
    <d v="2023-11-30T00:00:00"/>
    <s v="Canned Goods"/>
    <s v="Ground Beef"/>
    <n v="5"/>
    <n v="2450.9899999999998"/>
    <n v="12254.95"/>
    <n v="1838.45"/>
    <n v="10416.5"/>
    <n v="17"/>
    <d v="1899-12-30T19:02:40"/>
    <n v="30"/>
    <n v="11"/>
    <n v="2023"/>
    <d v="2023-11-30T00:00:00"/>
    <s v="Debit Card"/>
    <s v="M"/>
    <n v="3"/>
    <s v="Delhi"/>
    <x v="1933"/>
  </r>
  <r>
    <n v="2494"/>
    <s v="ValuePlus Market"/>
    <d v="2025-02-09T00:00:00"/>
    <s v="Beverages"/>
    <s v="Yogurt"/>
    <n v="5"/>
    <n v="1070.7"/>
    <n v="5353.5"/>
    <n v="369.35"/>
    <n v="4984.1499999999996"/>
    <n v="5"/>
    <d v="1899-12-30T00:52:30"/>
    <n v="9"/>
    <n v="2"/>
    <n v="2025"/>
    <d v="2025-02-09T00:00:00"/>
    <s v="UPI"/>
    <s v="F"/>
    <n v="4"/>
    <s v="Pune"/>
    <x v="1823"/>
  </r>
  <r>
    <n v="5066"/>
    <s v="FreshMart Downtown"/>
    <d v="2024-05-09T00:00:00"/>
    <s v="Personal Care"/>
    <s v="Salmon"/>
    <n v="1"/>
    <n v="1290.6500000000001"/>
    <n v="1290.6500000000001"/>
    <n v="0"/>
    <n v="1290.6500000000001"/>
    <n v="237"/>
    <d v="1899-12-30T18:59:06"/>
    <n v="9"/>
    <n v="5"/>
    <n v="2024"/>
    <d v="2024-05-09T00:00:00"/>
    <s v="Debit Card"/>
    <s v="M"/>
    <n v="2"/>
    <s v="Pune"/>
    <x v="1934"/>
  </r>
  <r>
    <n v="7492"/>
    <s v="Corner Grocery"/>
    <d v="2024-09-08T00:00:00"/>
    <s v="Personal Care"/>
    <s v="Milk"/>
    <n v="3"/>
    <n v="1491.51"/>
    <n v="4474.53"/>
    <n v="894.74"/>
    <n v="3579.79"/>
    <n v="357"/>
    <d v="1899-12-30T09:06:18"/>
    <n v="8"/>
    <n v="9"/>
    <n v="2024"/>
    <d v="2024-09-08T00:00:00"/>
    <s v="Cash"/>
    <s v="F"/>
    <n v="2"/>
    <s v="Jaipur"/>
    <x v="1935"/>
  </r>
  <r>
    <n v="1802"/>
    <s v="City Fresh Store"/>
    <d v="2025-01-13T00:00:00"/>
    <s v="Frozen Foods"/>
    <s v="Apples"/>
    <n v="1"/>
    <n v="781.03"/>
    <n v="781.03"/>
    <n v="311.25"/>
    <n v="469.78"/>
    <n v="169"/>
    <d v="1899-12-30T16:07:44"/>
    <n v="13"/>
    <n v="1"/>
    <n v="2025"/>
    <d v="2025-01-13T00:00:00"/>
    <s v="Credit Card"/>
    <s v="F"/>
    <n v="4"/>
    <s v="Chennai"/>
    <x v="1936"/>
  </r>
  <r>
    <n v="5896"/>
    <s v="GreenGrocer Plaza"/>
    <d v="2024-02-25T00:00:00"/>
    <s v="Bakery"/>
    <s v="Potatoes"/>
    <n v="4"/>
    <n v="681.43"/>
    <n v="2725.72"/>
    <n v="272.24"/>
    <n v="2453.48"/>
    <n v="198"/>
    <d v="1899-12-30T10:02:24"/>
    <n v="25"/>
    <n v="2"/>
    <n v="2024"/>
    <d v="2024-02-25T00:00:00"/>
    <s v="Debit Card"/>
    <s v="M"/>
    <n v="5"/>
    <s v="Bangalore"/>
    <x v="1937"/>
  </r>
  <r>
    <n v="3848"/>
    <s v="FreshMart Downtown"/>
    <d v="2023-08-31T00:00:00"/>
    <s v="Frozen Foods"/>
    <s v="Apples"/>
    <n v="2"/>
    <n v="900.55"/>
    <n v="1801.1"/>
    <n v="360.22"/>
    <n v="1440.88"/>
    <n v="349"/>
    <d v="1899-12-30T00:32:11"/>
    <n v="31"/>
    <n v="8"/>
    <n v="2023"/>
    <d v="2023-08-31T00:00:00"/>
    <s v="Cash"/>
    <s v="M"/>
    <n v="4"/>
    <s v="Jaipur"/>
    <x v="1938"/>
  </r>
  <r>
    <n v="7625"/>
    <s v="City Fresh Store"/>
    <d v="2025-05-31T00:00:00"/>
    <s v="Dairy"/>
    <s v="Chicken Breast"/>
    <n v="2"/>
    <n v="417.49"/>
    <n v="834.98"/>
    <n v="83.83"/>
    <n v="751.15"/>
    <n v="379"/>
    <d v="1899-12-30T22:29:15"/>
    <n v="31"/>
    <n v="5"/>
    <n v="2025"/>
    <d v="2025-05-31T00:00:00"/>
    <s v="Debit Card"/>
    <s v="M"/>
    <n v="3"/>
    <s v="Lucknow"/>
    <x v="1939"/>
  </r>
  <r>
    <n v="8408"/>
    <s v="City Fresh Store"/>
    <d v="2024-10-11T00:00:00"/>
    <s v="Canned Goods"/>
    <s v="Cheese"/>
    <n v="1"/>
    <n v="1786.99"/>
    <n v="1786.99"/>
    <n v="0"/>
    <n v="1786.99"/>
    <n v="459"/>
    <d v="1899-12-30T21:21:49"/>
    <n v="11"/>
    <n v="10"/>
    <n v="2024"/>
    <d v="2024-10-11T00:00:00"/>
    <s v="Credit Card"/>
    <s v="M"/>
    <n v="5"/>
    <s v="Bangalore"/>
    <x v="1940"/>
  </r>
  <r>
    <n v="5093"/>
    <s v="ValuePlus Market"/>
    <d v="2023-10-19T00:00:00"/>
    <s v="Dairy"/>
    <s v="Cheese"/>
    <n v="4"/>
    <n v="162.68"/>
    <n v="650.72"/>
    <n v="104.58"/>
    <n v="546.14"/>
    <n v="223"/>
    <d v="1899-12-30T00:16:56"/>
    <n v="19"/>
    <n v="10"/>
    <n v="2023"/>
    <d v="2023-10-19T00:00:00"/>
    <s v="Cash"/>
    <s v="F"/>
    <n v="1"/>
    <s v="Bangalore"/>
    <x v="1941"/>
  </r>
  <r>
    <n v="8570"/>
    <s v="QuickStop Market"/>
    <d v="2023-10-25T00:00:00"/>
    <s v="Health &amp; Wellness"/>
    <s v="Orange Juice"/>
    <n v="4"/>
    <n v="1048.29"/>
    <n v="4193.16"/>
    <n v="838.3"/>
    <n v="3354.86"/>
    <n v="470"/>
    <d v="1899-12-30T02:21:52"/>
    <n v="25"/>
    <n v="10"/>
    <n v="2023"/>
    <d v="2023-10-25T00:00:00"/>
    <s v="Credit Card"/>
    <s v="F"/>
    <n v="4"/>
    <s v="Kolkata"/>
    <x v="1942"/>
  </r>
  <r>
    <n v="3290"/>
    <s v="GreenGrocer Plaza"/>
    <d v="2023-11-09T00:00:00"/>
    <s v="Produce"/>
    <s v="Apples"/>
    <n v="1"/>
    <n v="1454.99"/>
    <n v="1454.99"/>
    <n v="145.25"/>
    <n v="1309.74"/>
    <n v="340"/>
    <d v="1899-12-30T07:18:24"/>
    <n v="9"/>
    <n v="11"/>
    <n v="2023"/>
    <d v="2023-11-09T00:00:00"/>
    <s v="Credit Card"/>
    <s v="F"/>
    <n v="3"/>
    <s v="Jaipur"/>
    <x v="1943"/>
  </r>
  <r>
    <n v="1195"/>
    <s v="ValuePlus Market"/>
    <d v="2023-09-23T00:00:00"/>
    <s v="Canned Goods"/>
    <s v="Onions"/>
    <n v="3"/>
    <n v="1232.55"/>
    <n v="3697.65"/>
    <n v="219.95"/>
    <n v="3477.7"/>
    <n v="497"/>
    <d v="1899-12-30T23:21:13"/>
    <n v="23"/>
    <n v="9"/>
    <n v="2023"/>
    <d v="2023-09-23T00:00:00"/>
    <s v="Cash"/>
    <s v="M"/>
    <n v="5"/>
    <s v="Mumbai"/>
    <x v="1944"/>
  </r>
  <r>
    <n v="4641"/>
    <s v="ValuePlus Market"/>
    <d v="2023-11-16T00:00:00"/>
    <s v="Produce"/>
    <s v="Ground Beef"/>
    <n v="2"/>
    <n v="436.58"/>
    <n v="873.16"/>
    <n v="206.67"/>
    <n v="666.49"/>
    <n v="68"/>
    <d v="1899-12-30T09:37:53"/>
    <n v="16"/>
    <n v="11"/>
    <n v="2023"/>
    <d v="2023-11-16T00:00:00"/>
    <s v="Cash"/>
    <s v="F"/>
    <n v="4"/>
    <s v="Delhi"/>
    <x v="1945"/>
  </r>
  <r>
    <n v="4246"/>
    <s v="ValuePlus Market"/>
    <d v="2025-05-07T00:00:00"/>
    <s v="Produce"/>
    <s v="Chicken Breast"/>
    <n v="5"/>
    <n v="1684.9"/>
    <n v="8424.5"/>
    <n v="1263.26"/>
    <n v="7161.24"/>
    <n v="299"/>
    <d v="1899-12-30T16:21:10"/>
    <n v="7"/>
    <n v="5"/>
    <n v="2025"/>
    <d v="2025-05-07T00:00:00"/>
    <s v="Cash"/>
    <s v="M"/>
    <n v="2"/>
    <s v="Jaipur"/>
    <x v="971"/>
  </r>
  <r>
    <n v="7563"/>
    <s v="SuperSave Central"/>
    <d v="2024-05-22T00:00:00"/>
    <s v="Canned Goods"/>
    <s v="Ground Beef"/>
    <n v="4"/>
    <n v="2011.09"/>
    <n v="8044.36"/>
    <n v="804.27"/>
    <n v="7240.09"/>
    <n v="96"/>
    <d v="1899-12-30T04:36:19"/>
    <n v="22"/>
    <n v="5"/>
    <n v="2024"/>
    <d v="2024-05-22T00:00:00"/>
    <s v="UPI"/>
    <s v="M"/>
    <n v="4"/>
    <s v="Bangalore"/>
    <x v="1946"/>
  </r>
  <r>
    <n v="2376"/>
    <s v="City Fresh Store"/>
    <d v="2024-11-01T00:00:00"/>
    <s v="Bakery"/>
    <s v="Chicken Breast"/>
    <n v="2"/>
    <n v="1015.92"/>
    <n v="2031.84"/>
    <n v="406.7"/>
    <n v="1625.14"/>
    <n v="324"/>
    <d v="1899-12-30T12:31:19"/>
    <n v="1"/>
    <n v="11"/>
    <n v="2024"/>
    <d v="2024-11-01T00:00:00"/>
    <s v="Cash"/>
    <s v="M"/>
    <n v="1"/>
    <s v="Ahmedabad"/>
    <x v="1947"/>
  </r>
  <r>
    <n v="5240"/>
    <s v="SuperSave Central"/>
    <d v="2025-07-19T00:00:00"/>
    <s v="Personal Care"/>
    <s v="Eggs"/>
    <n v="1"/>
    <n v="1231.72"/>
    <n v="1231.72"/>
    <n v="246.51"/>
    <n v="985.21"/>
    <n v="37"/>
    <d v="1899-12-30T18:59:39"/>
    <n v="19"/>
    <n v="7"/>
    <n v="2025"/>
    <d v="2025-07-19T00:00:00"/>
    <s v="Cash"/>
    <s v="M"/>
    <n v="4"/>
    <s v="Bangalore"/>
    <x v="1948"/>
  </r>
  <r>
    <n v="2228"/>
    <s v="Corner Grocery"/>
    <d v="2023-08-23T00:00:00"/>
    <s v="Health &amp; Wellness"/>
    <s v="Orange Juice"/>
    <n v="2"/>
    <n v="2075"/>
    <n v="4150"/>
    <n v="415"/>
    <n v="3735"/>
    <n v="208"/>
    <d v="1899-12-30T17:16:19"/>
    <n v="23"/>
    <n v="8"/>
    <n v="2023"/>
    <d v="2023-08-23T00:00:00"/>
    <s v="Cash"/>
    <s v="M"/>
    <n v="5"/>
    <s v="Bangalore"/>
    <x v="1949"/>
  </r>
  <r>
    <n v="2056"/>
    <s v="FreshMart Downtown"/>
    <d v="2024-01-07T00:00:00"/>
    <s v="Canned Goods"/>
    <s v="Tomatoes"/>
    <n v="1"/>
    <n v="546.14"/>
    <n v="546.14"/>
    <n v="54.78"/>
    <n v="491.36"/>
    <n v="371"/>
    <d v="1899-12-30T01:05:27"/>
    <n v="7"/>
    <n v="1"/>
    <n v="2024"/>
    <d v="2024-01-07T00:00:00"/>
    <s v="Cash"/>
    <s v="M"/>
    <n v="5"/>
    <s v="Chennai"/>
    <x v="1950"/>
  </r>
  <r>
    <n v="8265"/>
    <s v="City Fresh Store"/>
    <d v="2025-04-26T00:00:00"/>
    <s v="Household Items"/>
    <s v="Ground Beef"/>
    <n v="2"/>
    <n v="1235.8699999999999"/>
    <n v="2471.7399999999998"/>
    <n v="0"/>
    <n v="2471.7399999999998"/>
    <n v="486"/>
    <d v="1899-12-30T12:23:44"/>
    <n v="26"/>
    <n v="4"/>
    <n v="2025"/>
    <d v="2025-04-26T00:00:00"/>
    <s v="Debit Card"/>
    <s v="F"/>
    <n v="4"/>
    <s v="Hyderabad"/>
    <x v="1951"/>
  </r>
  <r>
    <n v="3110"/>
    <s v="SuperSave Central"/>
    <d v="2023-10-17T00:00:00"/>
    <s v="Bakery"/>
    <s v="Carrots"/>
    <n v="3"/>
    <n v="1279.03"/>
    <n v="3837.09"/>
    <n v="92.96"/>
    <n v="3744.13"/>
    <n v="38"/>
    <d v="1899-12-30T19:20:40"/>
    <n v="17"/>
    <n v="10"/>
    <n v="2023"/>
    <d v="2023-10-17T00:00:00"/>
    <s v="UPI"/>
    <s v="M"/>
    <n v="5"/>
    <s v="Chennai"/>
    <x v="1952"/>
  </r>
  <r>
    <n v="6432"/>
    <s v="GreenGrocer Plaza"/>
    <d v="2023-11-10T00:00:00"/>
    <s v="Personal Care"/>
    <s v="Bread"/>
    <n v="2"/>
    <n v="1942.2"/>
    <n v="3884.4"/>
    <n v="582.66"/>
    <n v="3301.74"/>
    <n v="20"/>
    <d v="1899-12-30T22:42:33"/>
    <n v="10"/>
    <n v="11"/>
    <n v="2023"/>
    <d v="2023-11-10T00:00:00"/>
    <s v="Credit Card"/>
    <s v="F"/>
    <n v="2"/>
    <s v="Jaipur"/>
    <x v="1953"/>
  </r>
  <r>
    <n v="1699"/>
    <s v="Corner Grocery"/>
    <d v="2024-07-30T00:00:00"/>
    <s v="Frozen Foods"/>
    <s v="Salmon"/>
    <n v="3"/>
    <n v="812.57"/>
    <n v="2437.71"/>
    <n v="366.03"/>
    <n v="2071.6799999999998"/>
    <n v="274"/>
    <d v="1899-12-30T20:38:27"/>
    <n v="30"/>
    <n v="7"/>
    <n v="2024"/>
    <d v="2024-07-30T00:00:00"/>
    <s v="Cash"/>
    <s v="F"/>
    <n v="4"/>
    <s v="Ahmedabad"/>
    <x v="1954"/>
  </r>
  <r>
    <n v="1829"/>
    <s v="City Fresh Store"/>
    <d v="2023-12-15T00:00:00"/>
    <s v="Personal Care"/>
    <s v="Potatoes"/>
    <n v="4"/>
    <n v="1905.68"/>
    <n v="7622.72"/>
    <n v="761.94"/>
    <n v="6860.78"/>
    <n v="429"/>
    <d v="1899-12-30T17:19:24"/>
    <n v="15"/>
    <n v="12"/>
    <n v="2023"/>
    <d v="2023-12-15T00:00:00"/>
    <s v="Debit Card"/>
    <s v="M"/>
    <n v="2"/>
    <s v="Delhi"/>
    <x v="1955"/>
  </r>
  <r>
    <n v="8096"/>
    <s v="MegaMart Westside"/>
    <d v="2025-05-06T00:00:00"/>
    <s v="Dairy"/>
    <s v="Potatoes"/>
    <n v="3"/>
    <n v="1364.52"/>
    <n v="4093.56"/>
    <n v="614.20000000000005"/>
    <n v="3479.36"/>
    <n v="315"/>
    <d v="1899-12-30T09:09:08"/>
    <n v="6"/>
    <n v="5"/>
    <n v="2025"/>
    <d v="2025-05-06T00:00:00"/>
    <s v="Debit Card"/>
    <s v="M"/>
    <n v="2"/>
    <s v="Ahmedabad"/>
    <x v="1956"/>
  </r>
  <r>
    <n v="7471"/>
    <s v="QuickStop Market"/>
    <d v="2024-08-26T00:00:00"/>
    <s v="Frozen Foods"/>
    <s v="Rice"/>
    <n v="5"/>
    <n v="1318.04"/>
    <n v="6590.2"/>
    <n v="1318.04"/>
    <n v="5272.16"/>
    <n v="160"/>
    <d v="1899-12-30T23:22:14"/>
    <n v="26"/>
    <n v="8"/>
    <n v="2024"/>
    <d v="2024-08-26T00:00:00"/>
    <s v="Debit Card"/>
    <s v="M"/>
    <n v="3"/>
    <s v="Hyderabad"/>
    <x v="1957"/>
  </r>
  <r>
    <n v="1483"/>
    <s v="FamilyFood Express"/>
    <d v="2024-05-30T00:00:00"/>
    <s v="Canned Goods"/>
    <s v="Rice"/>
    <n v="2"/>
    <n v="2070.02"/>
    <n v="4140.04"/>
    <n v="620.84"/>
    <n v="3519.2"/>
    <n v="265"/>
    <d v="1899-12-30T10:29:05"/>
    <n v="30"/>
    <n v="5"/>
    <n v="2024"/>
    <d v="2024-05-30T00:00:00"/>
    <s v="Credit Card"/>
    <s v="F"/>
    <n v="4"/>
    <s v="Jaipur"/>
    <x v="19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D3A53-4BCA-4E7A-9DC9-9A8A852511D0}" name="PivotTable8" cacheId="1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J20" firstHeaderRow="0" firstDataRow="0" firstDataCol="0"/>
  <pivotFields count="23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E50E0-0C15-461D-996A-C0AA9F15D6B8}" name="PivotTable1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I4:AJ14" firstHeaderRow="1" firstDataRow="1" firstDataCol="1"/>
  <pivotFields count="23">
    <pivotField showAll="0"/>
    <pivotField axis="axisRow" showAll="0" sortType="ascending">
      <items count="10">
        <item x="4"/>
        <item x="3"/>
        <item x="8"/>
        <item x="6"/>
        <item x="0"/>
        <item x="7"/>
        <item x="5"/>
        <item x="2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Fin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A70DA-7B85-4AFA-ACF6-C92A00196074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M16:BN706" firstHeaderRow="1" firstDataRow="1" firstDataCol="1"/>
  <pivotFields count="23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5"/>
  </rowFields>
  <rowItems count="6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 t="grand">
      <x/>
    </i>
  </rowItems>
  <colItems count="1">
    <i/>
  </colItems>
  <dataFields count="1">
    <dataField name="Sum of Fin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7E7A5-132A-47EF-98CA-A1D2EEAAFD6C}" name="PivotTable2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D30:BG49" firstHeaderRow="0" firstDataRow="1" firstDataCol="1"/>
  <pivotFields count="23">
    <pivotField showAll="0"/>
    <pivotField showAll="0"/>
    <pivotField numFmtId="164" showAll="0"/>
    <pivotField showAll="0"/>
    <pivotField axis="axisRow" showAll="0">
      <items count="19">
        <item x="6"/>
        <item x="10"/>
        <item x="13"/>
        <item x="15"/>
        <item x="3"/>
        <item x="1"/>
        <item x="17"/>
        <item x="12"/>
        <item x="5"/>
        <item x="11"/>
        <item x="2"/>
        <item x="4"/>
        <item x="0"/>
        <item x="16"/>
        <item x="9"/>
        <item x="8"/>
        <item x="7"/>
        <item x="14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amount" fld="7" baseField="0" baseItem="0"/>
    <dataField name="Sum of Discount_amount" fld="8" baseField="0" baseItem="0"/>
    <dataField name="Sum of Fin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E5FD5-1312-4499-9781-824BFE4A1B8F}" name="PivotTable2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29:W48" firstHeaderRow="1" firstDataRow="1" firstDataCol="1"/>
  <pivotFields count="23">
    <pivotField showAll="0"/>
    <pivotField showAll="0"/>
    <pivotField numFmtId="164" showAll="0"/>
    <pivotField showAll="0"/>
    <pivotField axis="axisRow" showAll="0">
      <items count="19">
        <item x="6"/>
        <item x="10"/>
        <item x="13"/>
        <item x="15"/>
        <item x="3"/>
        <item x="1"/>
        <item x="17"/>
        <item x="12"/>
        <item x="5"/>
        <item x="11"/>
        <item x="2"/>
        <item x="4"/>
        <item x="0"/>
        <item x="16"/>
        <item x="9"/>
        <item x="8"/>
        <item x="7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Average of Rating" fld="18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F23CD-BAF7-4331-B720-BD3D7CAE957C}" name="PivotTable2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D16:BG28" firstHeaderRow="0" firstDataRow="1" firstDataCol="1"/>
  <pivotFields count="23">
    <pivotField showAll="0"/>
    <pivotField showAll="0"/>
    <pivotField numFmtId="164" showAll="0"/>
    <pivotField axis="axisRow" showAll="0">
      <items count="12">
        <item x="2"/>
        <item x="10"/>
        <item x="4"/>
        <item x="1"/>
        <item x="8"/>
        <item x="5"/>
        <item x="6"/>
        <item x="7"/>
        <item x="9"/>
        <item x="0"/>
        <item x="3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amount" fld="7" baseField="0" baseItem="0"/>
    <dataField name="Sum of Discount_amount" fld="8" baseField="0" baseItem="0"/>
    <dataField name="Sum of Fin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6FBEB-2A49-4094-8AF9-2D2BFCB5354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L4:BL1964" firstHeaderRow="1" firstDataRow="1" firstDataCol="1"/>
  <pivotFields count="21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1960">
        <item x="37"/>
        <item x="1214"/>
        <item x="863"/>
        <item x="1093"/>
        <item x="879"/>
        <item x="1038"/>
        <item x="405"/>
        <item x="1638"/>
        <item x="880"/>
        <item x="1755"/>
        <item x="1084"/>
        <item x="1616"/>
        <item x="1528"/>
        <item x="133"/>
        <item x="1244"/>
        <item x="893"/>
        <item x="1635"/>
        <item x="49"/>
        <item x="1030"/>
        <item x="1602"/>
        <item x="1950"/>
        <item x="1660"/>
        <item x="868"/>
        <item x="1108"/>
        <item x="842"/>
        <item x="628"/>
        <item x="1236"/>
        <item x="1368"/>
        <item x="870"/>
        <item x="648"/>
        <item x="216"/>
        <item x="1216"/>
        <item x="1929"/>
        <item x="992"/>
        <item x="262"/>
        <item x="1727"/>
        <item x="1221"/>
        <item x="932"/>
        <item x="1436"/>
        <item x="1315"/>
        <item x="1785"/>
        <item x="116"/>
        <item x="909"/>
        <item x="103"/>
        <item x="128"/>
        <item x="1119"/>
        <item x="406"/>
        <item x="844"/>
        <item x="8"/>
        <item x="889"/>
        <item x="1772"/>
        <item x="409"/>
        <item x="407"/>
        <item x="1259"/>
        <item x="751"/>
        <item x="1592"/>
        <item x="1691"/>
        <item x="383"/>
        <item x="226"/>
        <item x="1526"/>
        <item x="362"/>
        <item x="266"/>
        <item x="1658"/>
        <item x="1841"/>
        <item x="1160"/>
        <item x="68"/>
        <item x="632"/>
        <item x="1837"/>
        <item x="1304"/>
        <item x="1739"/>
        <item x="1121"/>
        <item x="1713"/>
        <item x="1061"/>
        <item x="38"/>
        <item x="15"/>
        <item x="154"/>
        <item x="1261"/>
        <item x="1892"/>
        <item x="346"/>
        <item x="1293"/>
        <item x="832"/>
        <item x="87"/>
        <item x="643"/>
        <item x="828"/>
        <item x="1497"/>
        <item x="1855"/>
        <item x="381"/>
        <item x="1826"/>
        <item x="1153"/>
        <item x="1461"/>
        <item x="1251"/>
        <item x="302"/>
        <item x="586"/>
        <item x="455"/>
        <item x="979"/>
        <item x="1829"/>
        <item x="1313"/>
        <item x="82"/>
        <item x="159"/>
        <item x="391"/>
        <item x="759"/>
        <item x="1087"/>
        <item x="374"/>
        <item x="947"/>
        <item x="1865"/>
        <item x="1193"/>
        <item x="105"/>
        <item x="1597"/>
        <item x="104"/>
        <item x="1385"/>
        <item x="1741"/>
        <item x="1848"/>
        <item x="554"/>
        <item x="1550"/>
        <item x="834"/>
        <item x="1483"/>
        <item x="1679"/>
        <item x="285"/>
        <item x="1534"/>
        <item x="513"/>
        <item x="1542"/>
        <item x="1492"/>
        <item x="646"/>
        <item x="1397"/>
        <item x="1273"/>
        <item x="1626"/>
        <item x="675"/>
        <item x="13"/>
        <item x="205"/>
        <item x="505"/>
        <item x="1374"/>
        <item x="1832"/>
        <item x="1770"/>
        <item x="919"/>
        <item x="1079"/>
        <item x="779"/>
        <item x="290"/>
        <item x="1411"/>
        <item x="669"/>
        <item x="660"/>
        <item x="81"/>
        <item x="719"/>
        <item x="1798"/>
        <item x="1838"/>
        <item x="238"/>
        <item x="823"/>
        <item x="1879"/>
        <item x="514"/>
        <item x="563"/>
        <item x="631"/>
        <item x="363"/>
        <item x="527"/>
        <item x="746"/>
        <item x="1924"/>
        <item x="633"/>
        <item x="11"/>
        <item x="1422"/>
        <item x="1071"/>
        <item x="765"/>
        <item x="390"/>
        <item x="584"/>
        <item x="1656"/>
        <item x="1167"/>
        <item x="1805"/>
        <item x="1329"/>
        <item x="167"/>
        <item x="1620"/>
        <item x="144"/>
        <item x="1913"/>
        <item x="1242"/>
        <item x="1487"/>
        <item x="697"/>
        <item x="1431"/>
        <item x="1520"/>
        <item x="1078"/>
        <item x="964"/>
        <item x="1442"/>
        <item x="937"/>
        <item x="994"/>
        <item x="1784"/>
        <item x="1367"/>
        <item x="439"/>
        <item x="921"/>
        <item x="747"/>
        <item x="1305"/>
        <item x="1159"/>
        <item x="1207"/>
        <item x="615"/>
        <item x="1400"/>
        <item x="1410"/>
        <item x="727"/>
        <item x="1054"/>
        <item x="143"/>
        <item x="1292"/>
        <item x="310"/>
        <item x="1239"/>
        <item x="1279"/>
        <item x="347"/>
        <item x="1064"/>
        <item x="232"/>
        <item x="139"/>
        <item x="1799"/>
        <item x="1685"/>
        <item x="342"/>
        <item x="1262"/>
        <item x="1403"/>
        <item x="707"/>
        <item x="961"/>
        <item x="450"/>
        <item x="856"/>
        <item x="1034"/>
        <item x="1478"/>
        <item x="281"/>
        <item x="1080"/>
        <item x="1185"/>
        <item x="1655"/>
        <item x="1418"/>
        <item x="1437"/>
        <item x="614"/>
        <item x="661"/>
        <item x="357"/>
        <item x="1560"/>
        <item x="18"/>
        <item x="1453"/>
        <item x="855"/>
        <item x="593"/>
        <item x="822"/>
        <item x="744"/>
        <item x="1863"/>
        <item x="325"/>
        <item x="1575"/>
        <item x="706"/>
        <item x="1942"/>
        <item x="1332"/>
        <item x="1371"/>
        <item x="803"/>
        <item x="894"/>
        <item x="1625"/>
        <item x="152"/>
        <item x="1932"/>
        <item x="416"/>
        <item x="1742"/>
        <item x="350"/>
        <item x="1496"/>
        <item x="1142"/>
        <item x="1223"/>
        <item x="835"/>
        <item x="550"/>
        <item x="1248"/>
        <item x="1579"/>
        <item x="180"/>
        <item x="162"/>
        <item x="1845"/>
        <item x="1705"/>
        <item x="1464"/>
        <item x="885"/>
        <item x="1031"/>
        <item x="548"/>
        <item x="1392"/>
        <item x="1918"/>
        <item x="1677"/>
        <item x="1220"/>
        <item x="359"/>
        <item x="296"/>
        <item x="1324"/>
        <item x="1114"/>
        <item x="250"/>
        <item x="1598"/>
        <item x="96"/>
        <item x="1057"/>
        <item x="45"/>
        <item x="953"/>
        <item x="1709"/>
        <item x="1763"/>
        <item x="332"/>
        <item x="1066"/>
        <item x="689"/>
        <item x="1307"/>
        <item x="1029"/>
        <item x="446"/>
        <item x="998"/>
        <item x="287"/>
        <item x="1180"/>
        <item x="1914"/>
        <item x="412"/>
        <item x="1617"/>
        <item x="427"/>
        <item x="956"/>
        <item x="193"/>
        <item x="257"/>
        <item x="755"/>
        <item x="1333"/>
        <item x="422"/>
        <item x="1486"/>
        <item x="1289"/>
        <item x="1166"/>
        <item x="1245"/>
        <item x="770"/>
        <item x="375"/>
        <item x="260"/>
        <item x="1500"/>
        <item x="453"/>
        <item x="768"/>
        <item x="941"/>
        <item x="489"/>
        <item x="1566"/>
        <item x="1578"/>
        <item x="1439"/>
        <item x="368"/>
        <item x="9"/>
        <item x="611"/>
        <item x="228"/>
        <item x="1384"/>
        <item x="1678"/>
        <item x="993"/>
        <item x="1923"/>
        <item x="211"/>
        <item x="112"/>
        <item x="76"/>
        <item x="1043"/>
        <item x="1308"/>
        <item x="176"/>
        <item x="247"/>
        <item x="173"/>
        <item x="39"/>
        <item x="663"/>
        <item x="233"/>
        <item x="488"/>
        <item x="682"/>
        <item x="1130"/>
        <item x="1889"/>
        <item x="283"/>
        <item x="1089"/>
        <item x="239"/>
        <item x="1460"/>
        <item x="904"/>
        <item x="1380"/>
        <item x="957"/>
        <item x="1757"/>
        <item x="1303"/>
        <item x="1144"/>
        <item x="1322"/>
        <item x="1890"/>
        <item x="510"/>
        <item x="1465"/>
        <item x="1190"/>
        <item x="461"/>
        <item x="328"/>
        <item x="1277"/>
        <item x="94"/>
        <item x="1188"/>
        <item x="500"/>
        <item x="134"/>
        <item x="798"/>
        <item x="906"/>
        <item x="864"/>
        <item x="774"/>
        <item x="1428"/>
        <item x="1558"/>
        <item x="985"/>
        <item x="1831"/>
        <item x="692"/>
        <item x="684"/>
        <item x="1421"/>
        <item x="1213"/>
        <item x="1356"/>
        <item x="1847"/>
        <item x="1473"/>
        <item x="1455"/>
        <item x="157"/>
        <item x="930"/>
        <item x="147"/>
        <item x="1482"/>
        <item x="30"/>
        <item x="255"/>
        <item x="1900"/>
        <item x="1338"/>
        <item x="590"/>
        <item x="292"/>
        <item x="324"/>
        <item x="66"/>
        <item x="701"/>
        <item x="1719"/>
        <item x="1208"/>
        <item x="534"/>
        <item x="309"/>
        <item x="25"/>
        <item x="270"/>
        <item x="626"/>
        <item x="1192"/>
        <item x="616"/>
        <item x="1644"/>
        <item x="1373"/>
        <item x="1686"/>
        <item x="1673"/>
        <item x="1884"/>
        <item x="722"/>
        <item x="1408"/>
        <item x="1893"/>
        <item x="1921"/>
        <item x="1495"/>
        <item x="702"/>
        <item x="1413"/>
        <item x="28"/>
        <item x="64"/>
        <item x="1927"/>
        <item x="1849"/>
        <item x="431"/>
        <item x="1234"/>
        <item x="1803"/>
        <item x="1840"/>
        <item x="389"/>
        <item x="1825"/>
        <item x="1297"/>
        <item x="1458"/>
        <item x="1314"/>
        <item x="306"/>
        <item x="338"/>
        <item x="848"/>
        <item x="1582"/>
        <item x="999"/>
        <item x="433"/>
        <item x="680"/>
        <item x="1511"/>
        <item x="225"/>
        <item x="683"/>
        <item x="366"/>
        <item x="1088"/>
        <item x="578"/>
        <item x="120"/>
        <item x="1271"/>
        <item x="1615"/>
        <item x="1925"/>
        <item x="1806"/>
        <item x="1148"/>
        <item x="1278"/>
        <item x="940"/>
        <item x="831"/>
        <item x="517"/>
        <item x="1319"/>
        <item x="286"/>
        <item x="925"/>
        <item x="1830"/>
        <item x="1197"/>
        <item x="1003"/>
        <item x="415"/>
        <item x="236"/>
        <item x="1352"/>
        <item x="1302"/>
        <item x="259"/>
        <item x="1113"/>
        <item x="84"/>
        <item x="208"/>
        <item x="819"/>
        <item x="187"/>
        <item x="583"/>
        <item x="493"/>
        <item x="1145"/>
        <item x="1388"/>
        <item x="1557"/>
        <item x="703"/>
        <item x="1857"/>
        <item x="907"/>
        <item x="1760"/>
        <item x="1481"/>
        <item x="1377"/>
        <item x="1860"/>
        <item x="869"/>
        <item x="594"/>
        <item x="1540"/>
        <item x="1762"/>
        <item x="1902"/>
        <item x="1809"/>
        <item x="279"/>
        <item x="958"/>
        <item x="1702"/>
        <item x="1039"/>
        <item x="78"/>
        <item x="1275"/>
        <item x="810"/>
        <item x="1773"/>
        <item x="127"/>
        <item x="1816"/>
        <item x="249"/>
        <item x="1470"/>
        <item x="851"/>
        <item x="899"/>
        <item x="1498"/>
        <item x="634"/>
        <item x="1689"/>
        <item x="1117"/>
        <item x="1752"/>
        <item x="926"/>
        <item x="295"/>
        <item x="597"/>
        <item x="1704"/>
        <item x="545"/>
        <item x="1683"/>
        <item x="1522"/>
        <item x="1025"/>
        <item x="817"/>
        <item x="352"/>
        <item x="88"/>
        <item x="1695"/>
        <item x="100"/>
        <item x="520"/>
        <item x="1778"/>
        <item x="330"/>
        <item x="1936"/>
        <item x="1663"/>
        <item x="291"/>
        <item x="818"/>
        <item x="1274"/>
        <item x="685"/>
        <item x="1045"/>
        <item x="836"/>
        <item x="938"/>
        <item x="945"/>
        <item x="978"/>
        <item x="729"/>
        <item x="1028"/>
        <item x="1351"/>
        <item x="556"/>
        <item x="1328"/>
        <item x="1574"/>
        <item x="136"/>
        <item x="649"/>
        <item x="316"/>
        <item x="532"/>
        <item x="23"/>
        <item x="1198"/>
        <item x="73"/>
        <item x="1472"/>
        <item x="1908"/>
        <item x="1040"/>
        <item x="115"/>
        <item x="243"/>
        <item x="995"/>
        <item x="971"/>
        <item x="1312"/>
        <item x="1877"/>
        <item x="1477"/>
        <item x="975"/>
        <item x="1161"/>
        <item x="1077"/>
        <item x="1641"/>
        <item x="997"/>
        <item x="693"/>
        <item x="1907"/>
        <item x="188"/>
        <item x="1255"/>
        <item x="1396"/>
        <item x="1451"/>
        <item x="1524"/>
        <item x="1433"/>
        <item x="650"/>
        <item x="1753"/>
        <item x="1035"/>
        <item x="1652"/>
        <item x="44"/>
        <item x="598"/>
        <item x="710"/>
        <item x="1693"/>
        <item x="1412"/>
        <item x="1651"/>
        <item x="1048"/>
        <item x="0"/>
        <item x="1807"/>
        <item x="1564"/>
        <item x="1469"/>
        <item x="642"/>
        <item x="891"/>
        <item x="1571"/>
        <item x="35"/>
        <item x="1489"/>
        <item x="1559"/>
        <item x="1946"/>
        <item x="1549"/>
        <item x="156"/>
        <item x="1090"/>
        <item x="1360"/>
        <item x="1125"/>
        <item x="1288"/>
        <item x="596"/>
        <item x="911"/>
        <item x="1022"/>
        <item x="1589"/>
        <item x="42"/>
        <item x="1205"/>
        <item x="419"/>
        <item x="1386"/>
        <item x="764"/>
        <item x="533"/>
        <item x="1067"/>
        <item x="72"/>
        <item x="222"/>
        <item x="1203"/>
        <item x="712"/>
        <item x="1746"/>
        <item x="1268"/>
        <item x="496"/>
        <item x="1912"/>
        <item x="595"/>
        <item x="408"/>
        <item x="1535"/>
        <item x="1272"/>
        <item x="1097"/>
        <item x="1682"/>
        <item x="601"/>
        <item x="475"/>
        <item x="986"/>
        <item x="469"/>
        <item x="1014"/>
        <item x="1018"/>
        <item x="1141"/>
        <item x="1576"/>
        <item x="447"/>
        <item x="1318"/>
        <item x="769"/>
        <item x="1899"/>
        <item x="1345"/>
        <item x="542"/>
        <item x="1553"/>
        <item x="1365"/>
        <item x="541"/>
        <item x="903"/>
        <item x="195"/>
        <item x="341"/>
        <item x="1228"/>
        <item x="429"/>
        <item x="1801"/>
        <item x="1260"/>
        <item x="1219"/>
        <item x="587"/>
        <item x="676"/>
        <item x="637"/>
        <item x="1100"/>
        <item x="654"/>
        <item x="1023"/>
        <item x="1588"/>
        <item x="436"/>
        <item x="508"/>
        <item x="658"/>
        <item x="814"/>
        <item x="1056"/>
        <item x="1174"/>
        <item x="1110"/>
        <item x="442"/>
        <item x="117"/>
        <item x="476"/>
        <item x="261"/>
        <item x="1697"/>
        <item x="1844"/>
        <item x="10"/>
        <item x="1139"/>
        <item x="1457"/>
        <item x="468"/>
        <item x="218"/>
        <item x="1512"/>
        <item x="1922"/>
        <item x="1101"/>
        <item x="1112"/>
        <item x="1391"/>
        <item x="1510"/>
        <item x="213"/>
        <item x="716"/>
        <item x="1817"/>
        <item x="353"/>
        <item x="1949"/>
        <item x="1599"/>
        <item x="1751"/>
        <item x="694"/>
        <item x="887"/>
        <item x="1729"/>
        <item x="1618"/>
        <item x="1887"/>
        <item x="1073"/>
        <item x="1590"/>
        <item x="430"/>
        <item x="478"/>
        <item x="1375"/>
        <item x="1782"/>
        <item x="859"/>
        <item x="1955"/>
        <item x="1813"/>
        <item x="609"/>
        <item x="1681"/>
        <item x="507"/>
        <item x="1480"/>
        <item x="220"/>
        <item x="1132"/>
        <item x="679"/>
        <item x="509"/>
        <item x="1779"/>
        <item x="1334"/>
        <item x="485"/>
        <item x="698"/>
        <item x="1176"/>
        <item x="163"/>
        <item x="1628"/>
        <item x="1058"/>
        <item x="477"/>
        <item x="1931"/>
        <item x="1792"/>
        <item x="1065"/>
        <item x="1696"/>
        <item x="57"/>
        <item x="1102"/>
        <item x="544"/>
        <item x="1156"/>
        <item x="1603"/>
        <item x="1154"/>
        <item x="912"/>
        <item x="1871"/>
        <item x="1286"/>
        <item x="619"/>
        <item x="672"/>
        <item x="1327"/>
        <item x="499"/>
        <item x="179"/>
        <item x="1555"/>
        <item x="778"/>
        <item x="114"/>
        <item x="1218"/>
        <item x="1222"/>
        <item x="471"/>
        <item x="841"/>
        <item x="838"/>
        <item x="1204"/>
        <item x="178"/>
        <item x="1769"/>
        <item x="955"/>
        <item x="1533"/>
        <item x="16"/>
        <item x="695"/>
        <item x="734"/>
        <item x="1438"/>
        <item x="1252"/>
        <item x="936"/>
        <item x="783"/>
        <item x="833"/>
        <item x="131"/>
        <item x="90"/>
        <item x="464"/>
        <item x="543"/>
        <item x="636"/>
        <item x="377"/>
        <item x="151"/>
        <item x="605"/>
        <item x="98"/>
        <item x="1712"/>
        <item x="487"/>
        <item x="1657"/>
        <item x="203"/>
        <item x="1447"/>
        <item x="161"/>
        <item x="1732"/>
        <item x="1521"/>
        <item x="1664"/>
        <item x="1076"/>
        <item x="240"/>
        <item x="1209"/>
        <item x="1878"/>
        <item x="1595"/>
        <item x="1226"/>
        <item x="571"/>
        <item x="1612"/>
        <item x="1701"/>
        <item x="1905"/>
        <item x="1463"/>
        <item x="523"/>
        <item x="801"/>
        <item x="564"/>
        <item x="1249"/>
        <item x="141"/>
        <item x="345"/>
        <item x="1235"/>
        <item x="1867"/>
        <item x="760"/>
        <item x="223"/>
        <item x="1800"/>
        <item x="1614"/>
        <item x="344"/>
        <item x="772"/>
        <item x="1103"/>
        <item x="569"/>
        <item x="393"/>
        <item x="336"/>
        <item x="962"/>
        <item x="536"/>
        <item x="714"/>
        <item x="1619"/>
        <item x="876"/>
        <item x="522"/>
        <item x="1600"/>
        <item x="1445"/>
        <item x="540"/>
        <item x="1456"/>
        <item x="1645"/>
        <item x="739"/>
        <item x="1774"/>
        <item x="867"/>
        <item x="256"/>
        <item x="871"/>
        <item x="690"/>
        <item x="1797"/>
        <item x="1316"/>
        <item x="1859"/>
        <item x="629"/>
        <item x="1263"/>
        <item x="1136"/>
        <item x="1672"/>
        <item x="1642"/>
        <item x="1264"/>
        <item x="387"/>
        <item x="451"/>
        <item x="1059"/>
        <item x="231"/>
        <item x="209"/>
        <item x="1795"/>
        <item x="1096"/>
        <item x="85"/>
        <item x="902"/>
        <item x="1716"/>
        <item x="340"/>
        <item x="591"/>
        <item x="1011"/>
        <item x="1362"/>
        <item x="1133"/>
        <item x="230"/>
        <item x="1196"/>
        <item x="1901"/>
        <item x="65"/>
        <item x="1323"/>
        <item x="74"/>
        <item x="1229"/>
        <item x="566"/>
        <item x="916"/>
        <item x="1608"/>
        <item x="1811"/>
        <item x="1372"/>
        <item x="370"/>
        <item x="715"/>
        <item x="546"/>
        <item x="95"/>
        <item x="1063"/>
        <item x="1370"/>
        <item x="1627"/>
        <item x="282"/>
        <item x="535"/>
        <item x="1320"/>
        <item x="445"/>
        <item x="780"/>
        <item x="1814"/>
        <item x="1690"/>
        <item x="1493"/>
        <item x="494"/>
        <item x="417"/>
        <item x="735"/>
        <item x="1538"/>
        <item x="900"/>
        <item x="910"/>
        <item x="1358"/>
        <item x="1177"/>
        <item x="928"/>
        <item x="1551"/>
        <item x="830"/>
        <item x="79"/>
        <item x="528"/>
        <item x="108"/>
        <item x="606"/>
        <item x="126"/>
        <item x="745"/>
        <item x="1706"/>
        <item x="681"/>
        <item x="315"/>
        <item x="308"/>
        <item x="1095"/>
        <item x="318"/>
        <item x="1834"/>
        <item x="1734"/>
        <item x="1105"/>
        <item x="492"/>
        <item x="600"/>
        <item x="307"/>
        <item x="656"/>
        <item x="1654"/>
        <item x="1659"/>
        <item x="775"/>
        <item x="607"/>
        <item x="1010"/>
        <item x="1092"/>
        <item x="1653"/>
        <item x="1444"/>
        <item x="1348"/>
        <item x="1606"/>
        <item x="1581"/>
        <item x="174"/>
        <item x="1767"/>
        <item x="1661"/>
        <item x="465"/>
        <item x="1115"/>
        <item x="568"/>
        <item x="1703"/>
        <item x="1781"/>
        <item x="1267"/>
        <item x="1309"/>
        <item x="1919"/>
        <item x="17"/>
        <item x="1846"/>
        <item x="31"/>
        <item x="1027"/>
        <item x="551"/>
        <item x="617"/>
        <item x="297"/>
        <item x="153"/>
        <item x="809"/>
        <item x="1881"/>
        <item x="525"/>
        <item x="1866"/>
        <item x="351"/>
        <item x="602"/>
        <item x="331"/>
        <item x="635"/>
        <item x="1407"/>
        <item x="459"/>
        <item x="1546"/>
        <item x="1891"/>
        <item x="1605"/>
        <item x="862"/>
        <item x="1423"/>
        <item x="440"/>
        <item x="825"/>
        <item x="827"/>
        <item x="730"/>
        <item x="192"/>
        <item x="854"/>
        <item x="784"/>
        <item x="630"/>
        <item x="983"/>
        <item x="1783"/>
        <item x="1854"/>
        <item x="1843"/>
        <item x="392"/>
        <item x="109"/>
        <item x="922"/>
        <item x="1162"/>
        <item x="1934"/>
        <item x="1513"/>
        <item x="762"/>
        <item x="1948"/>
        <item x="1265"/>
        <item x="723"/>
        <item x="1211"/>
        <item x="638"/>
        <item x="562"/>
        <item x="1296"/>
        <item x="943"/>
        <item x="1933"/>
        <item x="1042"/>
        <item x="1650"/>
        <item x="1398"/>
        <item x="449"/>
        <item x="892"/>
        <item x="1182"/>
        <item x="1026"/>
        <item x="767"/>
        <item x="1632"/>
        <item x="620"/>
        <item x="805"/>
        <item x="826"/>
        <item x="486"/>
        <item x="1325"/>
        <item x="1128"/>
        <item x="1241"/>
        <item x="1168"/>
        <item x="70"/>
        <item x="1138"/>
        <item x="435"/>
        <item x="1383"/>
        <item x="1875"/>
        <item x="1828"/>
        <item x="252"/>
        <item x="726"/>
        <item x="235"/>
        <item x="665"/>
        <item x="206"/>
        <item x="1758"/>
        <item x="1882"/>
        <item x="640"/>
        <item x="1446"/>
        <item x="539"/>
        <item x="1596"/>
        <item x="1417"/>
        <item x="1107"/>
        <item x="420"/>
        <item x="749"/>
        <item x="404"/>
        <item x="877"/>
        <item x="384"/>
        <item x="1390"/>
        <item x="655"/>
        <item x="1943"/>
        <item x="705"/>
        <item x="27"/>
        <item x="1502"/>
        <item x="704"/>
        <item x="1952"/>
        <item x="269"/>
        <item x="627"/>
        <item x="1250"/>
        <item x="884"/>
        <item x="990"/>
        <item x="158"/>
        <item x="608"/>
        <item x="1530"/>
        <item x="1017"/>
        <item x="754"/>
        <item x="1163"/>
        <item x="1728"/>
        <item x="718"/>
        <item x="326"/>
        <item x="1037"/>
        <item x="67"/>
        <item x="1353"/>
        <item x="558"/>
        <item x="1020"/>
        <item x="169"/>
        <item x="1777"/>
        <item x="1818"/>
        <item x="1106"/>
        <item x="960"/>
        <item x="160"/>
        <item x="846"/>
        <item x="843"/>
        <item x="824"/>
        <item x="1698"/>
        <item x="724"/>
        <item x="1584"/>
        <item x="199"/>
        <item x="170"/>
        <item x="246"/>
        <item x="119"/>
        <item x="1256"/>
        <item x="1880"/>
        <item x="1394"/>
        <item x="839"/>
        <item x="1499"/>
        <item x="1170"/>
        <item x="263"/>
        <item x="1342"/>
        <item x="1321"/>
        <item x="1684"/>
        <item x="1613"/>
        <item x="300"/>
        <item x="413"/>
        <item x="1227"/>
        <item x="1858"/>
        <item x="194"/>
        <item x="1503"/>
        <item x="91"/>
        <item x="1775"/>
        <item x="1726"/>
        <item x="753"/>
        <item x="1062"/>
        <item x="1624"/>
        <item x="1471"/>
        <item x="737"/>
        <item x="1416"/>
        <item x="1049"/>
        <item x="46"/>
        <item x="293"/>
        <item x="1074"/>
        <item x="264"/>
        <item x="1853"/>
        <item x="1671"/>
        <item x="678"/>
        <item x="83"/>
        <item x="56"/>
        <item x="1086"/>
        <item x="1005"/>
        <item x="691"/>
        <item x="878"/>
        <item x="934"/>
        <item x="278"/>
        <item x="1009"/>
        <item x="1525"/>
        <item x="177"/>
        <item x="1516"/>
        <item x="589"/>
        <item x="549"/>
        <item x="1730"/>
        <item x="1547"/>
        <item x="1780"/>
        <item x="322"/>
        <item x="761"/>
        <item x="86"/>
        <item x="1885"/>
        <item x="618"/>
        <item x="996"/>
        <item x="1072"/>
        <item x="872"/>
        <item x="1812"/>
        <item x="948"/>
        <item x="2"/>
        <item x="664"/>
        <item x="1820"/>
        <item x="657"/>
        <item x="728"/>
        <item x="1143"/>
        <item x="229"/>
        <item x="140"/>
        <item x="547"/>
        <item x="299"/>
        <item x="210"/>
        <item x="860"/>
        <item x="503"/>
        <item x="963"/>
        <item x="349"/>
        <item x="1543"/>
        <item x="1294"/>
        <item x="474"/>
        <item x="1317"/>
        <item x="1674"/>
        <item x="1075"/>
        <item x="821"/>
        <item x="20"/>
        <item x="1633"/>
        <item x="717"/>
        <item x="364"/>
        <item x="365"/>
        <item x="484"/>
        <item x="470"/>
        <item x="1915"/>
        <item x="214"/>
        <item x="732"/>
        <item x="555"/>
        <item x="519"/>
        <item x="829"/>
        <item x="982"/>
        <item x="1378"/>
        <item x="271"/>
        <item x="1006"/>
        <item x="1928"/>
        <item x="414"/>
        <item x="820"/>
        <item x="1874"/>
        <item x="537"/>
        <item x="1137"/>
        <item x="1768"/>
        <item x="1179"/>
        <item x="1537"/>
        <item x="479"/>
        <item x="1895"/>
        <item x="1290"/>
        <item x="1099"/>
        <item x="1666"/>
        <item x="1287"/>
        <item x="696"/>
        <item x="667"/>
        <item x="1452"/>
        <item x="1862"/>
        <item x="380"/>
        <item x="1556"/>
        <item x="452"/>
        <item x="1123"/>
        <item x="621"/>
        <item x="579"/>
        <item x="1568"/>
        <item x="411"/>
        <item x="807"/>
        <item x="1051"/>
        <item x="575"/>
        <item x="150"/>
        <item x="933"/>
        <item x="1771"/>
        <item x="973"/>
        <item x="1091"/>
        <item x="1909"/>
        <item x="1165"/>
        <item x="1147"/>
        <item x="1415"/>
        <item x="1344"/>
        <item x="1430"/>
        <item x="1382"/>
        <item x="1424"/>
        <item x="585"/>
        <item x="1129"/>
        <item x="1379"/>
        <item x="853"/>
        <item x="444"/>
        <item x="1519"/>
        <item x="1699"/>
        <item x="1631"/>
        <item x="32"/>
        <item x="1646"/>
        <item x="553"/>
        <item x="1131"/>
        <item x="93"/>
        <item x="1247"/>
        <item x="1443"/>
        <item x="913"/>
        <item x="1708"/>
        <item x="897"/>
        <item x="43"/>
        <item x="789"/>
        <item x="376"/>
        <item x="1725"/>
        <item x="317"/>
        <item x="743"/>
        <item x="1721"/>
        <item x="1369"/>
        <item x="454"/>
        <item x="1710"/>
        <item x="731"/>
        <item x="113"/>
        <item x="356"/>
        <item x="1622"/>
        <item x="1479"/>
        <item x="1164"/>
        <item x="463"/>
        <item x="354"/>
        <item x="473"/>
        <item x="1420"/>
        <item x="1032"/>
        <item x="200"/>
        <item x="1426"/>
        <item x="421"/>
        <item x="92"/>
        <item x="874"/>
        <item x="472"/>
        <item x="1926"/>
        <item x="895"/>
        <item x="1238"/>
        <item x="1044"/>
        <item x="55"/>
        <item x="1735"/>
        <item x="24"/>
        <item x="1954"/>
        <item x="1449"/>
        <item x="401"/>
        <item x="791"/>
        <item x="1047"/>
        <item x="121"/>
        <item x="402"/>
        <item x="806"/>
        <item x="466"/>
        <item x="438"/>
        <item x="1648"/>
        <item x="866"/>
        <item x="1435"/>
        <item x="1340"/>
        <item x="1787"/>
        <item x="1381"/>
        <item x="924"/>
        <item x="686"/>
        <item x="1281"/>
        <item x="1280"/>
        <item x="1306"/>
        <item x="901"/>
        <item x="1821"/>
        <item x="1215"/>
        <item x="1586"/>
        <item x="645"/>
        <item x="59"/>
        <item x="1194"/>
        <item x="581"/>
        <item x="1301"/>
        <item x="1754"/>
        <item x="1021"/>
        <item x="1761"/>
        <item x="361"/>
        <item x="61"/>
        <item x="1676"/>
        <item x="426"/>
        <item x="274"/>
        <item x="1507"/>
        <item x="1432"/>
        <item x="1210"/>
        <item x="191"/>
        <item x="1476"/>
        <item x="918"/>
        <item x="580"/>
        <item x="644"/>
        <item x="1149"/>
        <item x="1083"/>
        <item x="217"/>
        <item x="1243"/>
        <item x="1804"/>
        <item x="1414"/>
        <item x="80"/>
        <item x="1485"/>
        <item x="491"/>
        <item x="1441"/>
        <item x="101"/>
        <item x="165"/>
        <item x="443"/>
        <item x="1531"/>
        <item x="334"/>
        <item x="1872"/>
        <item x="1233"/>
        <item x="301"/>
        <item x="799"/>
        <item x="1776"/>
        <item x="888"/>
        <item x="1791"/>
        <item x="662"/>
        <item x="237"/>
        <item x="1246"/>
        <item x="1935"/>
        <item x="560"/>
        <item x="1189"/>
        <item x="1788"/>
        <item x="951"/>
        <item x="1786"/>
        <item x="1393"/>
        <item x="639"/>
        <item x="1118"/>
        <item x="773"/>
        <item x="298"/>
        <item x="1178"/>
        <item x="1956"/>
        <item x="1055"/>
        <item x="1573"/>
        <item x="852"/>
        <item x="604"/>
        <item x="800"/>
        <item x="212"/>
        <item x="1491"/>
        <item x="276"/>
        <item x="815"/>
        <item x="1544"/>
        <item x="1623"/>
        <item x="748"/>
        <item x="788"/>
        <item x="1536"/>
        <item x="268"/>
        <item x="1467"/>
        <item x="908"/>
        <item x="457"/>
        <item x="50"/>
        <item x="688"/>
        <item x="481"/>
        <item x="1326"/>
        <item x="1688"/>
        <item x="1506"/>
        <item x="1127"/>
        <item x="954"/>
        <item x="337"/>
        <item x="207"/>
        <item x="1723"/>
        <item x="1474"/>
        <item x="1604"/>
        <item x="1940"/>
        <item x="1231"/>
        <item x="75"/>
        <item x="929"/>
        <item x="524"/>
        <item x="1070"/>
        <item x="1759"/>
        <item x="372"/>
        <item x="624"/>
        <item x="980"/>
        <item x="303"/>
        <item x="1715"/>
        <item x="1744"/>
        <item x="1240"/>
        <item x="1764"/>
        <item x="742"/>
        <item x="490"/>
        <item x="1295"/>
        <item x="506"/>
        <item x="1224"/>
        <item x="1429"/>
        <item x="1662"/>
        <item x="396"/>
        <item x="106"/>
        <item x="425"/>
        <item x="448"/>
        <item x="1822"/>
        <item x="1565"/>
        <item x="175"/>
        <item x="1330"/>
        <item x="721"/>
        <item x="1468"/>
        <item x="1593"/>
        <item x="502"/>
        <item x="1668"/>
        <item x="711"/>
        <item x="1120"/>
        <item x="1366"/>
        <item x="733"/>
        <item x="1094"/>
        <item x="1181"/>
        <item x="1749"/>
        <item x="314"/>
        <item x="47"/>
        <item x="905"/>
        <item x="284"/>
        <item x="251"/>
        <item x="5"/>
        <item x="1945"/>
        <item x="1852"/>
        <item x="1013"/>
        <item x="1000"/>
        <item x="1172"/>
        <item x="118"/>
        <item x="1539"/>
        <item x="668"/>
        <item x="1802"/>
        <item x="63"/>
        <item x="757"/>
        <item x="358"/>
        <item x="418"/>
        <item x="1202"/>
        <item x="138"/>
        <item x="265"/>
        <item x="460"/>
        <item x="1562"/>
        <item x="1146"/>
        <item x="501"/>
        <item x="1552"/>
        <item x="776"/>
        <item x="400"/>
        <item x="1158"/>
        <item x="1191"/>
        <item x="1346"/>
        <item x="1745"/>
        <item x="424"/>
        <item x="54"/>
        <item x="1195"/>
        <item x="1284"/>
        <item x="248"/>
        <item x="1157"/>
        <item x="1217"/>
        <item x="215"/>
        <item x="1903"/>
        <item x="950"/>
        <item x="967"/>
        <item x="1514"/>
        <item x="432"/>
        <item x="952"/>
        <item x="1722"/>
        <item x="1515"/>
        <item x="12"/>
        <item x="304"/>
        <item x="572"/>
        <item x="277"/>
        <item x="1700"/>
        <item x="1827"/>
        <item x="7"/>
        <item x="1649"/>
        <item x="1405"/>
        <item x="949"/>
        <item x="1888"/>
        <item x="1861"/>
        <item x="219"/>
        <item x="1794"/>
        <item x="574"/>
        <item x="1270"/>
        <item x="758"/>
        <item x="272"/>
        <item x="221"/>
        <item x="183"/>
        <item x="1173"/>
        <item x="1810"/>
        <item x="1199"/>
        <item x="166"/>
        <item x="935"/>
        <item x="811"/>
        <item x="512"/>
        <item x="1839"/>
        <item x="1692"/>
        <item x="1937"/>
        <item x="1490"/>
        <item x="1052"/>
        <item x="69"/>
        <item x="399"/>
        <item x="808"/>
        <item x="1419"/>
        <item x="1733"/>
        <item x="796"/>
        <item x="1082"/>
        <item x="1459"/>
        <item x="1124"/>
        <item x="736"/>
        <item x="883"/>
        <item x="966"/>
        <item x="1643"/>
        <item x="804"/>
        <item x="673"/>
        <item x="1819"/>
        <item x="333"/>
        <item x="1501"/>
        <item x="741"/>
        <item x="1737"/>
        <item x="709"/>
        <item x="1796"/>
        <item x="1532"/>
        <item x="77"/>
        <item x="1917"/>
        <item x="1569"/>
        <item x="1376"/>
        <item x="1450"/>
        <item x="327"/>
        <item x="1053"/>
        <item x="1337"/>
        <item x="21"/>
        <item x="1266"/>
        <item x="777"/>
        <item x="915"/>
        <item x="559"/>
        <item x="280"/>
        <item x="97"/>
        <item x="1665"/>
        <item x="1354"/>
        <item x="245"/>
        <item x="52"/>
        <item x="1359"/>
        <item x="939"/>
        <item x="369"/>
        <item x="26"/>
        <item x="168"/>
        <item x="1870"/>
        <item x="1116"/>
        <item x="565"/>
        <item x="1904"/>
        <item x="795"/>
        <item x="1572"/>
        <item x="258"/>
        <item x="14"/>
        <item x="763"/>
        <item x="713"/>
        <item x="886"/>
        <item x="1545"/>
        <item x="1402"/>
        <item x="526"/>
        <item x="1756"/>
        <item x="1488"/>
        <item x="1529"/>
        <item x="708"/>
        <item x="6"/>
        <item x="1462"/>
        <item x="395"/>
        <item x="1670"/>
        <item x="1517"/>
        <item x="1958"/>
        <item x="1299"/>
        <item x="1939"/>
        <item x="1151"/>
        <item x="1440"/>
        <item x="651"/>
        <item x="670"/>
        <item x="1310"/>
        <item x="171"/>
        <item x="849"/>
        <item x="752"/>
        <item x="51"/>
        <item x="1669"/>
        <item x="750"/>
        <item x="787"/>
        <item x="360"/>
        <item x="1150"/>
        <item x="1518"/>
        <item x="847"/>
        <item x="1724"/>
        <item x="1667"/>
        <item x="190"/>
        <item x="623"/>
        <item x="518"/>
        <item x="969"/>
        <item x="813"/>
        <item x="437"/>
        <item x="567"/>
        <item x="1475"/>
        <item x="204"/>
        <item x="1583"/>
        <item x="1434"/>
        <item x="766"/>
        <item x="467"/>
        <item x="1206"/>
        <item x="1738"/>
        <item x="1012"/>
        <item x="146"/>
        <item x="1237"/>
        <item x="1953"/>
        <item x="944"/>
        <item x="1126"/>
        <item x="1876"/>
        <item x="386"/>
        <item x="1336"/>
        <item x="1587"/>
        <item x="1886"/>
        <item x="1098"/>
        <item x="974"/>
        <item x="1740"/>
        <item x="1609"/>
        <item x="1494"/>
        <item x="622"/>
        <item x="373"/>
        <item x="1024"/>
        <item x="946"/>
        <item x="1873"/>
        <item x="1850"/>
        <item x="181"/>
        <item x="782"/>
        <item x="1068"/>
        <item x="145"/>
        <item x="1869"/>
        <item x="1002"/>
        <item x="1050"/>
        <item x="1707"/>
        <item x="914"/>
        <item x="122"/>
        <item x="1607"/>
        <item x="1001"/>
        <item x="1254"/>
        <item x="931"/>
        <item x="185"/>
        <item x="319"/>
        <item x="1300"/>
        <item x="738"/>
        <item x="1152"/>
        <item x="102"/>
        <item x="1184"/>
        <item x="802"/>
        <item x="1033"/>
        <item x="434"/>
        <item x="1610"/>
        <item x="1140"/>
        <item x="666"/>
        <item x="1731"/>
        <item x="110"/>
        <item x="129"/>
        <item x="1766"/>
        <item x="1311"/>
        <item x="1253"/>
        <item x="976"/>
        <item x="202"/>
        <item x="1743"/>
        <item x="227"/>
        <item x="1285"/>
        <item x="186"/>
        <item x="592"/>
        <item x="840"/>
        <item x="1640"/>
        <item x="397"/>
        <item x="172"/>
        <item x="1694"/>
        <item x="254"/>
        <item x="987"/>
        <item x="1508"/>
        <item x="977"/>
        <item x="197"/>
        <item x="1361"/>
        <item x="130"/>
        <item x="22"/>
        <item x="968"/>
        <item x="1911"/>
        <item x="1750"/>
        <item x="155"/>
        <item x="530"/>
        <item x="1591"/>
        <item x="495"/>
        <item x="1856"/>
        <item x="1349"/>
        <item x="1387"/>
        <item x="242"/>
        <item x="275"/>
        <item x="142"/>
        <item x="41"/>
        <item x="313"/>
        <item x="1401"/>
        <item x="1505"/>
        <item x="573"/>
        <item x="1790"/>
        <item x="959"/>
        <item x="1711"/>
        <item x="1896"/>
        <item x="323"/>
        <item x="1541"/>
        <item x="201"/>
        <item x="267"/>
        <item x="1355"/>
        <item x="1291"/>
        <item x="348"/>
        <item x="1944"/>
        <item x="1343"/>
        <item x="1957"/>
        <item x="1212"/>
        <item x="58"/>
        <item x="793"/>
        <item x="659"/>
        <item x="1523"/>
        <item x="125"/>
        <item x="786"/>
        <item x="462"/>
        <item x="1897"/>
        <item x="1718"/>
        <item x="1920"/>
        <item x="1720"/>
        <item x="792"/>
        <item x="725"/>
        <item x="355"/>
        <item x="1898"/>
        <item x="1335"/>
        <item x="1171"/>
        <item x="234"/>
        <item x="288"/>
        <item x="382"/>
        <item x="1717"/>
        <item x="845"/>
        <item x="1736"/>
        <item x="1585"/>
        <item x="1041"/>
        <item x="1347"/>
        <item x="1748"/>
        <item x="196"/>
        <item x="321"/>
        <item x="111"/>
        <item x="1611"/>
        <item x="456"/>
        <item x="1069"/>
        <item x="652"/>
        <item x="812"/>
        <item x="504"/>
        <item x="1395"/>
        <item x="890"/>
        <item x="164"/>
        <item x="1230"/>
        <item x="335"/>
        <item x="1577"/>
        <item x="1350"/>
        <item x="1339"/>
        <item x="1175"/>
        <item x="329"/>
        <item x="385"/>
        <item x="3"/>
        <item x="1789"/>
        <item x="1363"/>
        <item x="1007"/>
        <item x="612"/>
        <item x="603"/>
        <item x="148"/>
        <item x="1389"/>
        <item x="1016"/>
        <item x="410"/>
        <item x="1765"/>
        <item x="1621"/>
        <item x="873"/>
        <item x="498"/>
        <item x="1833"/>
        <item x="1019"/>
        <item x="1527"/>
        <item x="582"/>
        <item x="557"/>
        <item x="1004"/>
        <item x="1008"/>
        <item x="398"/>
        <item x="875"/>
        <item x="882"/>
        <item x="1594"/>
        <item x="942"/>
        <item x="516"/>
        <item x="1454"/>
        <item x="312"/>
        <item x="1639"/>
        <item x="1283"/>
        <item x="497"/>
        <item x="529"/>
        <item x="1276"/>
        <item x="1111"/>
        <item x="1257"/>
        <item x="198"/>
        <item x="1868"/>
        <item x="378"/>
        <item x="756"/>
        <item x="570"/>
        <item x="720"/>
        <item x="343"/>
        <item x="981"/>
        <item x="1122"/>
        <item x="1580"/>
        <item x="1200"/>
        <item x="107"/>
        <item x="423"/>
        <item x="653"/>
        <item x="1183"/>
        <item x="1399"/>
        <item x="984"/>
        <item x="1357"/>
        <item x="988"/>
        <item x="371"/>
        <item x="1425"/>
        <item x="771"/>
        <item x="1793"/>
        <item x="71"/>
        <item x="538"/>
        <item x="1298"/>
        <item x="687"/>
        <item x="923"/>
        <item x="1894"/>
        <item x="458"/>
        <item x="184"/>
        <item x="4"/>
        <item x="1851"/>
        <item x="99"/>
        <item x="1466"/>
        <item x="1134"/>
        <item x="1015"/>
        <item x="132"/>
        <item x="781"/>
        <item x="40"/>
        <item x="1060"/>
        <item x="881"/>
        <item x="379"/>
        <item x="785"/>
        <item x="1225"/>
        <item x="182"/>
        <item x="1406"/>
        <item x="740"/>
        <item x="1548"/>
        <item x="641"/>
        <item x="1824"/>
        <item x="699"/>
        <item x="927"/>
        <item x="588"/>
        <item x="1941"/>
        <item x="1169"/>
        <item x="241"/>
        <item x="858"/>
        <item x="1104"/>
        <item x="1883"/>
        <item x="1427"/>
        <item x="189"/>
        <item x="625"/>
        <item x="483"/>
        <item x="1680"/>
        <item x="1916"/>
        <item x="1085"/>
        <item x="124"/>
        <item x="794"/>
        <item x="816"/>
        <item x="857"/>
        <item x="561"/>
        <item x="850"/>
        <item x="1836"/>
        <item x="972"/>
        <item x="898"/>
        <item x="674"/>
        <item x="1081"/>
        <item x="1951"/>
        <item x="610"/>
        <item x="1637"/>
        <item x="289"/>
        <item x="1484"/>
        <item x="1634"/>
        <item x="1341"/>
        <item x="1630"/>
        <item x="1714"/>
        <item x="1629"/>
        <item x="896"/>
        <item x="244"/>
        <item x="62"/>
        <item x="19"/>
        <item x="970"/>
        <item x="53"/>
        <item x="647"/>
        <item x="991"/>
        <item x="865"/>
        <item x="34"/>
        <item x="1554"/>
        <item x="253"/>
        <item x="403"/>
        <item x="1036"/>
        <item x="1910"/>
        <item x="320"/>
        <item x="1187"/>
        <item x="482"/>
        <item x="1675"/>
        <item x="515"/>
        <item x="576"/>
        <item x="1404"/>
        <item x="700"/>
        <item x="149"/>
        <item x="1567"/>
        <item x="1570"/>
        <item x="1947"/>
        <item x="1563"/>
        <item x="339"/>
        <item x="1938"/>
        <item x="920"/>
        <item x="790"/>
        <item x="1409"/>
        <item x="1109"/>
        <item x="1232"/>
        <item x="394"/>
        <item x="577"/>
        <item x="1842"/>
        <item x="965"/>
        <item x="1835"/>
        <item x="1258"/>
        <item x="441"/>
        <item x="1808"/>
        <item x="367"/>
        <item x="428"/>
        <item x="273"/>
        <item x="671"/>
        <item x="613"/>
        <item x="1601"/>
        <item x="123"/>
        <item x="1906"/>
        <item x="1331"/>
        <item x="1815"/>
        <item x="1747"/>
        <item x="531"/>
        <item x="29"/>
        <item x="137"/>
        <item x="1687"/>
        <item x="89"/>
        <item x="1647"/>
        <item x="837"/>
        <item x="1448"/>
        <item x="1046"/>
        <item x="1561"/>
        <item x="1509"/>
        <item x="1930"/>
        <item x="917"/>
        <item x="1269"/>
        <item x="1504"/>
        <item x="305"/>
        <item x="1364"/>
        <item x="989"/>
        <item x="1636"/>
        <item x="521"/>
        <item x="861"/>
        <item x="480"/>
        <item x="1186"/>
        <item x="224"/>
        <item x="552"/>
        <item x="1282"/>
        <item x="1823"/>
        <item x="599"/>
        <item x="33"/>
        <item x="677"/>
        <item x="1"/>
        <item x="135"/>
        <item x="511"/>
        <item x="797"/>
        <item x="1864"/>
        <item x="60"/>
        <item x="294"/>
        <item x="1201"/>
        <item x="311"/>
        <item x="388"/>
        <item x="48"/>
        <item x="1155"/>
        <item x="1135"/>
        <item x="36"/>
        <item t="default"/>
      </items>
    </pivotField>
  </pivotFields>
  <rowFields count="1">
    <field x="20"/>
  </rowFields>
  <rowItems count="19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BC912-93CF-4D24-A59A-64263D3D83C4}" name="PivotTable1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T4:AW17" firstHeaderRow="1" firstDataRow="2" firstDataCol="1"/>
  <pivotFields count="23">
    <pivotField showAll="0"/>
    <pivotField showAll="0"/>
    <pivotField numFmtId="164" showAll="0"/>
    <pivotField axis="axisRow" showAll="0">
      <items count="12">
        <item x="2"/>
        <item x="10"/>
        <item x="4"/>
        <item x="1"/>
        <item x="8"/>
        <item x="5"/>
        <item x="6"/>
        <item x="7"/>
        <item x="9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Sum of Fin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8727E-143B-42D6-9ABB-2DC5E4420EB7}" name="PivotTable1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L4:AM16" firstHeaderRow="1" firstDataRow="1" firstDataCol="1"/>
  <pivotFields count="23">
    <pivotField showAll="0"/>
    <pivotField showAll="0"/>
    <pivotField numFmtId="164" showAll="0"/>
    <pivotField axis="axisRow" showAll="0" sortType="ascending">
      <items count="12">
        <item x="2"/>
        <item x="10"/>
        <item x="4"/>
        <item x="1"/>
        <item x="8"/>
        <item x="5"/>
        <item x="6"/>
        <item x="7"/>
        <item x="9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Fin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F26CA-1762-4C59-A285-D1C0070C0E8F}" name="PivotTable2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D4:BG14" firstHeaderRow="0" firstDataRow="1" firstDataCol="1"/>
  <pivotFields count="23">
    <pivotField showAll="0"/>
    <pivotField axis="axisRow" showAll="0">
      <items count="10">
        <item x="4"/>
        <item x="3"/>
        <item x="8"/>
        <item x="6"/>
        <item x="0"/>
        <item x="7"/>
        <item x="5"/>
        <item x="2"/>
        <item x="1"/>
        <item t="default"/>
      </items>
    </pivotField>
    <pivotField numFmtId="164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amount" fld="7" baseField="0" baseItem="0"/>
    <dataField name="Sum of Discount_amount" fld="8" baseField="0" baseItem="0"/>
    <dataField name="Sum of Fin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CFA35-F1B4-448B-B29C-D0082597D4F7}" name="PivotTable19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ore_name">
  <location ref="V3:W13" firstHeaderRow="1" firstDataRow="1" firstDataCol="1"/>
  <pivotFields count="23">
    <pivotField showAll="0"/>
    <pivotField axis="axisRow" showAll="0">
      <items count="10">
        <item x="4"/>
        <item x="3"/>
        <item x="8"/>
        <item x="6"/>
        <item x="0"/>
        <item x="7"/>
        <item x="5"/>
        <item x="2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Rating" fld="18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B9B97-D3B2-459A-A03A-D67256D6538A}" name="PivotTable1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4:AD694" firstHeaderRow="1" firstDataRow="1" firstDataCol="1"/>
  <pivotFields count="23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5"/>
  </rowFields>
  <rowItems count="6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 t="grand">
      <x/>
    </i>
  </rowItems>
  <colItems count="1">
    <i/>
  </colItems>
  <dataFields count="1">
    <dataField name="Sum of Fin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E7D26-66B8-4031-AD8E-9387F443DE65}" name="PivotTable20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15:W27" firstHeaderRow="1" firstDataRow="1" firstDataCol="1"/>
  <pivotFields count="23">
    <pivotField showAll="0"/>
    <pivotField showAll="0"/>
    <pivotField numFmtId="164" showAll="0"/>
    <pivotField axis="axisRow" showAll="0">
      <items count="12">
        <item x="2"/>
        <item x="10"/>
        <item x="4"/>
        <item x="1"/>
        <item x="8"/>
        <item x="5"/>
        <item x="6"/>
        <item x="7"/>
        <item x="9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Rating" fld="18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9BC40-6578-4028-B3C1-5E6144C890E6}" name="PivotTable1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F4:AG9" firstHeaderRow="1" firstDataRow="1" firstDataCol="1"/>
  <pivotFields count="23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7895D-0769-4C2A-BDDA-E0DB8CA7E86B}" name="PivotTable1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O4:AR24" firstHeaderRow="1" firstDataRow="2" firstDataCol="1"/>
  <pivotFields count="23">
    <pivotField showAll="0"/>
    <pivotField showAll="0"/>
    <pivotField numFmtId="164" showAll="0"/>
    <pivotField showAll="0"/>
    <pivotField axis="axisRow" showAll="0" sortType="ascending">
      <items count="19">
        <item x="6"/>
        <item x="10"/>
        <item x="13"/>
        <item x="15"/>
        <item x="3"/>
        <item x="1"/>
        <item x="17"/>
        <item x="12"/>
        <item x="5"/>
        <item x="11"/>
        <item x="2"/>
        <item x="4"/>
        <item x="0"/>
        <item x="16"/>
        <item x="9"/>
        <item x="8"/>
        <item x="7"/>
        <item x="1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Sum of Fin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B38C5-F215-42CE-A676-20572981D034}" name="PivotTable1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Y4:BB15" firstHeaderRow="1" firstDataRow="2" firstDataCol="1"/>
  <pivotFields count="23">
    <pivotField showAll="0"/>
    <pivotField axis="axisRow" showAll="0">
      <items count="10">
        <item x="4"/>
        <item x="3"/>
        <item x="8"/>
        <item x="6"/>
        <item x="0"/>
        <item x="7"/>
        <item x="5"/>
        <item x="2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Sum of Fin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D684E-39C8-4691-8158-E6CCA118B5CA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O230:R242" firstHeaderRow="0" firstDataRow="1" firstDataCol="1"/>
  <pivotFields count="23">
    <pivotField showAll="0"/>
    <pivotField showAll="0"/>
    <pivotField numFmtId="164" showAll="0"/>
    <pivotField axis="axisRow" showAll="0">
      <items count="12">
        <item x="2"/>
        <item x="10"/>
        <item x="4"/>
        <item x="1"/>
        <item x="8"/>
        <item x="5"/>
        <item x="6"/>
        <item x="7"/>
        <item x="9"/>
        <item x="0"/>
        <item x="3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amount" fld="7" baseField="0" baseItem="0"/>
    <dataField name="Sum of Discount_amount" fld="8" baseField="0" baseItem="0"/>
    <dataField name="Sum of Final_amount" fld="9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34A63-D83C-4FC0-BA00-E684C180048F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O208:P227" firstHeaderRow="1" firstDataRow="1" firstDataCol="1"/>
  <pivotFields count="23">
    <pivotField showAll="0"/>
    <pivotField showAll="0"/>
    <pivotField numFmtId="164" showAll="0"/>
    <pivotField showAll="0"/>
    <pivotField axis="axisRow" showAll="0" sortType="ascending">
      <items count="19">
        <item x="6"/>
        <item x="10"/>
        <item x="13"/>
        <item x="15"/>
        <item x="3"/>
        <item x="1"/>
        <item x="17"/>
        <item x="12"/>
        <item x="5"/>
        <item x="11"/>
        <item x="2"/>
        <item x="4"/>
        <item x="0"/>
        <item x="16"/>
        <item x="9"/>
        <item x="8"/>
        <item x="7"/>
        <item x="1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Final_amount" fld="9" baseField="0" baseItem="0"/>
  </dataFields>
  <chartFormats count="23">
    <chartFormat chart="9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4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4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4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9" format="4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9" format="44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9" format="45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9" format="46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9" format="47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9" format="48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9" format="49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9" format="50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9" format="5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9" format="52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9" format="53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9" format="54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9" format="55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7FD52-288B-4E9B-9F58-9B5504748829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O187:P197" firstHeaderRow="1" firstDataRow="1" firstDataCol="1"/>
  <pivotFields count="23">
    <pivotField showAll="0"/>
    <pivotField axis="axisRow" showAll="0" sortType="ascending">
      <items count="10">
        <item x="4"/>
        <item x="3"/>
        <item x="8"/>
        <item x="6"/>
        <item x="0"/>
        <item x="7"/>
        <item x="5"/>
        <item x="2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Final_amount" fld="9" baseField="0" baseItem="0"/>
  </dataFields>
  <chartFormats count="1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4D40C-8CF0-42F2-B8C6-F2571DA43423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B16:C21" firstHeaderRow="1" firstDataRow="1" firstDataCol="1"/>
  <pivotFields count="23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_amount" fld="9" baseField="0" baseItem="0"/>
  </dataFields>
  <chartFormats count="1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CC448-589E-4501-9464-3A83FC30BDB7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B2:C13" firstHeaderRow="1" firstDataRow="1" firstDataCol="1"/>
  <pivotFields count="23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showAll="0"/>
    <pivotField showAll="0"/>
    <pivotField axis="axisRow" showAll="0">
      <items count="11">
        <item x="2"/>
        <item x="4"/>
        <item x="9"/>
        <item x="0"/>
        <item x="3"/>
        <item x="5"/>
        <item x="7"/>
        <item x="6"/>
        <item x="1"/>
        <item x="8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Final_amount" fld="9" baseField="0" baseItem="0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46DEC-C002-4CBE-A0A7-56396AC74B56}" name="PivotTable9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L2:M692" firstHeaderRow="1" firstDataRow="1" firstDataCol="1"/>
  <pivotFields count="23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5"/>
  </rowFields>
  <rowItems count="6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 t="grand">
      <x/>
    </i>
  </rowItems>
  <colItems count="1">
    <i/>
  </colItems>
  <dataFields count="1">
    <dataField name="Sum of Final_amount" fld="9" baseField="0" baseItem="0"/>
  </dataFields>
  <chartFormats count="8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427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E5E8B-29CE-4C46-9EBB-AF33F054501F}" name="PivotTable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B29:C42" firstHeaderRow="1" firstDataRow="1" firstDataCol="1"/>
  <pivotFields count="23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>
      <items count="690">
        <item x="677"/>
        <item x="135"/>
        <item x="604"/>
        <item x="105"/>
        <item x="165"/>
        <item x="156"/>
        <item x="309"/>
        <item x="450"/>
        <item x="412"/>
        <item x="468"/>
        <item x="641"/>
        <item x="525"/>
        <item x="103"/>
        <item x="436"/>
        <item x="681"/>
        <item x="0"/>
        <item x="283"/>
        <item x="533"/>
        <item x="486"/>
        <item x="650"/>
        <item x="5"/>
        <item x="442"/>
        <item x="417"/>
        <item x="548"/>
        <item x="211"/>
        <item x="519"/>
        <item x="588"/>
        <item x="185"/>
        <item x="405"/>
        <item x="175"/>
        <item x="31"/>
        <item x="628"/>
        <item x="582"/>
        <item x="129"/>
        <item x="293"/>
        <item x="649"/>
        <item x="387"/>
        <item x="644"/>
        <item x="140"/>
        <item x="139"/>
        <item x="682"/>
        <item x="121"/>
        <item x="515"/>
        <item x="102"/>
        <item x="48"/>
        <item x="483"/>
        <item x="145"/>
        <item x="218"/>
        <item x="109"/>
        <item x="158"/>
        <item x="346"/>
        <item x="414"/>
        <item x="303"/>
        <item x="264"/>
        <item x="27"/>
        <item x="267"/>
        <item x="573"/>
        <item x="645"/>
        <item x="285"/>
        <item x="87"/>
        <item x="4"/>
        <item x="501"/>
        <item x="581"/>
        <item x="375"/>
        <item x="174"/>
        <item x="6"/>
        <item x="523"/>
        <item x="117"/>
        <item x="663"/>
        <item x="410"/>
        <item x="335"/>
        <item x="19"/>
        <item x="516"/>
        <item x="311"/>
        <item x="433"/>
        <item x="642"/>
        <item x="452"/>
        <item x="467"/>
        <item x="72"/>
        <item x="673"/>
        <item x="345"/>
        <item x="209"/>
        <item x="455"/>
        <item x="348"/>
        <item x="331"/>
        <item x="391"/>
        <item x="688"/>
        <item x="566"/>
        <item x="338"/>
        <item x="91"/>
        <item x="466"/>
        <item x="687"/>
        <item x="113"/>
        <item x="546"/>
        <item x="632"/>
        <item x="286"/>
        <item x="526"/>
        <item x="57"/>
        <item x="2"/>
        <item x="448"/>
        <item x="52"/>
        <item x="423"/>
        <item x="241"/>
        <item x="590"/>
        <item x="618"/>
        <item x="268"/>
        <item x="61"/>
        <item x="527"/>
        <item x="17"/>
        <item x="353"/>
        <item x="143"/>
        <item x="678"/>
        <item x="611"/>
        <item x="178"/>
        <item x="35"/>
        <item x="134"/>
        <item x="364"/>
        <item x="131"/>
        <item x="299"/>
        <item x="639"/>
        <item x="426"/>
        <item x="354"/>
        <item x="444"/>
        <item x="509"/>
        <item x="210"/>
        <item x="648"/>
        <item x="373"/>
        <item x="287"/>
        <item x="630"/>
        <item x="343"/>
        <item x="607"/>
        <item x="540"/>
        <item x="633"/>
        <item x="116"/>
        <item x="332"/>
        <item x="226"/>
        <item x="506"/>
        <item x="637"/>
        <item x="508"/>
        <item x="432"/>
        <item x="562"/>
        <item x="549"/>
        <item x="617"/>
        <item x="152"/>
        <item x="668"/>
        <item x="273"/>
        <item x="188"/>
        <item x="95"/>
        <item x="50"/>
        <item x="112"/>
        <item x="490"/>
        <item x="458"/>
        <item x="249"/>
        <item x="439"/>
        <item x="626"/>
        <item x="200"/>
        <item x="204"/>
        <item x="240"/>
        <item x="603"/>
        <item x="418"/>
        <item x="45"/>
        <item x="638"/>
        <item x="358"/>
        <item x="7"/>
        <item x="404"/>
        <item x="265"/>
        <item x="507"/>
        <item x="110"/>
        <item x="85"/>
        <item x="539"/>
        <item x="86"/>
        <item x="114"/>
        <item x="245"/>
        <item x="1"/>
        <item x="658"/>
        <item x="101"/>
        <item x="124"/>
        <item x="127"/>
        <item x="173"/>
        <item x="344"/>
        <item x="214"/>
        <item x="679"/>
        <item x="446"/>
        <item x="288"/>
        <item x="561"/>
        <item x="54"/>
        <item x="93"/>
        <item x="469"/>
        <item x="196"/>
        <item x="657"/>
        <item x="330"/>
        <item x="169"/>
        <item x="487"/>
        <item x="263"/>
        <item x="334"/>
        <item x="465"/>
        <item x="126"/>
        <item x="659"/>
        <item x="583"/>
        <item x="398"/>
        <item x="238"/>
        <item x="136"/>
        <item x="535"/>
        <item x="380"/>
        <item x="496"/>
        <item x="563"/>
        <item x="357"/>
        <item x="421"/>
        <item x="477"/>
        <item x="138"/>
        <item x="576"/>
        <item x="629"/>
        <item x="627"/>
        <item x="337"/>
        <item x="635"/>
        <item x="231"/>
        <item x="327"/>
        <item x="556"/>
        <item x="441"/>
        <item x="524"/>
        <item x="300"/>
        <item x="481"/>
        <item x="597"/>
        <item x="382"/>
        <item x="151"/>
        <item x="600"/>
        <item x="578"/>
        <item x="513"/>
        <item x="316"/>
        <item x="383"/>
        <item x="500"/>
        <item x="224"/>
        <item x="289"/>
        <item x="463"/>
        <item x="378"/>
        <item x="208"/>
        <item x="377"/>
        <item x="176"/>
        <item x="266"/>
        <item x="319"/>
        <item x="290"/>
        <item x="397"/>
        <item x="16"/>
        <item x="598"/>
        <item x="664"/>
        <item x="328"/>
        <item x="212"/>
        <item x="306"/>
        <item x="376"/>
        <item x="202"/>
        <item x="206"/>
        <item x="277"/>
        <item x="190"/>
        <item x="36"/>
        <item x="653"/>
        <item x="544"/>
        <item x="21"/>
        <item x="636"/>
        <item x="336"/>
        <item x="56"/>
        <item x="217"/>
        <item x="186"/>
        <item x="584"/>
        <item x="530"/>
        <item x="510"/>
        <item x="161"/>
        <item x="559"/>
        <item x="542"/>
        <item x="482"/>
        <item x="422"/>
        <item x="401"/>
        <item x="41"/>
        <item x="20"/>
        <item x="434"/>
        <item x="198"/>
        <item x="64"/>
        <item x="406"/>
        <item x="520"/>
        <item x="274"/>
        <item x="541"/>
        <item x="585"/>
        <item x="51"/>
        <item x="302"/>
        <item x="98"/>
        <item x="207"/>
        <item x="47"/>
        <item x="625"/>
        <item x="147"/>
        <item x="499"/>
        <item x="230"/>
        <item x="270"/>
        <item x="355"/>
        <item x="413"/>
        <item x="118"/>
        <item x="596"/>
        <item x="480"/>
        <item x="272"/>
        <item x="594"/>
        <item x="606"/>
        <item x="11"/>
        <item x="491"/>
        <item x="125"/>
        <item x="537"/>
        <item x="623"/>
        <item x="360"/>
        <item x="257"/>
        <item x="307"/>
        <item x="184"/>
        <item x="478"/>
        <item x="654"/>
        <item x="568"/>
        <item x="73"/>
        <item x="213"/>
        <item x="552"/>
        <item x="99"/>
        <item x="365"/>
        <item x="342"/>
        <item x="234"/>
        <item x="128"/>
        <item x="459"/>
        <item x="258"/>
        <item x="12"/>
        <item x="260"/>
        <item x="100"/>
        <item x="472"/>
        <item x="34"/>
        <item x="243"/>
        <item x="254"/>
        <item x="154"/>
        <item x="428"/>
        <item x="498"/>
        <item x="386"/>
        <item x="685"/>
        <item x="251"/>
        <item x="233"/>
        <item x="579"/>
        <item x="447"/>
        <item x="341"/>
        <item x="291"/>
        <item x="396"/>
        <item x="296"/>
        <item x="593"/>
        <item x="242"/>
        <item x="276"/>
        <item x="613"/>
        <item x="634"/>
        <item x="575"/>
        <item x="262"/>
        <item x="132"/>
        <item x="672"/>
        <item x="83"/>
        <item x="476"/>
        <item x="652"/>
        <item x="58"/>
        <item x="407"/>
        <item x="554"/>
        <item x="427"/>
        <item x="394"/>
        <item x="75"/>
        <item x="514"/>
        <item x="142"/>
        <item x="518"/>
        <item x="172"/>
        <item x="222"/>
        <item x="76"/>
        <item x="395"/>
        <item x="671"/>
        <item x="235"/>
        <item x="471"/>
        <item x="577"/>
        <item x="550"/>
        <item x="323"/>
        <item x="388"/>
        <item x="589"/>
        <item x="666"/>
        <item x="503"/>
        <item x="609"/>
        <item x="470"/>
        <item x="495"/>
        <item x="66"/>
        <item x="560"/>
        <item x="424"/>
        <item x="592"/>
        <item x="40"/>
        <item x="605"/>
        <item x="25"/>
        <item x="622"/>
        <item x="80"/>
        <item x="367"/>
        <item x="620"/>
        <item x="271"/>
        <item x="361"/>
        <item x="181"/>
        <item x="674"/>
        <item x="389"/>
        <item x="92"/>
        <item x="179"/>
        <item x="67"/>
        <item x="225"/>
        <item x="322"/>
        <item x="252"/>
        <item x="587"/>
        <item x="256"/>
        <item x="9"/>
        <item x="631"/>
        <item x="647"/>
        <item x="297"/>
        <item x="425"/>
        <item x="558"/>
        <item x="608"/>
        <item x="318"/>
        <item x="680"/>
        <item x="403"/>
        <item x="340"/>
        <item x="435"/>
        <item x="301"/>
        <item x="29"/>
        <item x="149"/>
        <item x="512"/>
        <item x="684"/>
        <item x="183"/>
        <item x="141"/>
        <item x="451"/>
        <item x="462"/>
        <item x="430"/>
        <item x="104"/>
        <item x="408"/>
        <item x="284"/>
        <item x="591"/>
        <item x="65"/>
        <item x="63"/>
        <item x="368"/>
        <item x="82"/>
        <item x="8"/>
        <item x="22"/>
        <item x="170"/>
        <item x="349"/>
        <item x="438"/>
        <item x="39"/>
        <item x="669"/>
        <item x="164"/>
        <item x="511"/>
        <item x="229"/>
        <item x="640"/>
        <item x="574"/>
        <item x="150"/>
        <item x="157"/>
        <item x="282"/>
        <item x="219"/>
        <item x="352"/>
        <item x="416"/>
        <item x="440"/>
        <item x="595"/>
        <item x="392"/>
        <item x="547"/>
        <item x="505"/>
        <item x="374"/>
        <item x="177"/>
        <item x="339"/>
        <item x="431"/>
        <item x="572"/>
        <item x="461"/>
        <item x="474"/>
        <item x="646"/>
        <item x="325"/>
        <item x="308"/>
        <item x="362"/>
        <item x="415"/>
        <item x="313"/>
        <item x="371"/>
        <item x="643"/>
        <item x="457"/>
        <item x="246"/>
        <item x="385"/>
        <item x="237"/>
        <item x="205"/>
        <item x="555"/>
        <item x="494"/>
        <item x="220"/>
        <item x="227"/>
        <item x="223"/>
        <item x="189"/>
        <item x="111"/>
        <item x="37"/>
        <item x="153"/>
        <item x="239"/>
        <item x="120"/>
        <item x="146"/>
        <item x="3"/>
        <item x="228"/>
        <item x="521"/>
        <item x="68"/>
        <item x="69"/>
        <item x="621"/>
        <item x="43"/>
        <item x="612"/>
        <item x="216"/>
        <item x="356"/>
        <item x="324"/>
        <item x="326"/>
        <item x="379"/>
        <item x="419"/>
        <item x="536"/>
        <item x="137"/>
        <item x="15"/>
        <item x="366"/>
        <item x="662"/>
        <item x="38"/>
        <item x="163"/>
        <item x="30"/>
        <item x="269"/>
        <item x="106"/>
        <item x="215"/>
        <item x="393"/>
        <item x="531"/>
        <item x="97"/>
        <item x="517"/>
        <item x="661"/>
        <item x="10"/>
        <item x="171"/>
        <item x="538"/>
        <item x="221"/>
        <item x="74"/>
        <item x="619"/>
        <item x="280"/>
        <item x="656"/>
        <item x="473"/>
        <item x="122"/>
        <item x="24"/>
        <item x="610"/>
        <item x="443"/>
        <item x="312"/>
        <item x="370"/>
        <item x="675"/>
        <item x="193"/>
        <item x="333"/>
        <item x="655"/>
        <item x="489"/>
        <item x="168"/>
        <item x="259"/>
        <item x="53"/>
        <item x="329"/>
        <item x="543"/>
        <item x="292"/>
        <item x="676"/>
        <item x="70"/>
        <item x="528"/>
        <item x="278"/>
        <item x="96"/>
        <item x="59"/>
        <item x="615"/>
        <item x="14"/>
        <item x="89"/>
        <item x="616"/>
        <item x="79"/>
        <item x="18"/>
        <item x="90"/>
        <item x="298"/>
        <item x="71"/>
        <item x="564"/>
        <item x="599"/>
        <item x="545"/>
        <item x="32"/>
        <item x="314"/>
        <item x="350"/>
        <item x="492"/>
        <item x="248"/>
        <item x="504"/>
        <item x="294"/>
        <item x="194"/>
        <item x="651"/>
        <item x="665"/>
        <item x="232"/>
        <item x="197"/>
        <item x="464"/>
        <item x="522"/>
        <item x="534"/>
        <item x="62"/>
        <item x="236"/>
        <item x="586"/>
        <item x="305"/>
        <item x="320"/>
        <item x="551"/>
        <item x="123"/>
        <item x="255"/>
        <item x="195"/>
        <item x="250"/>
        <item x="46"/>
        <item x="23"/>
        <item x="115"/>
        <item x="13"/>
        <item x="667"/>
        <item x="347"/>
        <item x="381"/>
        <item x="670"/>
        <item x="88"/>
        <item x="201"/>
        <item x="601"/>
        <item x="660"/>
        <item x="203"/>
        <item x="310"/>
        <item x="565"/>
        <item x="384"/>
        <item x="315"/>
        <item x="363"/>
        <item x="602"/>
        <item x="28"/>
        <item x="317"/>
        <item x="437"/>
        <item x="162"/>
        <item x="182"/>
        <item x="130"/>
        <item x="399"/>
        <item x="295"/>
        <item x="261"/>
        <item x="78"/>
        <item x="44"/>
        <item x="502"/>
        <item x="449"/>
        <item x="571"/>
        <item x="475"/>
        <item x="557"/>
        <item x="304"/>
        <item x="144"/>
        <item x="279"/>
        <item x="686"/>
        <item x="460"/>
        <item x="275"/>
        <item x="199"/>
        <item x="108"/>
        <item x="60"/>
        <item x="497"/>
        <item x="119"/>
        <item x="192"/>
        <item x="400"/>
        <item x="33"/>
        <item x="485"/>
        <item x="402"/>
        <item x="77"/>
        <item x="94"/>
        <item x="484"/>
        <item x="409"/>
        <item x="445"/>
        <item x="567"/>
        <item x="84"/>
        <item x="321"/>
        <item x="160"/>
        <item x="180"/>
        <item x="493"/>
        <item x="456"/>
        <item x="244"/>
        <item x="479"/>
        <item x="369"/>
        <item x="148"/>
        <item x="247"/>
        <item x="553"/>
        <item x="570"/>
        <item x="683"/>
        <item x="55"/>
        <item x="187"/>
        <item x="429"/>
        <item x="133"/>
        <item x="420"/>
        <item x="529"/>
        <item x="107"/>
        <item x="351"/>
        <item x="454"/>
        <item x="411"/>
        <item x="614"/>
        <item x="49"/>
        <item x="453"/>
        <item x="372"/>
        <item x="253"/>
        <item x="81"/>
        <item x="281"/>
        <item x="488"/>
        <item x="26"/>
        <item x="359"/>
        <item x="42"/>
        <item x="191"/>
        <item x="390"/>
        <item x="155"/>
        <item x="532"/>
        <item x="166"/>
        <item x="159"/>
        <item x="580"/>
        <item x="569"/>
        <item x="624"/>
        <item x="167"/>
        <item t="default"/>
      </items>
    </pivotField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2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Final_amount" fld="9" baseField="0" baseItem="0"/>
  </dataFields>
  <chartFormats count="3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17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0A8C57-DBDA-4487-B18F-2A0D804267F6}" name="Table1" displayName="Table1" ref="A1:P1981" totalsRowShown="0" headerRowDxfId="5">
  <autoFilter ref="A1:P1981" xr:uid="{410A8C57-DBDA-4487-B18F-2A0D804267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F0FD98CE-015F-4049-9486-AD759D314056}" name="Customer_id"/>
    <tableColumn id="2" xr3:uid="{4CB776E1-1E11-4A41-A517-8BEE67AFE27D}" name="Store_name"/>
    <tableColumn id="3" xr3:uid="{E8418C94-36DB-4CC8-A981-254C1DBA3E1C}" name="_date" dataDxfId="4" totalsRowDxfId="3"/>
    <tableColumn id="4" xr3:uid="{12BFE2BC-0B7D-4003-BACC-8800AD5A74A3}" name="Product_category"/>
    <tableColumn id="5" xr3:uid="{128F2556-5B8A-4C36-AF9A-1669C5A97D37}" name="Product_name"/>
    <tableColumn id="6" xr3:uid="{80C171E4-BC5E-485C-BB6A-EDE750CCBE0E}" name="Quantity"/>
    <tableColumn id="7" xr3:uid="{D1FB4A56-C023-4282-8EA7-34011E955E1E}" name="Unit_price"/>
    <tableColumn id="8" xr3:uid="{7C5053B3-562F-4484-AF88-30EEC83961B5}" name="Total_amount"/>
    <tableColumn id="9" xr3:uid="{E7D5977B-7B72-4EA3-85C6-4275A77B8AE5}" name="Discount_amount"/>
    <tableColumn id="10" xr3:uid="{F853FDA5-86E8-4DDC-A4CE-D8B434977F5E}" name="Final_amount"/>
    <tableColumn id="11" xr3:uid="{A70F1898-43D1-4DCD-9E7F-BAB5DCD3B003}" name="Loyalty_points"/>
    <tableColumn id="12" xr3:uid="{9B697081-956A-4B70-966F-F9AD6FDA6571}" name="time" dataDxfId="2"/>
    <tableColumn id="14" xr3:uid="{81CE594F-6AF5-4E5D-80DA-A219507C0D13}" name="day">
      <calculatedColumnFormula>DAY(C2)</calculatedColumnFormula>
    </tableColumn>
    <tableColumn id="15" xr3:uid="{D0257298-4905-44AF-BF07-0104B5BE0122}" name="month ">
      <calculatedColumnFormula>MONTH(C2)</calculatedColumnFormula>
    </tableColumn>
    <tableColumn id="16" xr3:uid="{AFBA18E1-5F47-4B7E-A5E4-60C3F61F4901}" name="year">
      <calculatedColumnFormula>YEAR(C2)</calculatedColumnFormula>
    </tableColumn>
    <tableColumn id="17" xr3:uid="{6A12D944-EDF8-413A-997D-105A7156CBF6}" name="Transaction_date" dataDxfId="1" totalsRowDxfId="0">
      <calculatedColumnFormula>DATE(O2,N2,M2)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19.xml"/><Relationship Id="rId7" Type="http://schemas.openxmlformats.org/officeDocument/2006/relationships/pivotTable" Target="../pivotTables/pivotTable23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5" Type="http://schemas.openxmlformats.org/officeDocument/2006/relationships/pivotTable" Target="../pivotTables/pivotTable21.xml"/><Relationship Id="rId4" Type="http://schemas.openxmlformats.org/officeDocument/2006/relationships/pivotTable" Target="../pivotTables/pivotTable2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981"/>
  <sheetViews>
    <sheetView topLeftCell="H1" zoomScale="81" workbookViewId="0">
      <pane ySplit="1" topLeftCell="A198" activePane="bottomLeft" state="frozen"/>
      <selection pane="bottomLeft" activeCell="BH18" sqref="BH18"/>
    </sheetView>
  </sheetViews>
  <sheetFormatPr defaultRowHeight="14.5" x14ac:dyDescent="0.35"/>
  <cols>
    <col min="1" max="1" width="17" customWidth="1"/>
    <col min="2" max="2" width="20" customWidth="1"/>
    <col min="3" max="3" width="25.6328125" style="2" hidden="1" customWidth="1"/>
    <col min="4" max="4" width="17.6328125" customWidth="1"/>
    <col min="5" max="5" width="15.1796875" customWidth="1"/>
    <col min="6" max="6" width="11.36328125" customWidth="1"/>
    <col min="7" max="7" width="13.7265625" customWidth="1"/>
    <col min="8" max="8" width="19" customWidth="1"/>
    <col min="9" max="9" width="19.26953125" customWidth="1"/>
    <col min="10" max="10" width="14.36328125" customWidth="1"/>
    <col min="11" max="11" width="15" customWidth="1"/>
    <col min="12" max="12" width="17.453125" style="11" customWidth="1"/>
    <col min="13" max="14" width="8.7265625" hidden="1" customWidth="1"/>
    <col min="15" max="15" width="14.6328125" hidden="1" customWidth="1"/>
    <col min="16" max="16" width="18.08984375" style="2" customWidth="1"/>
    <col min="17" max="17" width="14.453125" customWidth="1"/>
    <col min="18" max="18" width="9.08984375" customWidth="1"/>
    <col min="19" max="19" width="12" customWidth="1"/>
    <col min="20" max="20" width="19.26953125" bestFit="1" customWidth="1"/>
    <col min="21" max="21" width="18.81640625" style="11" bestFit="1" customWidth="1"/>
    <col min="22" max="22" width="16.08984375" bestFit="1" customWidth="1"/>
    <col min="23" max="23" width="16.1796875" bestFit="1" customWidth="1"/>
    <col min="24" max="24" width="23.36328125" customWidth="1"/>
    <col min="25" max="25" width="27.26953125" customWidth="1"/>
    <col min="26" max="26" width="13.1796875" bestFit="1" customWidth="1"/>
    <col min="27" max="27" width="23.08984375" customWidth="1"/>
    <col min="29" max="29" width="13.1796875" bestFit="1" customWidth="1"/>
    <col min="30" max="30" width="19.36328125" bestFit="1" customWidth="1"/>
    <col min="32" max="32" width="13.1796875" bestFit="1" customWidth="1"/>
    <col min="33" max="33" width="19.36328125" bestFit="1" customWidth="1"/>
    <col min="35" max="35" width="19.26953125" bestFit="1" customWidth="1"/>
    <col min="36" max="36" width="19.36328125" bestFit="1" customWidth="1"/>
    <col min="38" max="38" width="16.08984375" bestFit="1" customWidth="1"/>
    <col min="39" max="39" width="19.36328125" bestFit="1" customWidth="1"/>
    <col min="41" max="41" width="19.36328125" bestFit="1" customWidth="1"/>
    <col min="42" max="42" width="16.26953125" bestFit="1" customWidth="1"/>
    <col min="43" max="44" width="11.08984375" bestFit="1" customWidth="1"/>
    <col min="46" max="46" width="19.36328125" bestFit="1" customWidth="1"/>
    <col min="47" max="47" width="16.26953125" bestFit="1" customWidth="1"/>
    <col min="48" max="49" width="11.08984375" bestFit="1" customWidth="1"/>
    <col min="51" max="51" width="19.36328125" bestFit="1" customWidth="1"/>
    <col min="52" max="52" width="16.26953125" bestFit="1" customWidth="1"/>
    <col min="53" max="54" width="11.08984375" bestFit="1" customWidth="1"/>
    <col min="56" max="56" width="19.26953125" bestFit="1" customWidth="1"/>
    <col min="57" max="57" width="19.7265625" bestFit="1" customWidth="1"/>
    <col min="58" max="58" width="23" bestFit="1" customWidth="1"/>
    <col min="59" max="59" width="19.36328125" bestFit="1" customWidth="1"/>
    <col min="61" max="62" width="19.36328125" bestFit="1" customWidth="1"/>
    <col min="64" max="64" width="12.36328125" bestFit="1" customWidth="1"/>
    <col min="65" max="65" width="13.1796875" bestFit="1" customWidth="1"/>
    <col min="66" max="66" width="19.36328125" bestFit="1" customWidth="1"/>
    <col min="67" max="67" width="12.36328125" bestFit="1" customWidth="1"/>
  </cols>
  <sheetData>
    <row r="1" spans="1:66" x14ac:dyDescent="0.35">
      <c r="A1" s="5" t="s">
        <v>1114</v>
      </c>
      <c r="B1" s="5" t="s">
        <v>1115</v>
      </c>
      <c r="C1" s="6" t="s">
        <v>1126</v>
      </c>
      <c r="D1" s="17" t="s">
        <v>1116</v>
      </c>
      <c r="E1" s="5" t="s">
        <v>1117</v>
      </c>
      <c r="F1" s="5" t="s">
        <v>1118</v>
      </c>
      <c r="G1" s="5" t="s">
        <v>1119</v>
      </c>
      <c r="H1" s="5" t="s">
        <v>1120</v>
      </c>
      <c r="I1" s="5" t="s">
        <v>1121</v>
      </c>
      <c r="J1" s="5" t="s">
        <v>1122</v>
      </c>
      <c r="K1" s="5" t="s">
        <v>1123</v>
      </c>
      <c r="L1" s="12" t="s">
        <v>1154</v>
      </c>
      <c r="M1" s="3" t="s">
        <v>1111</v>
      </c>
      <c r="N1" s="3" t="s">
        <v>1112</v>
      </c>
      <c r="O1" s="3" t="s">
        <v>1113</v>
      </c>
      <c r="P1" s="9" t="s">
        <v>1125</v>
      </c>
      <c r="Q1" s="8" t="s">
        <v>1131</v>
      </c>
      <c r="R1" s="8" t="s">
        <v>1132</v>
      </c>
      <c r="S1" s="8" t="s">
        <v>1133</v>
      </c>
      <c r="T1" s="8" t="s">
        <v>1140</v>
      </c>
      <c r="U1" s="10" t="s">
        <v>1124</v>
      </c>
    </row>
    <row r="2" spans="1:66" ht="15.5" x14ac:dyDescent="0.35">
      <c r="A2">
        <v>2824</v>
      </c>
      <c r="B2" t="s">
        <v>0</v>
      </c>
      <c r="C2" s="1">
        <v>45164</v>
      </c>
      <c r="D2" t="s">
        <v>1</v>
      </c>
      <c r="E2" t="s">
        <v>2</v>
      </c>
      <c r="F2">
        <v>2</v>
      </c>
      <c r="G2">
        <v>619.17999999999995</v>
      </c>
      <c r="H2">
        <v>1238.3599999999999</v>
      </c>
      <c r="I2">
        <v>0</v>
      </c>
      <c r="J2">
        <v>1238.3599999999999</v>
      </c>
      <c r="K2">
        <v>377</v>
      </c>
      <c r="L2" s="11">
        <v>0.1895138888888889</v>
      </c>
      <c r="M2">
        <f t="shared" ref="M2:M65" si="0">DAY(C2)</f>
        <v>26</v>
      </c>
      <c r="N2">
        <f t="shared" ref="N2:N65" si="1">MONTH(C2)</f>
        <v>8</v>
      </c>
      <c r="O2">
        <f t="shared" ref="O2:O65" si="2">YEAR(C2)</f>
        <v>2023</v>
      </c>
      <c r="P2" s="4">
        <f>DATE(O2,N2,M2)</f>
        <v>45164</v>
      </c>
      <c r="Q2" t="s">
        <v>1134</v>
      </c>
      <c r="R2" t="s">
        <v>1135</v>
      </c>
      <c r="S2">
        <v>5</v>
      </c>
      <c r="T2" t="s">
        <v>1141</v>
      </c>
      <c r="U2" s="11" t="str">
        <f>TEXT(L2,"hh:mm:ss AM/PM")</f>
        <v>04:32:54 AM</v>
      </c>
      <c r="X2" s="14"/>
    </row>
    <row r="3" spans="1:66" ht="15.5" x14ac:dyDescent="0.35">
      <c r="A3">
        <v>5506</v>
      </c>
      <c r="B3" t="s">
        <v>3</v>
      </c>
      <c r="C3" s="1">
        <v>45335</v>
      </c>
      <c r="D3" t="s">
        <v>4</v>
      </c>
      <c r="E3" t="s">
        <v>5</v>
      </c>
      <c r="F3">
        <v>1</v>
      </c>
      <c r="G3">
        <v>153.55000000000001</v>
      </c>
      <c r="H3">
        <v>153.55000000000001</v>
      </c>
      <c r="I3">
        <v>283.02999999999997</v>
      </c>
      <c r="J3">
        <v>-129.47999999999999</v>
      </c>
      <c r="K3">
        <v>111</v>
      </c>
      <c r="L3" s="11">
        <v>0.53739583333333329</v>
      </c>
      <c r="M3">
        <f t="shared" si="0"/>
        <v>13</v>
      </c>
      <c r="N3">
        <f t="shared" si="1"/>
        <v>2</v>
      </c>
      <c r="O3">
        <f t="shared" si="2"/>
        <v>2024</v>
      </c>
      <c r="P3" s="4">
        <f t="shared" ref="P3:P66" si="3">DATE(O3,N3,M3)</f>
        <v>45335</v>
      </c>
      <c r="Q3" t="s">
        <v>1136</v>
      </c>
      <c r="R3" t="s">
        <v>1137</v>
      </c>
      <c r="S3">
        <v>4</v>
      </c>
      <c r="T3" t="s">
        <v>1142</v>
      </c>
      <c r="U3" s="11" t="str">
        <f t="shared" ref="U3:U66" si="4">TEXT(L3,"hh:mm:ss AM/PM")</f>
        <v>12:53:51 PM</v>
      </c>
      <c r="V3" s="7" t="s">
        <v>1115</v>
      </c>
      <c r="W3" t="s">
        <v>1152</v>
      </c>
      <c r="X3" s="14"/>
    </row>
    <row r="4" spans="1:66" ht="15.5" x14ac:dyDescent="0.35">
      <c r="A4">
        <v>4657</v>
      </c>
      <c r="B4" t="s">
        <v>3</v>
      </c>
      <c r="C4" s="1">
        <v>45253</v>
      </c>
      <c r="D4" t="s">
        <v>6</v>
      </c>
      <c r="E4" t="s">
        <v>7</v>
      </c>
      <c r="F4">
        <v>4</v>
      </c>
      <c r="G4">
        <v>612.54</v>
      </c>
      <c r="H4">
        <v>2450.16</v>
      </c>
      <c r="I4">
        <v>335.32</v>
      </c>
      <c r="J4">
        <v>2114.84</v>
      </c>
      <c r="K4">
        <v>301</v>
      </c>
      <c r="L4" s="11">
        <v>0.82803240740740736</v>
      </c>
      <c r="M4">
        <f t="shared" si="0"/>
        <v>23</v>
      </c>
      <c r="N4">
        <f t="shared" si="1"/>
        <v>11</v>
      </c>
      <c r="O4">
        <f t="shared" si="2"/>
        <v>2023</v>
      </c>
      <c r="P4" s="4">
        <f t="shared" si="3"/>
        <v>45253</v>
      </c>
      <c r="Q4" t="s">
        <v>1138</v>
      </c>
      <c r="R4" t="s">
        <v>1137</v>
      </c>
      <c r="S4">
        <v>1</v>
      </c>
      <c r="T4" t="s">
        <v>1143</v>
      </c>
      <c r="U4" s="11" t="str">
        <f t="shared" si="4"/>
        <v>07:52:22 PM</v>
      </c>
      <c r="V4" s="2" t="s">
        <v>15</v>
      </c>
      <c r="W4" s="25">
        <v>3.0550847457627119</v>
      </c>
      <c r="X4" s="14"/>
      <c r="AC4" s="7" t="s">
        <v>1127</v>
      </c>
      <c r="AD4" t="s">
        <v>1129</v>
      </c>
      <c r="AF4" s="7" t="s">
        <v>1127</v>
      </c>
      <c r="AG4" t="s">
        <v>1129</v>
      </c>
      <c r="AI4" s="7" t="s">
        <v>1127</v>
      </c>
      <c r="AJ4" t="s">
        <v>1129</v>
      </c>
      <c r="AL4" s="7" t="s">
        <v>1127</v>
      </c>
      <c r="AM4" t="s">
        <v>1129</v>
      </c>
      <c r="AO4" s="7" t="s">
        <v>1129</v>
      </c>
      <c r="AP4" s="7" t="s">
        <v>1151</v>
      </c>
      <c r="AT4" s="7" t="s">
        <v>1129</v>
      </c>
      <c r="AU4" s="7" t="s">
        <v>1151</v>
      </c>
      <c r="AY4" s="7" t="s">
        <v>1129</v>
      </c>
      <c r="AZ4" s="7" t="s">
        <v>1151</v>
      </c>
      <c r="BD4" s="7" t="s">
        <v>1127</v>
      </c>
      <c r="BE4" t="s">
        <v>1153</v>
      </c>
      <c r="BF4" t="s">
        <v>1130</v>
      </c>
      <c r="BG4" t="s">
        <v>1129</v>
      </c>
      <c r="BL4" s="7" t="s">
        <v>1127</v>
      </c>
    </row>
    <row r="5" spans="1:66" ht="15.5" x14ac:dyDescent="0.35">
      <c r="A5">
        <v>2679</v>
      </c>
      <c r="B5" t="s">
        <v>8</v>
      </c>
      <c r="C5" s="1">
        <v>45670</v>
      </c>
      <c r="D5" t="s">
        <v>9</v>
      </c>
      <c r="E5" t="s">
        <v>10</v>
      </c>
      <c r="F5">
        <v>3</v>
      </c>
      <c r="G5">
        <v>456.5</v>
      </c>
      <c r="H5">
        <v>1369.5</v>
      </c>
      <c r="I5">
        <v>113.71</v>
      </c>
      <c r="J5">
        <v>1255.79</v>
      </c>
      <c r="K5">
        <v>490</v>
      </c>
      <c r="L5" s="11">
        <v>0.48587962962962961</v>
      </c>
      <c r="M5">
        <f t="shared" si="0"/>
        <v>13</v>
      </c>
      <c r="N5">
        <f t="shared" si="1"/>
        <v>1</v>
      </c>
      <c r="O5">
        <f t="shared" si="2"/>
        <v>2025</v>
      </c>
      <c r="P5" s="4">
        <f t="shared" si="3"/>
        <v>45670</v>
      </c>
      <c r="Q5" t="s">
        <v>1134</v>
      </c>
      <c r="R5" t="s">
        <v>1135</v>
      </c>
      <c r="S5">
        <v>5</v>
      </c>
      <c r="T5" t="s">
        <v>1144</v>
      </c>
      <c r="U5" s="11" t="str">
        <f t="shared" si="4"/>
        <v>11:39:40 AM</v>
      </c>
      <c r="V5" s="2" t="s">
        <v>13</v>
      </c>
      <c r="W5" s="25">
        <v>3.0134529147982061</v>
      </c>
      <c r="X5" s="14"/>
      <c r="AC5" s="4">
        <v>45145</v>
      </c>
      <c r="AD5" s="25">
        <v>3363.16</v>
      </c>
      <c r="AF5" s="2" t="s">
        <v>1138</v>
      </c>
      <c r="AG5" s="25">
        <v>1811966.3599999989</v>
      </c>
      <c r="AI5" s="2" t="s">
        <v>15</v>
      </c>
      <c r="AJ5" s="25">
        <v>813278.82000000041</v>
      </c>
      <c r="AL5" s="2" t="s">
        <v>6</v>
      </c>
      <c r="AM5" s="25">
        <v>627583.75</v>
      </c>
      <c r="AO5" s="7" t="s">
        <v>1127</v>
      </c>
      <c r="AP5" t="s">
        <v>1137</v>
      </c>
      <c r="AQ5" t="s">
        <v>1135</v>
      </c>
      <c r="AR5" t="s">
        <v>1128</v>
      </c>
      <c r="AT5" s="7" t="s">
        <v>1127</v>
      </c>
      <c r="AU5" t="s">
        <v>1137</v>
      </c>
      <c r="AV5" t="s">
        <v>1135</v>
      </c>
      <c r="AW5" t="s">
        <v>1128</v>
      </c>
      <c r="AY5" s="7" t="s">
        <v>1127</v>
      </c>
      <c r="AZ5" t="s">
        <v>1137</v>
      </c>
      <c r="BA5" t="s">
        <v>1135</v>
      </c>
      <c r="BB5" t="s">
        <v>1128</v>
      </c>
      <c r="BD5" s="2" t="s">
        <v>15</v>
      </c>
      <c r="BE5" s="25">
        <v>904530.67999999959</v>
      </c>
      <c r="BF5" s="25">
        <v>91251.86</v>
      </c>
      <c r="BG5" s="25">
        <v>813278.82000000041</v>
      </c>
      <c r="BL5" s="2" t="s">
        <v>1155</v>
      </c>
    </row>
    <row r="6" spans="1:66" ht="15.5" x14ac:dyDescent="0.35">
      <c r="A6">
        <v>9935</v>
      </c>
      <c r="B6" t="s">
        <v>0</v>
      </c>
      <c r="C6" s="1">
        <v>45212</v>
      </c>
      <c r="D6" t="s">
        <v>11</v>
      </c>
      <c r="E6" t="s">
        <v>12</v>
      </c>
      <c r="F6">
        <v>5</v>
      </c>
      <c r="G6">
        <v>718.78</v>
      </c>
      <c r="H6">
        <v>3593.9</v>
      </c>
      <c r="I6">
        <v>124.5</v>
      </c>
      <c r="J6">
        <v>3469.4</v>
      </c>
      <c r="K6">
        <v>22</v>
      </c>
      <c r="L6" s="11">
        <v>6.3888888888888893E-3</v>
      </c>
      <c r="M6">
        <f t="shared" si="0"/>
        <v>13</v>
      </c>
      <c r="N6">
        <f t="shared" si="1"/>
        <v>10</v>
      </c>
      <c r="O6">
        <f t="shared" si="2"/>
        <v>2023</v>
      </c>
      <c r="P6" s="4">
        <f t="shared" si="3"/>
        <v>45212</v>
      </c>
      <c r="Q6" t="s">
        <v>1134</v>
      </c>
      <c r="R6" t="s">
        <v>1137</v>
      </c>
      <c r="S6">
        <v>2</v>
      </c>
      <c r="T6" t="s">
        <v>1144</v>
      </c>
      <c r="U6" s="11" t="str">
        <f t="shared" si="4"/>
        <v>12:09:12 AM</v>
      </c>
      <c r="V6" s="2" t="s">
        <v>31</v>
      </c>
      <c r="W6" s="25">
        <v>3.0232558139534884</v>
      </c>
      <c r="X6" s="14"/>
      <c r="AC6" s="4">
        <v>45146</v>
      </c>
      <c r="AD6" s="25">
        <v>18971.310000000001</v>
      </c>
      <c r="AF6" s="2" t="s">
        <v>1139</v>
      </c>
      <c r="AG6" s="25">
        <v>1682204.1599999997</v>
      </c>
      <c r="AI6" s="2" t="s">
        <v>13</v>
      </c>
      <c r="AJ6" s="25">
        <v>778842.11999999965</v>
      </c>
      <c r="AL6" s="2" t="s">
        <v>34</v>
      </c>
      <c r="AM6" s="25">
        <v>649080.74999999988</v>
      </c>
      <c r="AO6" s="2" t="s">
        <v>18</v>
      </c>
      <c r="AP6" s="25">
        <v>151285.75999999998</v>
      </c>
      <c r="AQ6" s="25">
        <v>226832.36</v>
      </c>
      <c r="AR6" s="25">
        <v>378118.12</v>
      </c>
      <c r="AT6" s="2" t="s">
        <v>6</v>
      </c>
      <c r="AU6" s="25">
        <v>367260.06</v>
      </c>
      <c r="AV6" s="25">
        <v>260323.68999999997</v>
      </c>
      <c r="AW6" s="25">
        <v>627583.75</v>
      </c>
      <c r="AY6" s="2" t="s">
        <v>15</v>
      </c>
      <c r="AZ6" s="25">
        <v>331973.43999999994</v>
      </c>
      <c r="BA6" s="25">
        <v>481305.38</v>
      </c>
      <c r="BB6" s="25">
        <v>813278.82</v>
      </c>
      <c r="BD6" s="2" t="s">
        <v>13</v>
      </c>
      <c r="BE6" s="25">
        <v>859841.81999999948</v>
      </c>
      <c r="BF6" s="25">
        <v>80999.700000000012</v>
      </c>
      <c r="BG6" s="25">
        <v>778842.11999999965</v>
      </c>
      <c r="BL6" s="2" t="s">
        <v>1156</v>
      </c>
    </row>
    <row r="7" spans="1:66" ht="15.5" x14ac:dyDescent="0.35">
      <c r="A7">
        <v>7912</v>
      </c>
      <c r="B7" t="s">
        <v>13</v>
      </c>
      <c r="C7" s="1">
        <v>45169</v>
      </c>
      <c r="D7" t="s">
        <v>4</v>
      </c>
      <c r="E7" t="s">
        <v>7</v>
      </c>
      <c r="F7">
        <v>3</v>
      </c>
      <c r="G7">
        <v>2078.3200000000002</v>
      </c>
      <c r="H7">
        <v>6234.96</v>
      </c>
      <c r="I7">
        <v>146.91</v>
      </c>
      <c r="J7">
        <v>6088.05</v>
      </c>
      <c r="K7">
        <v>316</v>
      </c>
      <c r="L7" s="11">
        <v>0.40127314814814813</v>
      </c>
      <c r="M7">
        <f t="shared" si="0"/>
        <v>31</v>
      </c>
      <c r="N7">
        <f t="shared" si="1"/>
        <v>8</v>
      </c>
      <c r="O7">
        <f t="shared" si="2"/>
        <v>2023</v>
      </c>
      <c r="P7" s="4">
        <f t="shared" si="3"/>
        <v>45169</v>
      </c>
      <c r="Q7" t="s">
        <v>1136</v>
      </c>
      <c r="R7" t="s">
        <v>1137</v>
      </c>
      <c r="S7">
        <v>5</v>
      </c>
      <c r="T7" t="s">
        <v>1145</v>
      </c>
      <c r="U7" s="11" t="str">
        <f t="shared" si="4"/>
        <v>09:37:50 AM</v>
      </c>
      <c r="V7" s="2" t="s">
        <v>20</v>
      </c>
      <c r="W7" s="25">
        <v>3.0101010101010099</v>
      </c>
      <c r="X7" s="14"/>
      <c r="AC7" s="4">
        <v>45149</v>
      </c>
      <c r="AD7" s="25">
        <v>7967.17</v>
      </c>
      <c r="AF7" s="2" t="s">
        <v>1134</v>
      </c>
      <c r="AG7" s="25">
        <v>1650143.7499999986</v>
      </c>
      <c r="AI7" s="2" t="s">
        <v>31</v>
      </c>
      <c r="AJ7" s="25">
        <v>640717.67000000016</v>
      </c>
      <c r="AL7" s="2" t="s">
        <v>11</v>
      </c>
      <c r="AM7" s="25">
        <v>667866.1399999999</v>
      </c>
      <c r="AO7" s="2" t="s">
        <v>28</v>
      </c>
      <c r="AP7" s="25">
        <v>270985.86999999994</v>
      </c>
      <c r="AQ7" s="25">
        <v>120007.20999999998</v>
      </c>
      <c r="AR7" s="25">
        <v>390993.0799999999</v>
      </c>
      <c r="AT7" s="2" t="s">
        <v>34</v>
      </c>
      <c r="AU7" s="25">
        <v>309741.88999999996</v>
      </c>
      <c r="AV7" s="25">
        <v>339338.85999999993</v>
      </c>
      <c r="AW7" s="25">
        <v>649080.74999999988</v>
      </c>
      <c r="AY7" s="2" t="s">
        <v>13</v>
      </c>
      <c r="AZ7" s="25">
        <v>388025.82999999984</v>
      </c>
      <c r="BA7" s="25">
        <v>390816.2900000001</v>
      </c>
      <c r="BB7" s="25">
        <v>778842.11999999988</v>
      </c>
      <c r="BD7" s="2" t="s">
        <v>31</v>
      </c>
      <c r="BE7" s="25">
        <v>712844.66999999923</v>
      </c>
      <c r="BF7" s="25">
        <v>72126.999999999971</v>
      </c>
      <c r="BG7" s="25">
        <v>640717.67000000016</v>
      </c>
      <c r="BL7" s="2" t="s">
        <v>1157</v>
      </c>
    </row>
    <row r="8" spans="1:66" ht="15.5" x14ac:dyDescent="0.35">
      <c r="A8">
        <v>1488</v>
      </c>
      <c r="B8" t="s">
        <v>0</v>
      </c>
      <c r="C8" s="1">
        <v>45217</v>
      </c>
      <c r="D8" t="s">
        <v>1</v>
      </c>
      <c r="E8" t="s">
        <v>14</v>
      </c>
      <c r="F8">
        <v>3</v>
      </c>
      <c r="G8">
        <v>2453.48</v>
      </c>
      <c r="H8">
        <v>7360.44</v>
      </c>
      <c r="I8">
        <v>209.16</v>
      </c>
      <c r="J8">
        <v>7151.28</v>
      </c>
      <c r="K8">
        <v>437</v>
      </c>
      <c r="L8" s="11">
        <v>0.93543981481481486</v>
      </c>
      <c r="M8">
        <f t="shared" si="0"/>
        <v>18</v>
      </c>
      <c r="N8">
        <f t="shared" si="1"/>
        <v>10</v>
      </c>
      <c r="O8">
        <f t="shared" si="2"/>
        <v>2023</v>
      </c>
      <c r="P8" s="4">
        <f t="shared" si="3"/>
        <v>45217</v>
      </c>
      <c r="Q8" t="s">
        <v>1138</v>
      </c>
      <c r="R8" t="s">
        <v>1137</v>
      </c>
      <c r="S8">
        <v>4</v>
      </c>
      <c r="T8" t="s">
        <v>1141</v>
      </c>
      <c r="U8" s="11" t="str">
        <f t="shared" si="4"/>
        <v>10:27:02 PM</v>
      </c>
      <c r="V8" s="2" t="s">
        <v>0</v>
      </c>
      <c r="W8" s="25">
        <v>3.0135135135135136</v>
      </c>
      <c r="X8" s="14"/>
      <c r="Y8" s="20"/>
      <c r="AC8" s="4">
        <v>45150</v>
      </c>
      <c r="AD8" s="25">
        <v>10785.02</v>
      </c>
      <c r="AF8" s="2" t="s">
        <v>1136</v>
      </c>
      <c r="AG8" s="25">
        <v>1664782.459999999</v>
      </c>
      <c r="AI8" s="2" t="s">
        <v>20</v>
      </c>
      <c r="AJ8" s="25">
        <v>709996.10999999987</v>
      </c>
      <c r="AL8" s="2" t="s">
        <v>4</v>
      </c>
      <c r="AM8" s="25">
        <v>612805.59999999974</v>
      </c>
      <c r="AO8" s="2" t="s">
        <v>32</v>
      </c>
      <c r="AP8" s="25">
        <v>202919.22999999995</v>
      </c>
      <c r="AQ8" s="25">
        <v>241077.65</v>
      </c>
      <c r="AR8" s="25">
        <v>443996.87999999995</v>
      </c>
      <c r="AT8" s="2" t="s">
        <v>11</v>
      </c>
      <c r="AU8" s="25">
        <v>323544.79000000015</v>
      </c>
      <c r="AV8" s="25">
        <v>344321.34999999992</v>
      </c>
      <c r="AW8" s="25">
        <v>667866.14000000013</v>
      </c>
      <c r="AY8" s="2" t="s">
        <v>31</v>
      </c>
      <c r="AZ8" s="25">
        <v>299533.72000000015</v>
      </c>
      <c r="BA8" s="25">
        <v>341183.9499999999</v>
      </c>
      <c r="BB8" s="25">
        <v>640717.67000000004</v>
      </c>
      <c r="BD8" s="2" t="s">
        <v>20</v>
      </c>
      <c r="BE8" s="25">
        <v>784928.50999999978</v>
      </c>
      <c r="BF8" s="25">
        <v>74932.399999999994</v>
      </c>
      <c r="BG8" s="25">
        <v>709996.10999999987</v>
      </c>
      <c r="BL8" s="2" t="s">
        <v>1158</v>
      </c>
    </row>
    <row r="9" spans="1:66" ht="15.5" x14ac:dyDescent="0.35">
      <c r="A9">
        <v>4582</v>
      </c>
      <c r="B9" t="s">
        <v>15</v>
      </c>
      <c r="C9" s="1">
        <v>45325</v>
      </c>
      <c r="D9" t="s">
        <v>16</v>
      </c>
      <c r="E9" t="s">
        <v>12</v>
      </c>
      <c r="F9">
        <v>2</v>
      </c>
      <c r="G9">
        <v>973.59</v>
      </c>
      <c r="H9">
        <v>1947.18</v>
      </c>
      <c r="I9">
        <v>0</v>
      </c>
      <c r="J9">
        <v>1947.18</v>
      </c>
      <c r="K9">
        <v>107</v>
      </c>
      <c r="L9" s="11">
        <v>0.41230324074074076</v>
      </c>
      <c r="M9">
        <f t="shared" si="0"/>
        <v>3</v>
      </c>
      <c r="N9">
        <f t="shared" si="1"/>
        <v>2</v>
      </c>
      <c r="O9">
        <f t="shared" si="2"/>
        <v>2024</v>
      </c>
      <c r="P9" s="4">
        <f t="shared" si="3"/>
        <v>45325</v>
      </c>
      <c r="Q9" t="s">
        <v>1138</v>
      </c>
      <c r="R9" t="s">
        <v>1137</v>
      </c>
      <c r="S9">
        <v>2</v>
      </c>
      <c r="T9" t="s">
        <v>1146</v>
      </c>
      <c r="U9" s="11" t="str">
        <f t="shared" si="4"/>
        <v>09:53:43 AM</v>
      </c>
      <c r="V9" s="2" t="s">
        <v>25</v>
      </c>
      <c r="W9" s="25">
        <v>2.7209302325581395</v>
      </c>
      <c r="X9" s="14"/>
      <c r="AC9" s="4">
        <v>45151</v>
      </c>
      <c r="AD9" s="25">
        <v>6434.99</v>
      </c>
      <c r="AF9" s="2" t="s">
        <v>1128</v>
      </c>
      <c r="AG9" s="25">
        <v>6809096.7299999967</v>
      </c>
      <c r="AI9" s="2" t="s">
        <v>0</v>
      </c>
      <c r="AJ9" s="25">
        <v>832490.83000000031</v>
      </c>
      <c r="AL9" s="2" t="s">
        <v>24</v>
      </c>
      <c r="AM9" s="25">
        <v>595761.55000000016</v>
      </c>
      <c r="AO9" s="2" t="s">
        <v>36</v>
      </c>
      <c r="AP9" s="25">
        <v>120515.17000000001</v>
      </c>
      <c r="AQ9" s="25">
        <v>158720.89999999997</v>
      </c>
      <c r="AR9" s="25">
        <v>279236.06999999995</v>
      </c>
      <c r="AT9" s="2" t="s">
        <v>4</v>
      </c>
      <c r="AU9" s="25">
        <v>305039.10999999993</v>
      </c>
      <c r="AV9" s="25">
        <v>307766.49000000005</v>
      </c>
      <c r="AW9" s="25">
        <v>612805.6</v>
      </c>
      <c r="AY9" s="2" t="s">
        <v>20</v>
      </c>
      <c r="AZ9" s="25">
        <v>399571.13000000012</v>
      </c>
      <c r="BA9" s="25">
        <v>310424.98</v>
      </c>
      <c r="BB9" s="25">
        <v>709996.1100000001</v>
      </c>
      <c r="BD9" s="2" t="s">
        <v>0</v>
      </c>
      <c r="BE9" s="25">
        <v>913006.64000000013</v>
      </c>
      <c r="BF9" s="25">
        <v>80515.810000000027</v>
      </c>
      <c r="BG9" s="25">
        <v>832490.83000000031</v>
      </c>
      <c r="BL9" s="2" t="s">
        <v>1159</v>
      </c>
    </row>
    <row r="10" spans="1:66" ht="15.5" x14ac:dyDescent="0.35">
      <c r="A10">
        <v>9279</v>
      </c>
      <c r="B10" t="s">
        <v>0</v>
      </c>
      <c r="C10" s="1">
        <v>45612</v>
      </c>
      <c r="D10" t="s">
        <v>17</v>
      </c>
      <c r="E10" t="s">
        <v>18</v>
      </c>
      <c r="F10">
        <v>5</v>
      </c>
      <c r="G10">
        <v>1836.79</v>
      </c>
      <c r="H10">
        <v>9183.9500000000007</v>
      </c>
      <c r="I10">
        <v>918.81</v>
      </c>
      <c r="J10">
        <v>8265.14</v>
      </c>
      <c r="K10">
        <v>83</v>
      </c>
      <c r="L10" s="11">
        <v>5.0763888888888886E-2</v>
      </c>
      <c r="M10">
        <f t="shared" si="0"/>
        <v>16</v>
      </c>
      <c r="N10">
        <f t="shared" si="1"/>
        <v>11</v>
      </c>
      <c r="O10">
        <f t="shared" si="2"/>
        <v>2024</v>
      </c>
      <c r="P10" s="4">
        <f t="shared" si="3"/>
        <v>45612</v>
      </c>
      <c r="Q10" t="s">
        <v>1134</v>
      </c>
      <c r="R10" t="s">
        <v>1135</v>
      </c>
      <c r="S10">
        <v>4</v>
      </c>
      <c r="T10" t="s">
        <v>1141</v>
      </c>
      <c r="U10" s="11" t="str">
        <f t="shared" si="4"/>
        <v>01:13:06 AM</v>
      </c>
      <c r="V10" s="2" t="s">
        <v>19</v>
      </c>
      <c r="W10" s="25">
        <v>3.2511848341232228</v>
      </c>
      <c r="X10" s="14"/>
      <c r="Y10" s="22"/>
      <c r="AC10" s="4">
        <v>45152</v>
      </c>
      <c r="AD10" s="25">
        <v>26791.57</v>
      </c>
      <c r="AI10" s="2" t="s">
        <v>25</v>
      </c>
      <c r="AJ10" s="25">
        <v>781842.57000000007</v>
      </c>
      <c r="AL10" s="2" t="s">
        <v>16</v>
      </c>
      <c r="AM10" s="25">
        <v>656151.51999999967</v>
      </c>
      <c r="AO10" s="2" t="s">
        <v>10</v>
      </c>
      <c r="AP10" s="25">
        <v>181701.11000000002</v>
      </c>
      <c r="AQ10" s="25">
        <v>207685.09000000005</v>
      </c>
      <c r="AR10" s="25">
        <v>389386.20000000007</v>
      </c>
      <c r="AT10" s="2" t="s">
        <v>24</v>
      </c>
      <c r="AU10" s="25">
        <v>335298.42000000004</v>
      </c>
      <c r="AV10" s="25">
        <v>260463.13000000006</v>
      </c>
      <c r="AW10" s="25">
        <v>595761.55000000005</v>
      </c>
      <c r="AY10" s="2" t="s">
        <v>0</v>
      </c>
      <c r="AZ10" s="25">
        <v>470727.85999999987</v>
      </c>
      <c r="BA10" s="25">
        <v>361762.96999999991</v>
      </c>
      <c r="BB10" s="25">
        <v>832490.82999999984</v>
      </c>
      <c r="BD10" s="2" t="s">
        <v>25</v>
      </c>
      <c r="BE10" s="25">
        <v>863314.5399999998</v>
      </c>
      <c r="BF10" s="25">
        <v>81471.970000000045</v>
      </c>
      <c r="BG10" s="25">
        <v>781842.57000000007</v>
      </c>
      <c r="BL10" s="2" t="s">
        <v>1160</v>
      </c>
    </row>
    <row r="11" spans="1:66" ht="15.5" x14ac:dyDescent="0.35">
      <c r="A11">
        <v>1434</v>
      </c>
      <c r="B11" t="s">
        <v>19</v>
      </c>
      <c r="C11" s="1">
        <v>45580</v>
      </c>
      <c r="D11" t="s">
        <v>16</v>
      </c>
      <c r="E11" t="s">
        <v>7</v>
      </c>
      <c r="F11">
        <v>2</v>
      </c>
      <c r="G11">
        <v>1729.72</v>
      </c>
      <c r="H11">
        <v>3459.44</v>
      </c>
      <c r="I11">
        <v>692.22</v>
      </c>
      <c r="J11">
        <v>2767.22</v>
      </c>
      <c r="K11">
        <v>431</v>
      </c>
      <c r="L11" s="11">
        <v>0.62035879629629631</v>
      </c>
      <c r="M11">
        <f t="shared" si="0"/>
        <v>15</v>
      </c>
      <c r="N11">
        <f t="shared" si="1"/>
        <v>10</v>
      </c>
      <c r="O11">
        <f t="shared" si="2"/>
        <v>2024</v>
      </c>
      <c r="P11" s="4">
        <f t="shared" si="3"/>
        <v>45580</v>
      </c>
      <c r="Q11" t="s">
        <v>1139</v>
      </c>
      <c r="R11" t="s">
        <v>1135</v>
      </c>
      <c r="S11">
        <v>2</v>
      </c>
      <c r="T11" t="s">
        <v>1147</v>
      </c>
      <c r="U11" s="11" t="str">
        <f t="shared" si="4"/>
        <v>02:53:19 PM</v>
      </c>
      <c r="V11" s="2" t="s">
        <v>8</v>
      </c>
      <c r="W11" s="25">
        <v>2.9829787234042553</v>
      </c>
      <c r="X11" s="14"/>
      <c r="AC11" s="4">
        <v>45154</v>
      </c>
      <c r="AD11" s="25">
        <v>17571.93</v>
      </c>
      <c r="AI11" s="2" t="s">
        <v>19</v>
      </c>
      <c r="AJ11" s="25">
        <v>697127.79000000027</v>
      </c>
      <c r="AL11" s="2" t="s">
        <v>17</v>
      </c>
      <c r="AM11" s="25">
        <v>572723.24</v>
      </c>
      <c r="AO11" s="2" t="s">
        <v>5</v>
      </c>
      <c r="AP11" s="25">
        <v>152540.72</v>
      </c>
      <c r="AQ11" s="25">
        <v>194390.97999999998</v>
      </c>
      <c r="AR11" s="25">
        <v>346931.69999999995</v>
      </c>
      <c r="AT11" s="2" t="s">
        <v>16</v>
      </c>
      <c r="AU11" s="25">
        <v>311876.65000000002</v>
      </c>
      <c r="AV11" s="25">
        <v>344274.87</v>
      </c>
      <c r="AW11" s="25">
        <v>656151.52</v>
      </c>
      <c r="AY11" s="2" t="s">
        <v>25</v>
      </c>
      <c r="AZ11" s="25">
        <v>355234.18999999989</v>
      </c>
      <c r="BA11" s="25">
        <v>426608.37999999983</v>
      </c>
      <c r="BB11" s="25">
        <v>781842.56999999972</v>
      </c>
      <c r="BD11" s="2" t="s">
        <v>19</v>
      </c>
      <c r="BE11" s="25">
        <v>780763.56999999983</v>
      </c>
      <c r="BF11" s="25">
        <v>83635.780000000013</v>
      </c>
      <c r="BG11" s="25">
        <v>697127.79000000027</v>
      </c>
      <c r="BL11" s="2" t="s">
        <v>1161</v>
      </c>
    </row>
    <row r="12" spans="1:66" ht="15.5" x14ac:dyDescent="0.35">
      <c r="A12">
        <v>4257</v>
      </c>
      <c r="B12" t="s">
        <v>20</v>
      </c>
      <c r="C12" s="1">
        <v>45701</v>
      </c>
      <c r="D12" t="s">
        <v>11</v>
      </c>
      <c r="E12" t="s">
        <v>21</v>
      </c>
      <c r="F12">
        <v>3</v>
      </c>
      <c r="G12">
        <v>241.53</v>
      </c>
      <c r="H12">
        <v>724.59</v>
      </c>
      <c r="I12">
        <v>145.25</v>
      </c>
      <c r="J12">
        <v>579.34</v>
      </c>
      <c r="K12">
        <v>467</v>
      </c>
      <c r="L12" s="11">
        <v>0.21531249999999999</v>
      </c>
      <c r="M12">
        <f t="shared" si="0"/>
        <v>13</v>
      </c>
      <c r="N12">
        <f t="shared" si="1"/>
        <v>2</v>
      </c>
      <c r="O12">
        <f t="shared" si="2"/>
        <v>2025</v>
      </c>
      <c r="P12" s="4">
        <f t="shared" si="3"/>
        <v>45701</v>
      </c>
      <c r="Q12" t="s">
        <v>1134</v>
      </c>
      <c r="R12" t="s">
        <v>1137</v>
      </c>
      <c r="S12">
        <v>3</v>
      </c>
      <c r="T12" t="s">
        <v>1148</v>
      </c>
      <c r="U12" s="11" t="str">
        <f t="shared" si="4"/>
        <v>05:10:03 AM</v>
      </c>
      <c r="V12" s="2" t="s">
        <v>3</v>
      </c>
      <c r="W12" s="25">
        <v>3.0622222222222222</v>
      </c>
      <c r="X12" s="14"/>
      <c r="AC12" s="4">
        <v>45155</v>
      </c>
      <c r="AD12" s="25">
        <v>15472.029999999999</v>
      </c>
      <c r="AI12" s="2" t="s">
        <v>8</v>
      </c>
      <c r="AJ12" s="25">
        <v>823484.4999999993</v>
      </c>
      <c r="AL12" s="2" t="s">
        <v>23</v>
      </c>
      <c r="AM12" s="25">
        <v>563670.43000000005</v>
      </c>
      <c r="AO12" s="2" t="s">
        <v>38</v>
      </c>
      <c r="AP12" s="25">
        <v>218675.11999999991</v>
      </c>
      <c r="AQ12" s="25">
        <v>210673.92000000004</v>
      </c>
      <c r="AR12" s="25">
        <v>429349.03999999992</v>
      </c>
      <c r="AT12" s="2" t="s">
        <v>17</v>
      </c>
      <c r="AU12" s="25">
        <v>288630.01</v>
      </c>
      <c r="AV12" s="25">
        <v>284093.23000000004</v>
      </c>
      <c r="AW12" s="25">
        <v>572723.24</v>
      </c>
      <c r="AY12" s="2" t="s">
        <v>19</v>
      </c>
      <c r="AZ12" s="25">
        <v>398226.52999999997</v>
      </c>
      <c r="BA12" s="25">
        <v>298901.26</v>
      </c>
      <c r="BB12" s="25">
        <v>697127.79</v>
      </c>
      <c r="BD12" s="2" t="s">
        <v>8</v>
      </c>
      <c r="BE12" s="25">
        <v>907771.00000000023</v>
      </c>
      <c r="BF12" s="25">
        <v>84286.499999999956</v>
      </c>
      <c r="BG12" s="25">
        <v>823484.4999999993</v>
      </c>
      <c r="BL12" s="2" t="s">
        <v>1162</v>
      </c>
    </row>
    <row r="13" spans="1:66" ht="15.5" x14ac:dyDescent="0.35">
      <c r="A13">
        <v>9928</v>
      </c>
      <c r="B13" t="s">
        <v>15</v>
      </c>
      <c r="C13" s="1">
        <v>45470</v>
      </c>
      <c r="D13" t="s">
        <v>9</v>
      </c>
      <c r="E13" t="s">
        <v>22</v>
      </c>
      <c r="F13">
        <v>2</v>
      </c>
      <c r="G13">
        <v>719.61</v>
      </c>
      <c r="H13">
        <v>1439.22</v>
      </c>
      <c r="I13">
        <v>0</v>
      </c>
      <c r="J13">
        <v>1439.22</v>
      </c>
      <c r="K13">
        <v>126</v>
      </c>
      <c r="L13" s="11">
        <v>7.6006944444444446E-2</v>
      </c>
      <c r="M13">
        <f t="shared" si="0"/>
        <v>27</v>
      </c>
      <c r="N13">
        <f t="shared" si="1"/>
        <v>6</v>
      </c>
      <c r="O13">
        <f t="shared" si="2"/>
        <v>2024</v>
      </c>
      <c r="P13" s="4">
        <f t="shared" si="3"/>
        <v>45470</v>
      </c>
      <c r="Q13" t="s">
        <v>1134</v>
      </c>
      <c r="R13" t="s">
        <v>1135</v>
      </c>
      <c r="S13">
        <v>1</v>
      </c>
      <c r="T13" t="s">
        <v>1142</v>
      </c>
      <c r="U13" s="11" t="str">
        <f t="shared" si="4"/>
        <v>01:49:27 AM</v>
      </c>
      <c r="V13" s="2" t="s">
        <v>1128</v>
      </c>
      <c r="W13" s="25">
        <v>3.0146464646464648</v>
      </c>
      <c r="X13" s="14"/>
      <c r="AC13" s="4">
        <v>45156</v>
      </c>
      <c r="AD13" s="25">
        <v>8226.9599999999991</v>
      </c>
      <c r="AI13" s="2" t="s">
        <v>3</v>
      </c>
      <c r="AJ13" s="25">
        <v>731316.32000000018</v>
      </c>
      <c r="AL13" s="2" t="s">
        <v>27</v>
      </c>
      <c r="AM13" s="25">
        <v>687996.95999999961</v>
      </c>
      <c r="AO13" s="2" t="s">
        <v>30</v>
      </c>
      <c r="AP13" s="25">
        <v>179493.31</v>
      </c>
      <c r="AQ13" s="25">
        <v>221030.66000000003</v>
      </c>
      <c r="AR13" s="25">
        <v>400523.97000000003</v>
      </c>
      <c r="AT13" s="2" t="s">
        <v>23</v>
      </c>
      <c r="AU13" s="25">
        <v>289352.11</v>
      </c>
      <c r="AV13" s="25">
        <v>274318.32</v>
      </c>
      <c r="AW13" s="25">
        <v>563670.42999999993</v>
      </c>
      <c r="AY13" s="2" t="s">
        <v>8</v>
      </c>
      <c r="AZ13" s="25">
        <v>473779.77000000008</v>
      </c>
      <c r="BA13" s="25">
        <v>349704.73000000004</v>
      </c>
      <c r="BB13" s="25">
        <v>823484.50000000012</v>
      </c>
      <c r="BD13" s="2" t="s">
        <v>3</v>
      </c>
      <c r="BE13" s="25">
        <v>816627.87000000046</v>
      </c>
      <c r="BF13" s="25">
        <v>85311.549999999959</v>
      </c>
      <c r="BG13" s="25">
        <v>731316.32000000018</v>
      </c>
      <c r="BL13" s="2" t="s">
        <v>1163</v>
      </c>
    </row>
    <row r="14" spans="1:66" ht="15.5" x14ac:dyDescent="0.35">
      <c r="A14">
        <v>4611</v>
      </c>
      <c r="B14" t="s">
        <v>13</v>
      </c>
      <c r="C14" s="1">
        <v>45493</v>
      </c>
      <c r="D14" t="s">
        <v>17</v>
      </c>
      <c r="E14" t="s">
        <v>21</v>
      </c>
      <c r="F14">
        <v>3</v>
      </c>
      <c r="G14">
        <v>610.04999999999995</v>
      </c>
      <c r="H14">
        <v>1830.15</v>
      </c>
      <c r="I14">
        <v>333.66</v>
      </c>
      <c r="J14">
        <v>1496.49</v>
      </c>
      <c r="K14">
        <v>70</v>
      </c>
      <c r="L14" s="11">
        <v>0.91052083333333333</v>
      </c>
      <c r="M14">
        <f t="shared" si="0"/>
        <v>20</v>
      </c>
      <c r="N14">
        <f t="shared" si="1"/>
        <v>7</v>
      </c>
      <c r="O14">
        <f t="shared" si="2"/>
        <v>2024</v>
      </c>
      <c r="P14" s="4">
        <f t="shared" si="3"/>
        <v>45493</v>
      </c>
      <c r="Q14" t="s">
        <v>1134</v>
      </c>
      <c r="R14" t="s">
        <v>1135</v>
      </c>
      <c r="S14">
        <v>1</v>
      </c>
      <c r="T14" t="s">
        <v>1142</v>
      </c>
      <c r="U14" s="11" t="str">
        <f t="shared" si="4"/>
        <v>09:51:09 PM</v>
      </c>
      <c r="X14" s="14"/>
      <c r="AC14" s="4">
        <v>45157</v>
      </c>
      <c r="AD14" s="25">
        <v>44199.159999999996</v>
      </c>
      <c r="AI14" s="2" t="s">
        <v>1128</v>
      </c>
      <c r="AJ14" s="25">
        <v>6809096.7300000004</v>
      </c>
      <c r="AL14" s="2" t="s">
        <v>1</v>
      </c>
      <c r="AM14" s="25">
        <v>505899.93999999971</v>
      </c>
      <c r="AO14" s="2" t="s">
        <v>14</v>
      </c>
      <c r="AP14" s="25">
        <v>150547.89000000001</v>
      </c>
      <c r="AQ14" s="25">
        <v>154167.52000000002</v>
      </c>
      <c r="AR14" s="25">
        <v>304715.41000000003</v>
      </c>
      <c r="AT14" s="2" t="s">
        <v>27</v>
      </c>
      <c r="AU14" s="25">
        <v>327590.2099999999</v>
      </c>
      <c r="AV14" s="25">
        <v>360406.75000000012</v>
      </c>
      <c r="AW14" s="25">
        <v>687996.96</v>
      </c>
      <c r="AY14" s="2" t="s">
        <v>3</v>
      </c>
      <c r="AZ14" s="25">
        <v>324833.78000000003</v>
      </c>
      <c r="BA14" s="25">
        <v>406482.54000000004</v>
      </c>
      <c r="BB14" s="25">
        <v>731316.32000000007</v>
      </c>
      <c r="BD14" s="2" t="s">
        <v>1128</v>
      </c>
      <c r="BE14" s="25">
        <v>7543629.299999998</v>
      </c>
      <c r="BF14" s="25">
        <v>734532.57</v>
      </c>
      <c r="BG14" s="25">
        <v>6809096.7300000004</v>
      </c>
      <c r="BL14" s="2" t="s">
        <v>1164</v>
      </c>
    </row>
    <row r="15" spans="1:66" ht="15.5" x14ac:dyDescent="0.35">
      <c r="A15">
        <v>5557</v>
      </c>
      <c r="B15" t="s">
        <v>0</v>
      </c>
      <c r="C15" s="1">
        <v>45773</v>
      </c>
      <c r="D15" t="s">
        <v>23</v>
      </c>
      <c r="E15" t="s">
        <v>18</v>
      </c>
      <c r="F15">
        <v>4</v>
      </c>
      <c r="G15">
        <v>1518.07</v>
      </c>
      <c r="H15">
        <v>6072.28</v>
      </c>
      <c r="I15">
        <v>413.34</v>
      </c>
      <c r="J15">
        <v>5658.94</v>
      </c>
      <c r="K15">
        <v>197</v>
      </c>
      <c r="L15" s="11">
        <v>0.57170138888888888</v>
      </c>
      <c r="M15">
        <f t="shared" si="0"/>
        <v>26</v>
      </c>
      <c r="N15">
        <f t="shared" si="1"/>
        <v>4</v>
      </c>
      <c r="O15">
        <f t="shared" si="2"/>
        <v>2025</v>
      </c>
      <c r="P15" s="4">
        <f t="shared" si="3"/>
        <v>45773</v>
      </c>
      <c r="Q15" t="s">
        <v>1134</v>
      </c>
      <c r="R15" t="s">
        <v>1135</v>
      </c>
      <c r="S15">
        <v>4</v>
      </c>
      <c r="T15" t="s">
        <v>1141</v>
      </c>
      <c r="U15" s="11" t="str">
        <f t="shared" si="4"/>
        <v>01:43:15 PM</v>
      </c>
      <c r="V15" s="7" t="s">
        <v>1127</v>
      </c>
      <c r="W15" t="s">
        <v>1152</v>
      </c>
      <c r="X15" s="14"/>
      <c r="AC15" s="4">
        <v>45158</v>
      </c>
      <c r="AD15" s="25">
        <v>4694.4799999999996</v>
      </c>
      <c r="AL15" s="2" t="s">
        <v>9</v>
      </c>
      <c r="AM15" s="25">
        <v>669556.85000000021</v>
      </c>
      <c r="AO15" s="2" t="s">
        <v>29</v>
      </c>
      <c r="AP15" s="25">
        <v>161815.97000000006</v>
      </c>
      <c r="AQ15" s="25">
        <v>156143.75000000006</v>
      </c>
      <c r="AR15" s="25">
        <v>317959.72000000009</v>
      </c>
      <c r="AT15" s="2" t="s">
        <v>1</v>
      </c>
      <c r="AU15" s="25">
        <v>233572.79</v>
      </c>
      <c r="AV15" s="25">
        <v>272327.14999999997</v>
      </c>
      <c r="AW15" s="25">
        <v>505899.93999999994</v>
      </c>
      <c r="AY15" s="2" t="s">
        <v>1128</v>
      </c>
      <c r="AZ15" s="25">
        <v>3441906.25</v>
      </c>
      <c r="BA15" s="25">
        <v>3367190.48</v>
      </c>
      <c r="BB15" s="25">
        <v>6809096.7299999995</v>
      </c>
      <c r="BL15" s="2" t="s">
        <v>1165</v>
      </c>
    </row>
    <row r="16" spans="1:66" ht="15.5" x14ac:dyDescent="0.35">
      <c r="A16">
        <v>1106</v>
      </c>
      <c r="B16" t="s">
        <v>3</v>
      </c>
      <c r="C16" s="1">
        <v>45734</v>
      </c>
      <c r="D16" t="s">
        <v>24</v>
      </c>
      <c r="E16" t="s">
        <v>7</v>
      </c>
      <c r="F16">
        <v>1</v>
      </c>
      <c r="G16">
        <v>1719.76</v>
      </c>
      <c r="H16">
        <v>1719.76</v>
      </c>
      <c r="I16">
        <v>0</v>
      </c>
      <c r="J16">
        <v>1719.76</v>
      </c>
      <c r="K16">
        <v>58</v>
      </c>
      <c r="L16" s="11">
        <v>0.9337847222222222</v>
      </c>
      <c r="M16">
        <f t="shared" si="0"/>
        <v>18</v>
      </c>
      <c r="N16">
        <f t="shared" si="1"/>
        <v>3</v>
      </c>
      <c r="O16">
        <f t="shared" si="2"/>
        <v>2025</v>
      </c>
      <c r="P16" s="4">
        <f t="shared" si="3"/>
        <v>45734</v>
      </c>
      <c r="Q16" t="s">
        <v>1136</v>
      </c>
      <c r="R16" t="s">
        <v>1135</v>
      </c>
      <c r="S16">
        <v>1</v>
      </c>
      <c r="T16" t="s">
        <v>1144</v>
      </c>
      <c r="U16" s="11" t="str">
        <f t="shared" si="4"/>
        <v>10:24:39 PM</v>
      </c>
      <c r="V16" s="2" t="s">
        <v>6</v>
      </c>
      <c r="W16" s="25">
        <v>3.098901098901099</v>
      </c>
      <c r="X16" s="14"/>
      <c r="AC16" s="4">
        <v>45159</v>
      </c>
      <c r="AD16" s="25">
        <v>3257.75</v>
      </c>
      <c r="AL16" s="2" t="s">
        <v>1128</v>
      </c>
      <c r="AM16" s="25">
        <v>6809096.7299999995</v>
      </c>
      <c r="AO16" s="2" t="s">
        <v>7</v>
      </c>
      <c r="AP16" s="25">
        <v>190272.52000000002</v>
      </c>
      <c r="AQ16" s="25">
        <v>192502.73</v>
      </c>
      <c r="AR16" s="25">
        <v>382775.25</v>
      </c>
      <c r="AT16" s="2" t="s">
        <v>9</v>
      </c>
      <c r="AU16" s="25">
        <v>350000.21000000008</v>
      </c>
      <c r="AV16" s="25">
        <v>319556.63999999996</v>
      </c>
      <c r="AW16" s="25">
        <v>669556.85000000009</v>
      </c>
      <c r="BD16" s="7" t="s">
        <v>1127</v>
      </c>
      <c r="BE16" t="s">
        <v>1153</v>
      </c>
      <c r="BF16" t="s">
        <v>1130</v>
      </c>
      <c r="BG16" t="s">
        <v>1129</v>
      </c>
      <c r="BL16" s="2" t="s">
        <v>1166</v>
      </c>
      <c r="BM16" s="7" t="s">
        <v>1127</v>
      </c>
      <c r="BN16" t="s">
        <v>1129</v>
      </c>
    </row>
    <row r="17" spans="1:66" ht="15.5" x14ac:dyDescent="0.35">
      <c r="A17">
        <v>3615</v>
      </c>
      <c r="B17" t="s">
        <v>25</v>
      </c>
      <c r="C17" s="1">
        <v>45687</v>
      </c>
      <c r="D17" t="s">
        <v>4</v>
      </c>
      <c r="E17" t="s">
        <v>26</v>
      </c>
      <c r="F17">
        <v>4</v>
      </c>
      <c r="G17">
        <v>463.14</v>
      </c>
      <c r="H17">
        <v>1852.56</v>
      </c>
      <c r="I17">
        <v>336.15</v>
      </c>
      <c r="J17">
        <v>1516.41</v>
      </c>
      <c r="K17">
        <v>1</v>
      </c>
      <c r="L17" s="11">
        <v>5.8483796296296298E-2</v>
      </c>
      <c r="M17">
        <f t="shared" si="0"/>
        <v>30</v>
      </c>
      <c r="N17">
        <f t="shared" si="1"/>
        <v>1</v>
      </c>
      <c r="O17">
        <f t="shared" si="2"/>
        <v>2025</v>
      </c>
      <c r="P17" s="4">
        <f t="shared" si="3"/>
        <v>45687</v>
      </c>
      <c r="Q17" t="s">
        <v>1138</v>
      </c>
      <c r="R17" t="s">
        <v>1135</v>
      </c>
      <c r="S17">
        <v>4</v>
      </c>
      <c r="T17" t="s">
        <v>1144</v>
      </c>
      <c r="U17" s="11" t="str">
        <f t="shared" si="4"/>
        <v>01:24:13 AM</v>
      </c>
      <c r="V17" s="2" t="s">
        <v>34</v>
      </c>
      <c r="W17" s="25">
        <v>2.9076923076923076</v>
      </c>
      <c r="X17" s="14"/>
      <c r="AC17" s="4">
        <v>45161</v>
      </c>
      <c r="AD17" s="25">
        <v>4505.24</v>
      </c>
      <c r="AO17" s="2" t="s">
        <v>12</v>
      </c>
      <c r="AP17" s="25">
        <v>213817.95999999993</v>
      </c>
      <c r="AQ17" s="25">
        <v>168076.65999999997</v>
      </c>
      <c r="AR17" s="25">
        <v>381894.61999999988</v>
      </c>
      <c r="AT17" s="2" t="s">
        <v>1128</v>
      </c>
      <c r="AU17" s="25">
        <v>3441906.2499999995</v>
      </c>
      <c r="AV17" s="25">
        <v>3367190.48</v>
      </c>
      <c r="AW17" s="25">
        <v>6809096.7299999986</v>
      </c>
      <c r="BD17" s="2" t="s">
        <v>6</v>
      </c>
      <c r="BE17" s="25">
        <v>690009.70999999973</v>
      </c>
      <c r="BF17" s="25">
        <v>62425.959999999992</v>
      </c>
      <c r="BG17" s="25">
        <v>627583.75</v>
      </c>
      <c r="BL17" s="2" t="s">
        <v>1167</v>
      </c>
      <c r="BM17" s="4">
        <v>45145</v>
      </c>
      <c r="BN17" s="25">
        <v>3363.16</v>
      </c>
    </row>
    <row r="18" spans="1:66" ht="15.5" x14ac:dyDescent="0.35">
      <c r="A18">
        <v>7924</v>
      </c>
      <c r="B18" t="s">
        <v>3</v>
      </c>
      <c r="C18" s="1">
        <v>45409</v>
      </c>
      <c r="D18" t="s">
        <v>4</v>
      </c>
      <c r="E18" t="s">
        <v>26</v>
      </c>
      <c r="F18">
        <v>5</v>
      </c>
      <c r="G18">
        <v>1547.95</v>
      </c>
      <c r="H18">
        <v>7739.75</v>
      </c>
      <c r="I18">
        <v>1547.95</v>
      </c>
      <c r="J18">
        <v>6191.8</v>
      </c>
      <c r="K18">
        <v>78</v>
      </c>
      <c r="L18" s="11">
        <v>0.73430555555555554</v>
      </c>
      <c r="M18">
        <f t="shared" si="0"/>
        <v>27</v>
      </c>
      <c r="N18">
        <f t="shared" si="1"/>
        <v>4</v>
      </c>
      <c r="O18">
        <f t="shared" si="2"/>
        <v>2024</v>
      </c>
      <c r="P18" s="4">
        <f t="shared" si="3"/>
        <v>45409</v>
      </c>
      <c r="Q18" t="s">
        <v>1136</v>
      </c>
      <c r="R18" t="s">
        <v>1137</v>
      </c>
      <c r="S18">
        <v>4</v>
      </c>
      <c r="T18" t="s">
        <v>1146</v>
      </c>
      <c r="U18" s="11" t="str">
        <f t="shared" si="4"/>
        <v>05:37:24 PM</v>
      </c>
      <c r="V18" s="2" t="s">
        <v>11</v>
      </c>
      <c r="W18" s="25">
        <v>2.9894736842105263</v>
      </c>
      <c r="X18" s="14"/>
      <c r="AC18" s="4">
        <v>45162</v>
      </c>
      <c r="AD18" s="25">
        <v>7372.0599999999995</v>
      </c>
      <c r="AO18" s="2" t="s">
        <v>2</v>
      </c>
      <c r="AP18" s="25">
        <v>179227.71</v>
      </c>
      <c r="AQ18" s="25">
        <v>204708.70999999996</v>
      </c>
      <c r="AR18" s="25">
        <v>383936.41999999993</v>
      </c>
      <c r="BD18" s="2" t="s">
        <v>34</v>
      </c>
      <c r="BE18" s="25">
        <v>726164.51</v>
      </c>
      <c r="BF18" s="25">
        <v>77083.760000000009</v>
      </c>
      <c r="BG18" s="25">
        <v>649080.74999999988</v>
      </c>
      <c r="BL18" s="2" t="s">
        <v>1168</v>
      </c>
      <c r="BM18" s="4">
        <v>45146</v>
      </c>
      <c r="BN18" s="25">
        <v>18971.310000000001</v>
      </c>
    </row>
    <row r="19" spans="1:66" x14ac:dyDescent="0.35">
      <c r="A19">
        <v>5552</v>
      </c>
      <c r="B19" t="s">
        <v>3</v>
      </c>
      <c r="C19" s="1">
        <v>45265</v>
      </c>
      <c r="D19" t="s">
        <v>27</v>
      </c>
      <c r="E19" t="s">
        <v>28</v>
      </c>
      <c r="F19">
        <v>5</v>
      </c>
      <c r="G19">
        <v>862.37</v>
      </c>
      <c r="H19">
        <v>4311.8500000000004</v>
      </c>
      <c r="I19">
        <v>646.57000000000005</v>
      </c>
      <c r="J19">
        <v>3665.28</v>
      </c>
      <c r="K19">
        <v>9</v>
      </c>
      <c r="L19" s="11">
        <v>0.78315972222222219</v>
      </c>
      <c r="M19">
        <f t="shared" si="0"/>
        <v>5</v>
      </c>
      <c r="N19">
        <f t="shared" si="1"/>
        <v>12</v>
      </c>
      <c r="O19">
        <f t="shared" si="2"/>
        <v>2023</v>
      </c>
      <c r="P19" s="4">
        <f t="shared" si="3"/>
        <v>45265</v>
      </c>
      <c r="Q19" t="s">
        <v>1136</v>
      </c>
      <c r="R19" t="s">
        <v>1135</v>
      </c>
      <c r="S19">
        <v>4</v>
      </c>
      <c r="T19" t="s">
        <v>1147</v>
      </c>
      <c r="U19" s="11" t="str">
        <f t="shared" si="4"/>
        <v>06:47:45 PM</v>
      </c>
      <c r="V19" s="2" t="s">
        <v>4</v>
      </c>
      <c r="W19" s="25">
        <v>3.0060975609756095</v>
      </c>
      <c r="AC19" s="4">
        <v>45163</v>
      </c>
      <c r="AD19" s="25">
        <v>4548.3999999999996</v>
      </c>
      <c r="AO19" s="2" t="s">
        <v>37</v>
      </c>
      <c r="AP19" s="25">
        <v>221300.40999999995</v>
      </c>
      <c r="AQ19" s="25">
        <v>219118.34</v>
      </c>
      <c r="AR19" s="25">
        <v>440418.74999999994</v>
      </c>
      <c r="BD19" s="2" t="s">
        <v>11</v>
      </c>
      <c r="BE19" s="25">
        <v>740159.97000000044</v>
      </c>
      <c r="BF19" s="25">
        <v>72293.830000000031</v>
      </c>
      <c r="BG19" s="25">
        <v>667866.1399999999</v>
      </c>
      <c r="BL19" s="2" t="s">
        <v>1169</v>
      </c>
      <c r="BM19" s="4">
        <v>45149</v>
      </c>
      <c r="BN19" s="25">
        <v>7967.17</v>
      </c>
    </row>
    <row r="20" spans="1:66" x14ac:dyDescent="0.35">
      <c r="A20">
        <v>4527</v>
      </c>
      <c r="B20" t="s">
        <v>19</v>
      </c>
      <c r="C20" s="1">
        <v>45738</v>
      </c>
      <c r="D20" t="s">
        <v>6</v>
      </c>
      <c r="E20" t="s">
        <v>29</v>
      </c>
      <c r="F20">
        <v>2</v>
      </c>
      <c r="G20">
        <v>2195.35</v>
      </c>
      <c r="H20">
        <v>4390.7</v>
      </c>
      <c r="I20">
        <v>326.19</v>
      </c>
      <c r="J20">
        <v>4064.51</v>
      </c>
      <c r="K20">
        <v>484</v>
      </c>
      <c r="L20" s="11">
        <v>0.596099537037037</v>
      </c>
      <c r="M20">
        <f t="shared" si="0"/>
        <v>22</v>
      </c>
      <c r="N20">
        <f t="shared" si="1"/>
        <v>3</v>
      </c>
      <c r="O20">
        <f t="shared" si="2"/>
        <v>2025</v>
      </c>
      <c r="P20" s="4">
        <f t="shared" si="3"/>
        <v>45738</v>
      </c>
      <c r="Q20" t="s">
        <v>1136</v>
      </c>
      <c r="R20" t="s">
        <v>1135</v>
      </c>
      <c r="S20">
        <v>1</v>
      </c>
      <c r="T20" t="s">
        <v>1142</v>
      </c>
      <c r="U20" s="11" t="str">
        <f t="shared" si="4"/>
        <v>02:18:23 PM</v>
      </c>
      <c r="V20" s="2" t="s">
        <v>24</v>
      </c>
      <c r="W20" s="25">
        <v>3.0159574468085109</v>
      </c>
      <c r="AC20" s="4">
        <v>45164</v>
      </c>
      <c r="AD20" s="25">
        <v>12658.33</v>
      </c>
      <c r="AO20" s="2" t="s">
        <v>26</v>
      </c>
      <c r="AP20" s="25">
        <v>211103.86000000002</v>
      </c>
      <c r="AQ20" s="25">
        <v>152637.82999999999</v>
      </c>
      <c r="AR20" s="25">
        <v>363741.69</v>
      </c>
      <c r="BD20" s="2" t="s">
        <v>4</v>
      </c>
      <c r="BE20" s="25">
        <v>679347.52999999991</v>
      </c>
      <c r="BF20" s="25">
        <v>66541.929999999993</v>
      </c>
      <c r="BG20" s="25">
        <v>612805.59999999974</v>
      </c>
      <c r="BJ20" s="24" t="e" vm="1">
        <v>#VALUE!</v>
      </c>
      <c r="BL20" s="2" t="s">
        <v>1170</v>
      </c>
      <c r="BM20" s="4">
        <v>45150</v>
      </c>
      <c r="BN20" s="25">
        <v>10785.02</v>
      </c>
    </row>
    <row r="21" spans="1:66" ht="15.5" x14ac:dyDescent="0.35">
      <c r="A21">
        <v>6514</v>
      </c>
      <c r="B21" t="s">
        <v>0</v>
      </c>
      <c r="C21" s="1">
        <v>45224</v>
      </c>
      <c r="D21" t="s">
        <v>27</v>
      </c>
      <c r="E21" t="s">
        <v>30</v>
      </c>
      <c r="F21">
        <v>2</v>
      </c>
      <c r="G21">
        <v>1669.96</v>
      </c>
      <c r="H21">
        <v>3339.92</v>
      </c>
      <c r="I21">
        <v>501.32</v>
      </c>
      <c r="J21">
        <v>2838.6</v>
      </c>
      <c r="K21">
        <v>484</v>
      </c>
      <c r="L21" s="11">
        <v>1.8773148148148146E-2</v>
      </c>
      <c r="M21">
        <f t="shared" si="0"/>
        <v>25</v>
      </c>
      <c r="N21">
        <f t="shared" si="1"/>
        <v>10</v>
      </c>
      <c r="O21">
        <f t="shared" si="2"/>
        <v>2023</v>
      </c>
      <c r="P21" s="4">
        <f t="shared" si="3"/>
        <v>45224</v>
      </c>
      <c r="Q21" t="s">
        <v>1134</v>
      </c>
      <c r="R21" t="s">
        <v>1135</v>
      </c>
      <c r="S21">
        <v>4</v>
      </c>
      <c r="T21" t="s">
        <v>1146</v>
      </c>
      <c r="U21" s="11" t="str">
        <f t="shared" si="4"/>
        <v>12:27:02 AM</v>
      </c>
      <c r="V21" s="2" t="s">
        <v>16</v>
      </c>
      <c r="W21" s="25">
        <v>3.1857923497267762</v>
      </c>
      <c r="Y21" s="15"/>
      <c r="AC21" s="4">
        <v>45165</v>
      </c>
      <c r="AD21" s="25">
        <v>19952.37</v>
      </c>
      <c r="AO21" s="2" t="s">
        <v>22</v>
      </c>
      <c r="AP21" s="25">
        <v>194288.06000000003</v>
      </c>
      <c r="AQ21" s="25">
        <v>172182.67000000004</v>
      </c>
      <c r="AR21" s="25">
        <v>366470.7300000001</v>
      </c>
      <c r="BD21" s="2" t="s">
        <v>24</v>
      </c>
      <c r="BE21" s="25">
        <v>661768.95999999985</v>
      </c>
      <c r="BF21" s="25">
        <v>66007.41</v>
      </c>
      <c r="BG21" s="25">
        <v>595761.55000000016</v>
      </c>
      <c r="BL21" s="2" t="s">
        <v>1171</v>
      </c>
      <c r="BM21" s="4">
        <v>45151</v>
      </c>
      <c r="BN21" s="25">
        <v>6434.99</v>
      </c>
    </row>
    <row r="22" spans="1:66" ht="15.5" x14ac:dyDescent="0.35">
      <c r="A22">
        <v>2519</v>
      </c>
      <c r="B22" t="s">
        <v>3</v>
      </c>
      <c r="C22" s="1">
        <v>45440</v>
      </c>
      <c r="D22" t="s">
        <v>17</v>
      </c>
      <c r="E22" t="s">
        <v>5</v>
      </c>
      <c r="F22">
        <v>2</v>
      </c>
      <c r="G22">
        <v>2318.19</v>
      </c>
      <c r="H22">
        <v>4636.38</v>
      </c>
      <c r="I22">
        <v>0</v>
      </c>
      <c r="J22">
        <v>4636.38</v>
      </c>
      <c r="K22">
        <v>386</v>
      </c>
      <c r="L22" s="11">
        <v>0.83059027777777783</v>
      </c>
      <c r="M22">
        <f t="shared" si="0"/>
        <v>28</v>
      </c>
      <c r="N22">
        <f t="shared" si="1"/>
        <v>5</v>
      </c>
      <c r="O22">
        <f t="shared" si="2"/>
        <v>2024</v>
      </c>
      <c r="P22" s="4">
        <f t="shared" si="3"/>
        <v>45440</v>
      </c>
      <c r="Q22" t="s">
        <v>1139</v>
      </c>
      <c r="R22" t="s">
        <v>1135</v>
      </c>
      <c r="S22">
        <v>1</v>
      </c>
      <c r="T22" t="s">
        <v>1144</v>
      </c>
      <c r="U22" s="11" t="str">
        <f t="shared" si="4"/>
        <v>07:56:03 PM</v>
      </c>
      <c r="V22" s="2" t="s">
        <v>17</v>
      </c>
      <c r="W22" s="25">
        <v>3.0457142857142858</v>
      </c>
      <c r="X22" s="20"/>
      <c r="Y22" s="15"/>
      <c r="AA22" s="15"/>
      <c r="AC22" s="4">
        <v>45166</v>
      </c>
      <c r="AD22" s="25">
        <v>1206.82</v>
      </c>
      <c r="AO22" s="2" t="s">
        <v>21</v>
      </c>
      <c r="AP22" s="25">
        <v>262095.74000000005</v>
      </c>
      <c r="AQ22" s="25">
        <v>184586.19000000003</v>
      </c>
      <c r="AR22" s="25">
        <v>446681.93000000005</v>
      </c>
      <c r="BD22" s="2" t="s">
        <v>16</v>
      </c>
      <c r="BE22" s="25">
        <v>717057.75000000012</v>
      </c>
      <c r="BF22" s="25">
        <v>60906.23000000001</v>
      </c>
      <c r="BG22" s="25">
        <v>656151.51999999967</v>
      </c>
      <c r="BL22" s="2" t="s">
        <v>1172</v>
      </c>
      <c r="BM22" s="4">
        <v>45152</v>
      </c>
      <c r="BN22" s="25">
        <v>26791.57</v>
      </c>
    </row>
    <row r="23" spans="1:66" ht="15.5" x14ac:dyDescent="0.35">
      <c r="A23">
        <v>2584</v>
      </c>
      <c r="B23" t="s">
        <v>19</v>
      </c>
      <c r="C23" s="1">
        <v>45423</v>
      </c>
      <c r="D23" t="s">
        <v>9</v>
      </c>
      <c r="E23" t="s">
        <v>12</v>
      </c>
      <c r="F23">
        <v>4</v>
      </c>
      <c r="G23">
        <v>2247.64</v>
      </c>
      <c r="H23">
        <v>8990.56</v>
      </c>
      <c r="I23">
        <v>1797.78</v>
      </c>
      <c r="J23">
        <v>7192.78</v>
      </c>
      <c r="K23">
        <v>231</v>
      </c>
      <c r="L23" s="11">
        <v>0.92807870370370371</v>
      </c>
      <c r="M23">
        <f t="shared" si="0"/>
        <v>11</v>
      </c>
      <c r="N23">
        <f t="shared" si="1"/>
        <v>5</v>
      </c>
      <c r="O23">
        <f t="shared" si="2"/>
        <v>2024</v>
      </c>
      <c r="P23" s="4">
        <f t="shared" si="3"/>
        <v>45423</v>
      </c>
      <c r="Q23" t="s">
        <v>1138</v>
      </c>
      <c r="R23" t="s">
        <v>1137</v>
      </c>
      <c r="S23">
        <v>4</v>
      </c>
      <c r="T23" t="s">
        <v>1146</v>
      </c>
      <c r="U23" s="11" t="str">
        <f t="shared" si="4"/>
        <v>10:16:26 PM</v>
      </c>
      <c r="V23" s="2" t="s">
        <v>23</v>
      </c>
      <c r="W23" s="25">
        <v>2.8881987577639752</v>
      </c>
      <c r="Y23" s="15"/>
      <c r="AA23" s="15"/>
      <c r="AC23" s="4">
        <v>45167</v>
      </c>
      <c r="AD23" s="25">
        <v>8788.0400000000009</v>
      </c>
      <c r="AO23" s="2" t="s">
        <v>33</v>
      </c>
      <c r="AP23" s="25">
        <v>179319.84000000008</v>
      </c>
      <c r="AQ23" s="25">
        <v>182647.30999999997</v>
      </c>
      <c r="AR23" s="25">
        <v>361967.15</v>
      </c>
      <c r="BD23" s="2" t="s">
        <v>17</v>
      </c>
      <c r="BE23" s="25">
        <v>634806.40999999968</v>
      </c>
      <c r="BF23" s="25">
        <v>62083.169999999984</v>
      </c>
      <c r="BG23" s="25">
        <v>572723.24</v>
      </c>
      <c r="BL23" s="2" t="s">
        <v>1173</v>
      </c>
      <c r="BM23" s="4">
        <v>45154</v>
      </c>
      <c r="BN23" s="25">
        <v>17571.93</v>
      </c>
    </row>
    <row r="24" spans="1:66" ht="15.5" x14ac:dyDescent="0.35">
      <c r="A24">
        <v>6635</v>
      </c>
      <c r="B24" t="s">
        <v>31</v>
      </c>
      <c r="C24" s="1">
        <v>45613</v>
      </c>
      <c r="D24" t="s">
        <v>4</v>
      </c>
      <c r="E24" t="s">
        <v>10</v>
      </c>
      <c r="F24">
        <v>1</v>
      </c>
      <c r="G24">
        <v>1498.15</v>
      </c>
      <c r="H24">
        <v>1498.15</v>
      </c>
      <c r="I24">
        <v>106.24</v>
      </c>
      <c r="J24">
        <v>1391.91</v>
      </c>
      <c r="K24">
        <v>117</v>
      </c>
      <c r="L24" s="11">
        <v>0.96417824074074077</v>
      </c>
      <c r="M24">
        <f t="shared" si="0"/>
        <v>17</v>
      </c>
      <c r="N24">
        <f t="shared" si="1"/>
        <v>11</v>
      </c>
      <c r="O24">
        <f t="shared" si="2"/>
        <v>2024</v>
      </c>
      <c r="P24" s="4">
        <f t="shared" si="3"/>
        <v>45613</v>
      </c>
      <c r="Q24" t="s">
        <v>1139</v>
      </c>
      <c r="R24" t="s">
        <v>1137</v>
      </c>
      <c r="S24">
        <v>5</v>
      </c>
      <c r="T24" t="s">
        <v>1148</v>
      </c>
      <c r="U24" s="11" t="str">
        <f t="shared" si="4"/>
        <v>11:08:25 PM</v>
      </c>
      <c r="V24" s="2" t="s">
        <v>27</v>
      </c>
      <c r="W24" s="25">
        <v>2.9791666666666665</v>
      </c>
      <c r="X24" s="21"/>
      <c r="Y24" s="15"/>
      <c r="AA24" s="15"/>
      <c r="AC24" s="4">
        <v>45168</v>
      </c>
      <c r="AD24" s="25">
        <v>780.2</v>
      </c>
      <c r="AO24" s="2" t="s">
        <v>1128</v>
      </c>
      <c r="AP24" s="25">
        <v>3441906.25</v>
      </c>
      <c r="AQ24" s="25">
        <v>3367190.48</v>
      </c>
      <c r="AR24" s="25">
        <v>6809096.7300000014</v>
      </c>
      <c r="BD24" s="2" t="s">
        <v>23</v>
      </c>
      <c r="BE24" s="25">
        <v>623435.40999999957</v>
      </c>
      <c r="BF24" s="25">
        <v>59764.979999999989</v>
      </c>
      <c r="BG24" s="25">
        <v>563670.43000000005</v>
      </c>
      <c r="BL24" s="2" t="s">
        <v>1174</v>
      </c>
      <c r="BM24" s="4">
        <v>45155</v>
      </c>
      <c r="BN24" s="25">
        <v>15472.029999999999</v>
      </c>
    </row>
    <row r="25" spans="1:66" ht="15.5" x14ac:dyDescent="0.35">
      <c r="A25">
        <v>5333</v>
      </c>
      <c r="B25" t="s">
        <v>20</v>
      </c>
      <c r="C25" s="1">
        <v>45771</v>
      </c>
      <c r="D25" t="s">
        <v>6</v>
      </c>
      <c r="E25" t="s">
        <v>32</v>
      </c>
      <c r="F25">
        <v>1</v>
      </c>
      <c r="G25">
        <v>2151.36</v>
      </c>
      <c r="H25">
        <v>2151.36</v>
      </c>
      <c r="I25">
        <v>322.87</v>
      </c>
      <c r="J25">
        <v>1828.49</v>
      </c>
      <c r="K25">
        <v>36</v>
      </c>
      <c r="L25" s="11">
        <v>0.17787037037037037</v>
      </c>
      <c r="M25">
        <f t="shared" si="0"/>
        <v>24</v>
      </c>
      <c r="N25">
        <f t="shared" si="1"/>
        <v>4</v>
      </c>
      <c r="O25">
        <f t="shared" si="2"/>
        <v>2025</v>
      </c>
      <c r="P25" s="4">
        <f t="shared" si="3"/>
        <v>45771</v>
      </c>
      <c r="Q25" t="s">
        <v>1136</v>
      </c>
      <c r="R25" t="s">
        <v>1137</v>
      </c>
      <c r="S25">
        <v>4</v>
      </c>
      <c r="T25" t="s">
        <v>1144</v>
      </c>
      <c r="U25" s="11" t="str">
        <f t="shared" si="4"/>
        <v>04:16:08 AM</v>
      </c>
      <c r="V25" s="2" t="s">
        <v>1</v>
      </c>
      <c r="W25" s="25">
        <v>3.1749999999999998</v>
      </c>
      <c r="Y25" s="15"/>
      <c r="AC25" s="4">
        <v>45169</v>
      </c>
      <c r="AD25" s="25">
        <v>12957.130000000001</v>
      </c>
      <c r="BD25" s="2" t="s">
        <v>27</v>
      </c>
      <c r="BE25" s="25">
        <v>760354.69999999972</v>
      </c>
      <c r="BF25" s="25">
        <v>72357.739999999991</v>
      </c>
      <c r="BG25" s="25">
        <v>687996.95999999961</v>
      </c>
      <c r="BL25" s="2" t="s">
        <v>1175</v>
      </c>
      <c r="BM25" s="4">
        <v>45156</v>
      </c>
      <c r="BN25" s="25">
        <v>8226.9599999999991</v>
      </c>
    </row>
    <row r="26" spans="1:66" ht="15.5" x14ac:dyDescent="0.35">
      <c r="A26">
        <v>1711</v>
      </c>
      <c r="B26" t="s">
        <v>15</v>
      </c>
      <c r="C26" s="1">
        <v>45711</v>
      </c>
      <c r="D26" t="s">
        <v>6</v>
      </c>
      <c r="E26" t="s">
        <v>7</v>
      </c>
      <c r="F26">
        <v>2</v>
      </c>
      <c r="G26">
        <v>1823.51</v>
      </c>
      <c r="H26">
        <v>3647.02</v>
      </c>
      <c r="I26">
        <v>729.57</v>
      </c>
      <c r="J26">
        <v>2917.45</v>
      </c>
      <c r="K26">
        <v>451</v>
      </c>
      <c r="L26" s="11">
        <v>0.35984953703703704</v>
      </c>
      <c r="M26">
        <f t="shared" si="0"/>
        <v>23</v>
      </c>
      <c r="N26">
        <f t="shared" si="1"/>
        <v>2</v>
      </c>
      <c r="O26">
        <f t="shared" si="2"/>
        <v>2025</v>
      </c>
      <c r="P26" s="4">
        <f t="shared" si="3"/>
        <v>45711</v>
      </c>
      <c r="Q26" t="s">
        <v>1136</v>
      </c>
      <c r="R26" t="s">
        <v>1137</v>
      </c>
      <c r="S26">
        <v>2</v>
      </c>
      <c r="T26" t="s">
        <v>1149</v>
      </c>
      <c r="U26" s="11" t="str">
        <f t="shared" si="4"/>
        <v>08:38:11 AM</v>
      </c>
      <c r="V26" s="2" t="s">
        <v>9</v>
      </c>
      <c r="W26" s="25">
        <v>2.8894736842105262</v>
      </c>
      <c r="Y26" s="15"/>
      <c r="AC26" s="4">
        <v>45170</v>
      </c>
      <c r="AD26" s="25">
        <v>6559.49</v>
      </c>
      <c r="BD26" s="2" t="s">
        <v>1</v>
      </c>
      <c r="BE26" s="25">
        <v>562334.13000000035</v>
      </c>
      <c r="BF26" s="25">
        <v>56434.189999999973</v>
      </c>
      <c r="BG26" s="25">
        <v>505899.93999999971</v>
      </c>
      <c r="BL26" s="2" t="s">
        <v>1176</v>
      </c>
      <c r="BM26" s="4">
        <v>45157</v>
      </c>
      <c r="BN26" s="25">
        <v>44199.159999999996</v>
      </c>
    </row>
    <row r="27" spans="1:66" ht="15.5" x14ac:dyDescent="0.35">
      <c r="A27">
        <v>8527</v>
      </c>
      <c r="B27" t="s">
        <v>15</v>
      </c>
      <c r="C27" s="1">
        <v>45561</v>
      </c>
      <c r="D27" t="s">
        <v>9</v>
      </c>
      <c r="E27" t="s">
        <v>33</v>
      </c>
      <c r="F27">
        <v>1</v>
      </c>
      <c r="G27">
        <v>315.39999999999998</v>
      </c>
      <c r="H27">
        <v>315.39999999999998</v>
      </c>
      <c r="I27">
        <v>31.54</v>
      </c>
      <c r="J27">
        <v>283.86</v>
      </c>
      <c r="K27">
        <v>220</v>
      </c>
      <c r="L27" s="11">
        <v>0.64</v>
      </c>
      <c r="M27">
        <f t="shared" si="0"/>
        <v>26</v>
      </c>
      <c r="N27">
        <f t="shared" si="1"/>
        <v>9</v>
      </c>
      <c r="O27">
        <f t="shared" si="2"/>
        <v>2024</v>
      </c>
      <c r="P27" s="4">
        <f t="shared" si="3"/>
        <v>45561</v>
      </c>
      <c r="Q27" t="s">
        <v>1139</v>
      </c>
      <c r="R27" t="s">
        <v>1135</v>
      </c>
      <c r="S27">
        <v>4</v>
      </c>
      <c r="T27" t="s">
        <v>1147</v>
      </c>
      <c r="U27" s="11" t="str">
        <f t="shared" si="4"/>
        <v>03:21:36 PM</v>
      </c>
      <c r="V27" s="2" t="s">
        <v>1128</v>
      </c>
      <c r="W27" s="25">
        <v>3.0146464646464648</v>
      </c>
      <c r="Y27" s="15"/>
      <c r="AC27" s="4">
        <v>45172</v>
      </c>
      <c r="AD27" s="25">
        <v>4264.54</v>
      </c>
      <c r="BD27" s="2" t="s">
        <v>9</v>
      </c>
      <c r="BE27" s="25">
        <v>748190.21999999974</v>
      </c>
      <c r="BF27" s="25">
        <v>78633.369999999981</v>
      </c>
      <c r="BG27" s="25">
        <v>669556.85000000021</v>
      </c>
      <c r="BL27" s="2" t="s">
        <v>1177</v>
      </c>
      <c r="BM27" s="4">
        <v>45158</v>
      </c>
      <c r="BN27" s="25">
        <v>4694.4799999999996</v>
      </c>
    </row>
    <row r="28" spans="1:66" ht="15.5" x14ac:dyDescent="0.35">
      <c r="A28">
        <v>3045</v>
      </c>
      <c r="B28" t="s">
        <v>13</v>
      </c>
      <c r="C28" s="1">
        <v>45861</v>
      </c>
      <c r="D28" t="s">
        <v>34</v>
      </c>
      <c r="E28" t="s">
        <v>29</v>
      </c>
      <c r="F28">
        <v>1</v>
      </c>
      <c r="G28">
        <v>228.25</v>
      </c>
      <c r="H28">
        <v>228.25</v>
      </c>
      <c r="I28">
        <v>165.17</v>
      </c>
      <c r="J28">
        <v>63.08</v>
      </c>
      <c r="K28">
        <v>372</v>
      </c>
      <c r="L28" s="11">
        <v>0.93175925925925929</v>
      </c>
      <c r="M28">
        <f t="shared" si="0"/>
        <v>23</v>
      </c>
      <c r="N28">
        <f t="shared" si="1"/>
        <v>7</v>
      </c>
      <c r="O28">
        <f t="shared" si="2"/>
        <v>2025</v>
      </c>
      <c r="P28" s="4">
        <f t="shared" si="3"/>
        <v>45861</v>
      </c>
      <c r="Q28" t="s">
        <v>1139</v>
      </c>
      <c r="R28" t="s">
        <v>1137</v>
      </c>
      <c r="S28">
        <v>3</v>
      </c>
      <c r="T28" t="s">
        <v>1143</v>
      </c>
      <c r="U28" s="11" t="str">
        <f t="shared" si="4"/>
        <v>10:21:44 PM</v>
      </c>
      <c r="Y28" s="15"/>
      <c r="AC28" s="4">
        <v>45173</v>
      </c>
      <c r="AD28" s="25">
        <v>5019.84</v>
      </c>
      <c r="BD28" s="2" t="s">
        <v>1128</v>
      </c>
      <c r="BE28" s="25">
        <v>7543629.2999999998</v>
      </c>
      <c r="BF28" s="25">
        <v>734532.57</v>
      </c>
      <c r="BG28" s="25">
        <v>6809096.7299999995</v>
      </c>
      <c r="BL28" s="2" t="s">
        <v>1178</v>
      </c>
      <c r="BM28" s="4">
        <v>45159</v>
      </c>
      <c r="BN28" s="25">
        <v>3257.75</v>
      </c>
    </row>
    <row r="29" spans="1:66" ht="15.5" x14ac:dyDescent="0.35">
      <c r="A29">
        <v>7201</v>
      </c>
      <c r="B29" t="s">
        <v>31</v>
      </c>
      <c r="C29" s="1">
        <v>45206</v>
      </c>
      <c r="D29" t="s">
        <v>27</v>
      </c>
      <c r="E29" t="s">
        <v>22</v>
      </c>
      <c r="F29">
        <v>2</v>
      </c>
      <c r="G29">
        <v>1097.26</v>
      </c>
      <c r="H29">
        <v>2194.52</v>
      </c>
      <c r="I29">
        <v>439.07</v>
      </c>
      <c r="J29">
        <v>1755.45</v>
      </c>
      <c r="K29">
        <v>142</v>
      </c>
      <c r="L29" s="11">
        <v>0.80474537037037042</v>
      </c>
      <c r="M29">
        <f t="shared" si="0"/>
        <v>7</v>
      </c>
      <c r="N29">
        <f t="shared" si="1"/>
        <v>10</v>
      </c>
      <c r="O29">
        <f t="shared" si="2"/>
        <v>2023</v>
      </c>
      <c r="P29" s="4">
        <f t="shared" si="3"/>
        <v>45206</v>
      </c>
      <c r="Q29" t="s">
        <v>1139</v>
      </c>
      <c r="R29" t="s">
        <v>1135</v>
      </c>
      <c r="S29">
        <v>4</v>
      </c>
      <c r="T29" t="s">
        <v>1142</v>
      </c>
      <c r="U29" s="11" t="str">
        <f t="shared" si="4"/>
        <v>07:18:50 PM</v>
      </c>
      <c r="V29" s="7" t="s">
        <v>1127</v>
      </c>
      <c r="W29" t="s">
        <v>1152</v>
      </c>
      <c r="X29" s="23"/>
      <c r="Y29" s="15"/>
      <c r="AC29" s="4">
        <v>45174</v>
      </c>
      <c r="AD29" s="25">
        <v>9632.98</v>
      </c>
      <c r="BL29" s="2" t="s">
        <v>1179</v>
      </c>
      <c r="BM29" s="4">
        <v>45161</v>
      </c>
      <c r="BN29" s="25">
        <v>4505.24</v>
      </c>
    </row>
    <row r="30" spans="1:66" ht="15.5" x14ac:dyDescent="0.35">
      <c r="A30">
        <v>5803</v>
      </c>
      <c r="B30" t="s">
        <v>0</v>
      </c>
      <c r="C30" s="1">
        <v>45789</v>
      </c>
      <c r="D30" t="s">
        <v>34</v>
      </c>
      <c r="E30" t="s">
        <v>7</v>
      </c>
      <c r="F30">
        <v>1</v>
      </c>
      <c r="G30">
        <v>204.18</v>
      </c>
      <c r="H30">
        <v>204.18</v>
      </c>
      <c r="I30">
        <v>390.93</v>
      </c>
      <c r="J30">
        <v>-186.75</v>
      </c>
      <c r="K30">
        <v>276</v>
      </c>
      <c r="L30" s="11">
        <v>0.14371527777777779</v>
      </c>
      <c r="M30">
        <f t="shared" si="0"/>
        <v>12</v>
      </c>
      <c r="N30">
        <f t="shared" si="1"/>
        <v>5</v>
      </c>
      <c r="O30">
        <f t="shared" si="2"/>
        <v>2025</v>
      </c>
      <c r="P30" s="4">
        <f t="shared" si="3"/>
        <v>45789</v>
      </c>
      <c r="Q30" t="s">
        <v>1136</v>
      </c>
      <c r="R30" t="s">
        <v>1135</v>
      </c>
      <c r="S30">
        <v>2</v>
      </c>
      <c r="T30" t="s">
        <v>1145</v>
      </c>
      <c r="U30" s="11" t="str">
        <f t="shared" si="4"/>
        <v>03:26:57 AM</v>
      </c>
      <c r="V30" s="2" t="s">
        <v>18</v>
      </c>
      <c r="W30" s="25">
        <v>2.970873786407767</v>
      </c>
      <c r="Y30" s="15"/>
      <c r="AC30" s="4">
        <v>45175</v>
      </c>
      <c r="AD30" s="25">
        <v>8163.05</v>
      </c>
      <c r="BD30" s="7" t="s">
        <v>1127</v>
      </c>
      <c r="BE30" t="s">
        <v>1153</v>
      </c>
      <c r="BF30" t="s">
        <v>1130</v>
      </c>
      <c r="BG30" t="s">
        <v>1129</v>
      </c>
      <c r="BL30" s="2" t="s">
        <v>1180</v>
      </c>
      <c r="BM30" s="4">
        <v>45162</v>
      </c>
      <c r="BN30" s="25">
        <v>7372.0599999999995</v>
      </c>
    </row>
    <row r="31" spans="1:66" ht="15.5" x14ac:dyDescent="0.35">
      <c r="A31">
        <v>6925</v>
      </c>
      <c r="B31" t="s">
        <v>31</v>
      </c>
      <c r="C31" s="1">
        <v>45593</v>
      </c>
      <c r="D31" t="s">
        <v>23</v>
      </c>
      <c r="E31" t="s">
        <v>5</v>
      </c>
      <c r="F31">
        <v>4</v>
      </c>
      <c r="G31">
        <v>1240.8499999999999</v>
      </c>
      <c r="H31">
        <v>4963.3999999999996</v>
      </c>
      <c r="I31">
        <v>137.78</v>
      </c>
      <c r="J31">
        <v>4825.62</v>
      </c>
      <c r="K31">
        <v>442</v>
      </c>
      <c r="L31" s="11">
        <v>0.52997685185185184</v>
      </c>
      <c r="M31">
        <f t="shared" si="0"/>
        <v>28</v>
      </c>
      <c r="N31">
        <f t="shared" si="1"/>
        <v>10</v>
      </c>
      <c r="O31">
        <f t="shared" si="2"/>
        <v>2024</v>
      </c>
      <c r="P31" s="4">
        <f t="shared" si="3"/>
        <v>45593</v>
      </c>
      <c r="Q31" t="s">
        <v>1136</v>
      </c>
      <c r="R31" t="s">
        <v>1135</v>
      </c>
      <c r="S31">
        <v>2</v>
      </c>
      <c r="T31" t="s">
        <v>1148</v>
      </c>
      <c r="U31" s="11" t="str">
        <f t="shared" si="4"/>
        <v>12:43:10 PM</v>
      </c>
      <c r="V31" s="2" t="s">
        <v>28</v>
      </c>
      <c r="W31" s="25">
        <v>3.0686274509803924</v>
      </c>
      <c r="Y31" s="15"/>
      <c r="AC31" s="4">
        <v>45176</v>
      </c>
      <c r="AD31" s="25">
        <v>531.20000000000005</v>
      </c>
      <c r="BD31" s="2" t="s">
        <v>18</v>
      </c>
      <c r="BE31" s="25">
        <v>416420.13</v>
      </c>
      <c r="BF31" s="25">
        <v>38302.009999999987</v>
      </c>
      <c r="BG31" s="25">
        <v>378118.12000000005</v>
      </c>
      <c r="BL31" s="2" t="s">
        <v>1181</v>
      </c>
      <c r="BM31" s="4">
        <v>45163</v>
      </c>
      <c r="BN31" s="25">
        <v>4548.3999999999996</v>
      </c>
    </row>
    <row r="32" spans="1:66" ht="15.5" x14ac:dyDescent="0.35">
      <c r="A32">
        <v>4150</v>
      </c>
      <c r="B32" t="s">
        <v>20</v>
      </c>
      <c r="C32" s="1">
        <v>45692</v>
      </c>
      <c r="D32" t="s">
        <v>9</v>
      </c>
      <c r="E32" t="s">
        <v>2</v>
      </c>
      <c r="F32">
        <v>4</v>
      </c>
      <c r="G32">
        <v>768.58</v>
      </c>
      <c r="H32">
        <v>3074.32</v>
      </c>
      <c r="I32">
        <v>615.03</v>
      </c>
      <c r="J32">
        <v>2459.29</v>
      </c>
      <c r="K32">
        <v>356</v>
      </c>
      <c r="L32" s="11">
        <v>0.13655092592592594</v>
      </c>
      <c r="M32">
        <f t="shared" si="0"/>
        <v>4</v>
      </c>
      <c r="N32">
        <f t="shared" si="1"/>
        <v>2</v>
      </c>
      <c r="O32">
        <f t="shared" si="2"/>
        <v>2025</v>
      </c>
      <c r="P32" s="4">
        <f t="shared" si="3"/>
        <v>45692</v>
      </c>
      <c r="Q32" t="s">
        <v>1138</v>
      </c>
      <c r="R32" t="s">
        <v>1135</v>
      </c>
      <c r="S32">
        <v>1</v>
      </c>
      <c r="T32" t="s">
        <v>1150</v>
      </c>
      <c r="U32" s="11" t="str">
        <f t="shared" si="4"/>
        <v>03:16:38 AM</v>
      </c>
      <c r="V32" s="2" t="s">
        <v>32</v>
      </c>
      <c r="W32" s="25">
        <v>2.9669421487603307</v>
      </c>
      <c r="Y32" s="15"/>
      <c r="AC32" s="4">
        <v>45177</v>
      </c>
      <c r="AD32" s="25">
        <v>4329.28</v>
      </c>
      <c r="BD32" s="2" t="s">
        <v>28</v>
      </c>
      <c r="BE32" s="25">
        <v>432083.8899999999</v>
      </c>
      <c r="BF32" s="25">
        <v>41090.80999999999</v>
      </c>
      <c r="BG32" s="25">
        <v>390993.07999999978</v>
      </c>
      <c r="BL32" s="2" t="s">
        <v>1182</v>
      </c>
      <c r="BM32" s="4">
        <v>45164</v>
      </c>
      <c r="BN32" s="25">
        <v>12658.33</v>
      </c>
    </row>
    <row r="33" spans="1:66" ht="15.5" x14ac:dyDescent="0.35">
      <c r="A33">
        <v>2139</v>
      </c>
      <c r="B33" t="s">
        <v>31</v>
      </c>
      <c r="C33" s="1">
        <v>45180</v>
      </c>
      <c r="D33" t="s">
        <v>24</v>
      </c>
      <c r="E33" t="s">
        <v>33</v>
      </c>
      <c r="F33">
        <v>1</v>
      </c>
      <c r="G33">
        <v>1476.57</v>
      </c>
      <c r="H33">
        <v>1476.57</v>
      </c>
      <c r="I33">
        <v>0</v>
      </c>
      <c r="J33">
        <v>1476.57</v>
      </c>
      <c r="K33">
        <v>277</v>
      </c>
      <c r="L33" s="11">
        <v>0.28328703703703706</v>
      </c>
      <c r="M33">
        <f t="shared" si="0"/>
        <v>11</v>
      </c>
      <c r="N33">
        <f t="shared" si="1"/>
        <v>9</v>
      </c>
      <c r="O33">
        <f t="shared" si="2"/>
        <v>2023</v>
      </c>
      <c r="P33" s="4">
        <f t="shared" si="3"/>
        <v>45180</v>
      </c>
      <c r="Q33" t="s">
        <v>1138</v>
      </c>
      <c r="R33" t="s">
        <v>1135</v>
      </c>
      <c r="S33">
        <v>5</v>
      </c>
      <c r="T33" t="s">
        <v>1143</v>
      </c>
      <c r="U33" s="11" t="str">
        <f t="shared" si="4"/>
        <v>06:47:56 AM</v>
      </c>
      <c r="V33" s="2" t="s">
        <v>36</v>
      </c>
      <c r="W33" s="25">
        <v>2.8695652173913042</v>
      </c>
      <c r="Y33" s="15"/>
      <c r="AC33" s="4">
        <v>45178</v>
      </c>
      <c r="AD33" s="25">
        <v>17024.96</v>
      </c>
      <c r="BD33" s="2" t="s">
        <v>32</v>
      </c>
      <c r="BE33" s="25">
        <v>491770.02000000008</v>
      </c>
      <c r="BF33" s="25">
        <v>47773.139999999985</v>
      </c>
      <c r="BG33" s="25">
        <v>443996.88000000024</v>
      </c>
      <c r="BL33" s="2" t="s">
        <v>1183</v>
      </c>
      <c r="BM33" s="4">
        <v>45165</v>
      </c>
      <c r="BN33" s="25">
        <v>19952.37</v>
      </c>
    </row>
    <row r="34" spans="1:66" ht="15.5" x14ac:dyDescent="0.35">
      <c r="A34">
        <v>4733</v>
      </c>
      <c r="B34" t="s">
        <v>25</v>
      </c>
      <c r="C34" s="1">
        <v>45745</v>
      </c>
      <c r="D34" t="s">
        <v>1</v>
      </c>
      <c r="E34" t="s">
        <v>29</v>
      </c>
      <c r="F34">
        <v>5</v>
      </c>
      <c r="G34">
        <v>1230.06</v>
      </c>
      <c r="H34">
        <v>6150.3</v>
      </c>
      <c r="I34">
        <v>401.72</v>
      </c>
      <c r="J34">
        <v>5748.58</v>
      </c>
      <c r="K34">
        <v>470</v>
      </c>
      <c r="L34" s="11">
        <v>0.34927083333333331</v>
      </c>
      <c r="M34">
        <f t="shared" si="0"/>
        <v>29</v>
      </c>
      <c r="N34">
        <f t="shared" si="1"/>
        <v>3</v>
      </c>
      <c r="O34">
        <f t="shared" si="2"/>
        <v>2025</v>
      </c>
      <c r="P34" s="4">
        <f t="shared" si="3"/>
        <v>45745</v>
      </c>
      <c r="Q34" t="s">
        <v>1136</v>
      </c>
      <c r="R34" t="s">
        <v>1137</v>
      </c>
      <c r="S34">
        <v>4</v>
      </c>
      <c r="T34" t="s">
        <v>1145</v>
      </c>
      <c r="U34" s="11" t="str">
        <f t="shared" si="4"/>
        <v>08:22:57 AM</v>
      </c>
      <c r="V34" s="2" t="s">
        <v>10</v>
      </c>
      <c r="W34" s="25">
        <v>3.0353982300884956</v>
      </c>
      <c r="Y34" s="15"/>
      <c r="AC34" s="4">
        <v>45179</v>
      </c>
      <c r="AD34" s="25">
        <v>6087.22</v>
      </c>
      <c r="BD34" s="2" t="s">
        <v>36</v>
      </c>
      <c r="BE34" s="25">
        <v>310941.24000000005</v>
      </c>
      <c r="BF34" s="25">
        <v>31705.169999999987</v>
      </c>
      <c r="BG34" s="25">
        <v>279236.07</v>
      </c>
      <c r="BL34" s="2" t="s">
        <v>1184</v>
      </c>
      <c r="BM34" s="4">
        <v>45166</v>
      </c>
      <c r="BN34" s="25">
        <v>1206.82</v>
      </c>
    </row>
    <row r="35" spans="1:66" ht="15.5" x14ac:dyDescent="0.35">
      <c r="A35">
        <v>5741</v>
      </c>
      <c r="B35" t="s">
        <v>0</v>
      </c>
      <c r="C35" s="1">
        <v>45206</v>
      </c>
      <c r="D35" t="s">
        <v>23</v>
      </c>
      <c r="E35" t="s">
        <v>32</v>
      </c>
      <c r="F35">
        <v>5</v>
      </c>
      <c r="G35">
        <v>245.68</v>
      </c>
      <c r="H35">
        <v>1228.4000000000001</v>
      </c>
      <c r="I35">
        <v>122.84</v>
      </c>
      <c r="J35">
        <v>1105.56</v>
      </c>
      <c r="K35">
        <v>441</v>
      </c>
      <c r="L35" s="11">
        <v>3.7152777777777778E-2</v>
      </c>
      <c r="M35">
        <f t="shared" si="0"/>
        <v>7</v>
      </c>
      <c r="N35">
        <f t="shared" si="1"/>
        <v>10</v>
      </c>
      <c r="O35">
        <f t="shared" si="2"/>
        <v>2023</v>
      </c>
      <c r="P35" s="4">
        <f t="shared" si="3"/>
        <v>45206</v>
      </c>
      <c r="Q35" t="s">
        <v>1139</v>
      </c>
      <c r="R35" t="s">
        <v>1137</v>
      </c>
      <c r="S35">
        <v>1</v>
      </c>
      <c r="T35" t="s">
        <v>1144</v>
      </c>
      <c r="U35" s="11" t="str">
        <f t="shared" si="4"/>
        <v>12:53:30 AM</v>
      </c>
      <c r="V35" s="2" t="s">
        <v>5</v>
      </c>
      <c r="W35" s="25">
        <v>3.1428571428571428</v>
      </c>
      <c r="Y35" s="15"/>
      <c r="AC35" s="4">
        <v>45180</v>
      </c>
      <c r="AD35" s="25">
        <v>27133.53</v>
      </c>
      <c r="BD35" s="2" t="s">
        <v>10</v>
      </c>
      <c r="BE35" s="25">
        <v>427674.93</v>
      </c>
      <c r="BF35" s="25">
        <v>38288.730000000003</v>
      </c>
      <c r="BG35" s="25">
        <v>389386.20000000019</v>
      </c>
      <c r="BL35" s="2" t="s">
        <v>1185</v>
      </c>
      <c r="BM35" s="4">
        <v>45167</v>
      </c>
      <c r="BN35" s="25">
        <v>8788.0400000000009</v>
      </c>
    </row>
    <row r="36" spans="1:66" ht="15.5" x14ac:dyDescent="0.35">
      <c r="A36">
        <v>4814</v>
      </c>
      <c r="B36" t="s">
        <v>0</v>
      </c>
      <c r="C36" s="1">
        <v>45818</v>
      </c>
      <c r="D36" t="s">
        <v>17</v>
      </c>
      <c r="E36" t="s">
        <v>14</v>
      </c>
      <c r="F36">
        <v>5</v>
      </c>
      <c r="G36">
        <v>1513.09</v>
      </c>
      <c r="H36">
        <v>7565.45</v>
      </c>
      <c r="I36">
        <v>756.96</v>
      </c>
      <c r="J36">
        <v>6808.49</v>
      </c>
      <c r="K36">
        <v>317</v>
      </c>
      <c r="L36" s="11">
        <v>0.51928240740740739</v>
      </c>
      <c r="M36">
        <f t="shared" si="0"/>
        <v>10</v>
      </c>
      <c r="N36">
        <f t="shared" si="1"/>
        <v>6</v>
      </c>
      <c r="O36">
        <f t="shared" si="2"/>
        <v>2025</v>
      </c>
      <c r="P36" s="4">
        <f t="shared" si="3"/>
        <v>45818</v>
      </c>
      <c r="Q36" t="s">
        <v>1139</v>
      </c>
      <c r="R36" t="s">
        <v>1137</v>
      </c>
      <c r="S36">
        <v>5</v>
      </c>
      <c r="T36" t="s">
        <v>1150</v>
      </c>
      <c r="U36" s="11" t="str">
        <f t="shared" si="4"/>
        <v>12:27:46 PM</v>
      </c>
      <c r="V36" s="2" t="s">
        <v>38</v>
      </c>
      <c r="W36" s="25">
        <v>2.9847328244274811</v>
      </c>
      <c r="Y36" s="15"/>
      <c r="AC36" s="4">
        <v>45181</v>
      </c>
      <c r="AD36" s="25">
        <v>4317.66</v>
      </c>
      <c r="BD36" s="2" t="s">
        <v>5</v>
      </c>
      <c r="BE36" s="25">
        <v>383142.93999999971</v>
      </c>
      <c r="BF36" s="25">
        <v>36211.240000000005</v>
      </c>
      <c r="BG36" s="25">
        <v>346931.7</v>
      </c>
      <c r="BL36" s="2" t="s">
        <v>1186</v>
      </c>
      <c r="BM36" s="4">
        <v>45168</v>
      </c>
      <c r="BN36" s="25">
        <v>780.2</v>
      </c>
    </row>
    <row r="37" spans="1:66" ht="15.5" x14ac:dyDescent="0.35">
      <c r="A37">
        <v>2654</v>
      </c>
      <c r="B37" t="s">
        <v>3</v>
      </c>
      <c r="C37" s="1">
        <v>45440</v>
      </c>
      <c r="D37" t="s">
        <v>11</v>
      </c>
      <c r="E37" t="s">
        <v>2</v>
      </c>
      <c r="F37">
        <v>2</v>
      </c>
      <c r="G37">
        <v>1694.03</v>
      </c>
      <c r="H37">
        <v>3388.06</v>
      </c>
      <c r="I37">
        <v>507.96</v>
      </c>
      <c r="J37">
        <v>2880.1</v>
      </c>
      <c r="K37">
        <v>160</v>
      </c>
      <c r="L37" s="11">
        <v>0.69049768518518517</v>
      </c>
      <c r="M37">
        <f t="shared" si="0"/>
        <v>28</v>
      </c>
      <c r="N37">
        <f t="shared" si="1"/>
        <v>5</v>
      </c>
      <c r="O37">
        <f t="shared" si="2"/>
        <v>2024</v>
      </c>
      <c r="P37" s="4">
        <f t="shared" si="3"/>
        <v>45440</v>
      </c>
      <c r="Q37" t="s">
        <v>1138</v>
      </c>
      <c r="R37" t="s">
        <v>1137</v>
      </c>
      <c r="S37">
        <v>4</v>
      </c>
      <c r="T37" t="s">
        <v>1141</v>
      </c>
      <c r="U37" s="11" t="str">
        <f t="shared" si="4"/>
        <v>04:34:19 PM</v>
      </c>
      <c r="V37" s="2" t="s">
        <v>30</v>
      </c>
      <c r="W37" s="25">
        <v>2.9385964912280702</v>
      </c>
      <c r="Y37" s="15"/>
      <c r="AC37" s="4">
        <v>45182</v>
      </c>
      <c r="AD37" s="25">
        <v>3910.96</v>
      </c>
      <c r="BD37" s="2" t="s">
        <v>38</v>
      </c>
      <c r="BE37" s="25">
        <v>469970.07</v>
      </c>
      <c r="BF37" s="25">
        <v>40621.030000000006</v>
      </c>
      <c r="BG37" s="25">
        <v>429349.04000000021</v>
      </c>
      <c r="BL37" s="2" t="s">
        <v>1187</v>
      </c>
      <c r="BM37" s="4">
        <v>45169</v>
      </c>
      <c r="BN37" s="25">
        <v>12957.130000000001</v>
      </c>
    </row>
    <row r="38" spans="1:66" ht="15.5" x14ac:dyDescent="0.35">
      <c r="A38">
        <v>5554</v>
      </c>
      <c r="B38" t="s">
        <v>13</v>
      </c>
      <c r="C38" s="1">
        <v>45497</v>
      </c>
      <c r="D38" t="s">
        <v>23</v>
      </c>
      <c r="E38" t="s">
        <v>26</v>
      </c>
      <c r="F38">
        <v>4</v>
      </c>
      <c r="G38">
        <v>843.28</v>
      </c>
      <c r="H38">
        <v>3373.12</v>
      </c>
      <c r="I38">
        <v>234.89</v>
      </c>
      <c r="J38">
        <v>3138.23</v>
      </c>
      <c r="K38">
        <v>384</v>
      </c>
      <c r="L38" s="11">
        <v>0.53991898148148143</v>
      </c>
      <c r="M38">
        <f t="shared" si="0"/>
        <v>24</v>
      </c>
      <c r="N38">
        <f t="shared" si="1"/>
        <v>7</v>
      </c>
      <c r="O38">
        <f t="shared" si="2"/>
        <v>2024</v>
      </c>
      <c r="P38" s="4">
        <f t="shared" si="3"/>
        <v>45497</v>
      </c>
      <c r="Q38" t="s">
        <v>1136</v>
      </c>
      <c r="R38" t="s">
        <v>1135</v>
      </c>
      <c r="S38">
        <v>3</v>
      </c>
      <c r="T38" t="s">
        <v>1141</v>
      </c>
      <c r="U38" s="11" t="str">
        <f t="shared" si="4"/>
        <v>12:57:29 PM</v>
      </c>
      <c r="V38" s="2" t="s">
        <v>14</v>
      </c>
      <c r="W38" s="25">
        <v>3.2134831460674156</v>
      </c>
      <c r="Y38" s="15"/>
      <c r="AC38" s="4">
        <v>45184</v>
      </c>
      <c r="AD38" s="25">
        <v>6564.47</v>
      </c>
      <c r="BD38" s="2" t="s">
        <v>30</v>
      </c>
      <c r="BE38" s="25">
        <v>450363.80999999994</v>
      </c>
      <c r="BF38" s="25">
        <v>49839.840000000004</v>
      </c>
      <c r="BG38" s="25">
        <v>400523.97000000003</v>
      </c>
      <c r="BL38" s="2" t="s">
        <v>1188</v>
      </c>
      <c r="BM38" s="4">
        <v>45170</v>
      </c>
      <c r="BN38" s="25">
        <v>6559.49</v>
      </c>
    </row>
    <row r="39" spans="1:66" x14ac:dyDescent="0.35">
      <c r="A39">
        <v>6977</v>
      </c>
      <c r="B39" t="s">
        <v>0</v>
      </c>
      <c r="C39" s="1">
        <v>45271</v>
      </c>
      <c r="D39" t="s">
        <v>4</v>
      </c>
      <c r="E39" t="s">
        <v>7</v>
      </c>
      <c r="F39">
        <v>2</v>
      </c>
      <c r="G39">
        <v>1299.78</v>
      </c>
      <c r="H39">
        <v>2599.56</v>
      </c>
      <c r="I39">
        <v>375.16</v>
      </c>
      <c r="J39">
        <v>2224.4</v>
      </c>
      <c r="K39">
        <v>67</v>
      </c>
      <c r="L39" s="11">
        <v>0.54175925925925927</v>
      </c>
      <c r="M39">
        <f t="shared" si="0"/>
        <v>11</v>
      </c>
      <c r="N39">
        <f t="shared" si="1"/>
        <v>12</v>
      </c>
      <c r="O39">
        <f t="shared" si="2"/>
        <v>2023</v>
      </c>
      <c r="P39" s="4">
        <f t="shared" si="3"/>
        <v>45271</v>
      </c>
      <c r="Q39" t="s">
        <v>1138</v>
      </c>
      <c r="R39" t="s">
        <v>1137</v>
      </c>
      <c r="S39">
        <v>4</v>
      </c>
      <c r="T39" t="s">
        <v>1148</v>
      </c>
      <c r="U39" s="11" t="str">
        <f t="shared" si="4"/>
        <v>01:00:08 PM</v>
      </c>
      <c r="V39" s="2" t="s">
        <v>29</v>
      </c>
      <c r="W39" s="25">
        <v>2.925925925925926</v>
      </c>
      <c r="Y39" s="19"/>
      <c r="AC39" s="4">
        <v>45185</v>
      </c>
      <c r="AD39" s="25">
        <v>22405.02</v>
      </c>
      <c r="BD39" s="2" t="s">
        <v>14</v>
      </c>
      <c r="BE39" s="25">
        <v>337274.65000000014</v>
      </c>
      <c r="BF39" s="25">
        <v>32559.239999999987</v>
      </c>
      <c r="BG39" s="25">
        <v>304715.41000000009</v>
      </c>
      <c r="BL39" s="2" t="s">
        <v>1189</v>
      </c>
      <c r="BM39" s="4">
        <v>45172</v>
      </c>
      <c r="BN39" s="25">
        <v>4264.54</v>
      </c>
    </row>
    <row r="40" spans="1:66" x14ac:dyDescent="0.35">
      <c r="A40">
        <v>7065</v>
      </c>
      <c r="B40" t="s">
        <v>25</v>
      </c>
      <c r="C40" s="1">
        <v>45420</v>
      </c>
      <c r="D40" t="s">
        <v>24</v>
      </c>
      <c r="E40" t="s">
        <v>18</v>
      </c>
      <c r="F40">
        <v>4</v>
      </c>
      <c r="G40">
        <v>2089.11</v>
      </c>
      <c r="H40">
        <v>8356.44</v>
      </c>
      <c r="I40">
        <v>410.02</v>
      </c>
      <c r="J40">
        <v>7946.42</v>
      </c>
      <c r="K40">
        <v>360</v>
      </c>
      <c r="L40" s="11">
        <v>5.8171296296296297E-2</v>
      </c>
      <c r="M40">
        <f t="shared" si="0"/>
        <v>8</v>
      </c>
      <c r="N40">
        <f t="shared" si="1"/>
        <v>5</v>
      </c>
      <c r="O40">
        <f t="shared" si="2"/>
        <v>2024</v>
      </c>
      <c r="P40" s="4">
        <f t="shared" si="3"/>
        <v>45420</v>
      </c>
      <c r="Q40" t="s">
        <v>1138</v>
      </c>
      <c r="R40" t="s">
        <v>1135</v>
      </c>
      <c r="S40">
        <v>2</v>
      </c>
      <c r="T40" t="s">
        <v>1141</v>
      </c>
      <c r="U40" s="11" t="str">
        <f t="shared" si="4"/>
        <v>01:23:46 AM</v>
      </c>
      <c r="V40" s="2" t="s">
        <v>7</v>
      </c>
      <c r="W40" s="25">
        <v>2.8582677165354329</v>
      </c>
      <c r="AC40" s="4">
        <v>45186</v>
      </c>
      <c r="AD40" s="25">
        <v>9096.7999999999993</v>
      </c>
      <c r="BD40" s="2" t="s">
        <v>29</v>
      </c>
      <c r="BE40" s="25">
        <v>360163.56</v>
      </c>
      <c r="BF40" s="25">
        <v>42203.840000000004</v>
      </c>
      <c r="BG40" s="25">
        <v>317959.71999999991</v>
      </c>
      <c r="BL40" s="2" t="s">
        <v>1190</v>
      </c>
      <c r="BM40" s="4">
        <v>45173</v>
      </c>
      <c r="BN40" s="25">
        <v>5019.84</v>
      </c>
    </row>
    <row r="41" spans="1:66" x14ac:dyDescent="0.35">
      <c r="A41">
        <v>4432</v>
      </c>
      <c r="B41" t="s">
        <v>3</v>
      </c>
      <c r="C41" s="1">
        <v>45665</v>
      </c>
      <c r="D41" t="s">
        <v>1</v>
      </c>
      <c r="E41" t="s">
        <v>7</v>
      </c>
      <c r="F41">
        <v>3</v>
      </c>
      <c r="G41">
        <v>2324.83</v>
      </c>
      <c r="H41">
        <v>6974.49</v>
      </c>
      <c r="I41">
        <v>1045.8</v>
      </c>
      <c r="J41">
        <v>5928.69</v>
      </c>
      <c r="K41">
        <v>53</v>
      </c>
      <c r="L41" s="11">
        <v>0.62270833333333331</v>
      </c>
      <c r="M41">
        <f t="shared" si="0"/>
        <v>8</v>
      </c>
      <c r="N41">
        <f t="shared" si="1"/>
        <v>1</v>
      </c>
      <c r="O41">
        <f t="shared" si="2"/>
        <v>2025</v>
      </c>
      <c r="P41" s="4">
        <f t="shared" si="3"/>
        <v>45665</v>
      </c>
      <c r="Q41" t="s">
        <v>1134</v>
      </c>
      <c r="R41" t="s">
        <v>1137</v>
      </c>
      <c r="S41">
        <v>2</v>
      </c>
      <c r="T41" t="s">
        <v>1150</v>
      </c>
      <c r="U41" s="11" t="str">
        <f t="shared" si="4"/>
        <v>02:56:42 PM</v>
      </c>
      <c r="V41" s="2" t="s">
        <v>12</v>
      </c>
      <c r="W41" s="25">
        <v>3.0446428571428572</v>
      </c>
      <c r="AC41" s="4">
        <v>45187</v>
      </c>
      <c r="AD41" s="25">
        <v>6191.8</v>
      </c>
      <c r="BD41" s="2" t="s">
        <v>7</v>
      </c>
      <c r="BE41" s="25">
        <v>429172.25000000012</v>
      </c>
      <c r="BF41" s="25">
        <v>46396.999999999985</v>
      </c>
      <c r="BG41" s="25">
        <v>382775.25</v>
      </c>
      <c r="BL41" s="2" t="s">
        <v>1191</v>
      </c>
      <c r="BM41" s="4">
        <v>45174</v>
      </c>
      <c r="BN41" s="25">
        <v>9632.98</v>
      </c>
    </row>
    <row r="42" spans="1:66" x14ac:dyDescent="0.35">
      <c r="A42">
        <v>5374</v>
      </c>
      <c r="B42" t="s">
        <v>0</v>
      </c>
      <c r="C42" s="1">
        <v>45690</v>
      </c>
      <c r="D42" t="s">
        <v>4</v>
      </c>
      <c r="E42" t="s">
        <v>7</v>
      </c>
      <c r="F42">
        <v>2</v>
      </c>
      <c r="G42">
        <v>737.87</v>
      </c>
      <c r="H42">
        <v>1475.74</v>
      </c>
      <c r="I42">
        <v>0</v>
      </c>
      <c r="J42">
        <v>1475.74</v>
      </c>
      <c r="K42">
        <v>309</v>
      </c>
      <c r="L42" s="11">
        <v>0.50937500000000002</v>
      </c>
      <c r="M42">
        <f t="shared" si="0"/>
        <v>2</v>
      </c>
      <c r="N42">
        <f t="shared" si="1"/>
        <v>2</v>
      </c>
      <c r="O42">
        <f t="shared" si="2"/>
        <v>2025</v>
      </c>
      <c r="P42" s="4">
        <f t="shared" si="3"/>
        <v>45690</v>
      </c>
      <c r="Q42" t="s">
        <v>1134</v>
      </c>
      <c r="R42" t="s">
        <v>1135</v>
      </c>
      <c r="S42">
        <v>3</v>
      </c>
      <c r="T42" t="s">
        <v>1150</v>
      </c>
      <c r="U42" s="11" t="str">
        <f t="shared" si="4"/>
        <v>12:13:30 PM</v>
      </c>
      <c r="V42" s="2" t="s">
        <v>2</v>
      </c>
      <c r="W42" s="25">
        <v>3.2424242424242422</v>
      </c>
      <c r="AC42" s="4">
        <v>45188</v>
      </c>
      <c r="AD42" s="25">
        <v>2597.0699999999997</v>
      </c>
      <c r="BD42" s="2" t="s">
        <v>12</v>
      </c>
      <c r="BE42" s="25">
        <v>427259.92999999993</v>
      </c>
      <c r="BF42" s="25">
        <v>45365.30999999999</v>
      </c>
      <c r="BG42" s="25">
        <v>381894.61999999988</v>
      </c>
      <c r="BL42" s="2" t="s">
        <v>1192</v>
      </c>
      <c r="BM42" s="4">
        <v>45175</v>
      </c>
      <c r="BN42" s="25">
        <v>8163.05</v>
      </c>
    </row>
    <row r="43" spans="1:66" x14ac:dyDescent="0.35">
      <c r="A43">
        <v>2169</v>
      </c>
      <c r="B43" t="s">
        <v>25</v>
      </c>
      <c r="C43" s="1">
        <v>45618</v>
      </c>
      <c r="D43" t="s">
        <v>6</v>
      </c>
      <c r="E43" t="s">
        <v>2</v>
      </c>
      <c r="F43">
        <v>5</v>
      </c>
      <c r="G43">
        <v>1258.28</v>
      </c>
      <c r="H43">
        <v>6291.4</v>
      </c>
      <c r="I43">
        <v>293.82</v>
      </c>
      <c r="J43">
        <v>5997.58</v>
      </c>
      <c r="K43">
        <v>463</v>
      </c>
      <c r="L43" s="11">
        <v>0.46704861111111112</v>
      </c>
      <c r="M43">
        <f t="shared" si="0"/>
        <v>22</v>
      </c>
      <c r="N43">
        <f t="shared" si="1"/>
        <v>11</v>
      </c>
      <c r="O43">
        <f t="shared" si="2"/>
        <v>2024</v>
      </c>
      <c r="P43" s="4">
        <f t="shared" si="3"/>
        <v>45618</v>
      </c>
      <c r="Q43" t="s">
        <v>1134</v>
      </c>
      <c r="R43" t="s">
        <v>1135</v>
      </c>
      <c r="S43">
        <v>1</v>
      </c>
      <c r="T43" t="s">
        <v>1147</v>
      </c>
      <c r="U43" s="11" t="str">
        <f t="shared" si="4"/>
        <v>11:12:33 AM</v>
      </c>
      <c r="V43" s="2" t="s">
        <v>37</v>
      </c>
      <c r="W43" s="25">
        <v>2.9237288135593222</v>
      </c>
      <c r="AC43" s="4">
        <v>45189</v>
      </c>
      <c r="AD43" s="25">
        <v>17552.010000000002</v>
      </c>
      <c r="BD43" s="2" t="s">
        <v>2</v>
      </c>
      <c r="BE43" s="25">
        <v>420372.59000000014</v>
      </c>
      <c r="BF43" s="25">
        <v>36436.169999999984</v>
      </c>
      <c r="BG43" s="25">
        <v>383936.41999999981</v>
      </c>
      <c r="BL43" s="2" t="s">
        <v>1193</v>
      </c>
      <c r="BM43" s="4">
        <v>45176</v>
      </c>
      <c r="BN43" s="25">
        <v>531.20000000000005</v>
      </c>
    </row>
    <row r="44" spans="1:66" x14ac:dyDescent="0.35">
      <c r="A44">
        <v>3803</v>
      </c>
      <c r="B44" t="s">
        <v>19</v>
      </c>
      <c r="C44" s="1">
        <v>45559</v>
      </c>
      <c r="D44" t="s">
        <v>1</v>
      </c>
      <c r="E44" t="s">
        <v>28</v>
      </c>
      <c r="F44">
        <v>3</v>
      </c>
      <c r="G44">
        <v>1938.05</v>
      </c>
      <c r="H44">
        <v>5814.15</v>
      </c>
      <c r="I44">
        <v>1162.83</v>
      </c>
      <c r="J44">
        <v>4651.32</v>
      </c>
      <c r="K44">
        <v>326</v>
      </c>
      <c r="L44" s="11">
        <v>0.19530092592592593</v>
      </c>
      <c r="M44">
        <f t="shared" si="0"/>
        <v>24</v>
      </c>
      <c r="N44">
        <f t="shared" si="1"/>
        <v>9</v>
      </c>
      <c r="O44">
        <f t="shared" si="2"/>
        <v>2024</v>
      </c>
      <c r="P44" s="4">
        <f t="shared" si="3"/>
        <v>45559</v>
      </c>
      <c r="Q44" t="s">
        <v>1139</v>
      </c>
      <c r="R44" t="s">
        <v>1137</v>
      </c>
      <c r="S44">
        <v>5</v>
      </c>
      <c r="T44" t="s">
        <v>1143</v>
      </c>
      <c r="U44" s="11" t="str">
        <f t="shared" si="4"/>
        <v>04:41:14 AM</v>
      </c>
      <c r="V44" s="2" t="s">
        <v>26</v>
      </c>
      <c r="W44" s="25">
        <v>2.9489795918367347</v>
      </c>
      <c r="AC44" s="4">
        <v>45190</v>
      </c>
      <c r="AD44" s="25">
        <v>4432.2</v>
      </c>
      <c r="BD44" s="2" t="s">
        <v>37</v>
      </c>
      <c r="BE44" s="25">
        <v>480641.37999999989</v>
      </c>
      <c r="BF44" s="25">
        <v>40222.630000000012</v>
      </c>
      <c r="BG44" s="25">
        <v>440418.75000000006</v>
      </c>
      <c r="BL44" s="2" t="s">
        <v>1194</v>
      </c>
      <c r="BM44" s="4">
        <v>45177</v>
      </c>
      <c r="BN44" s="25">
        <v>4329.28</v>
      </c>
    </row>
    <row r="45" spans="1:66" x14ac:dyDescent="0.35">
      <c r="A45">
        <v>5010</v>
      </c>
      <c r="B45" t="s">
        <v>15</v>
      </c>
      <c r="C45" s="1">
        <v>45271</v>
      </c>
      <c r="D45" t="s">
        <v>27</v>
      </c>
      <c r="E45" t="s">
        <v>5</v>
      </c>
      <c r="F45">
        <v>5</v>
      </c>
      <c r="G45">
        <v>105.41</v>
      </c>
      <c r="H45">
        <v>527.04999999999995</v>
      </c>
      <c r="I45">
        <v>94.62</v>
      </c>
      <c r="J45">
        <v>432.43</v>
      </c>
      <c r="K45">
        <v>38</v>
      </c>
      <c r="L45" s="11">
        <v>0.85165509259259264</v>
      </c>
      <c r="M45">
        <f t="shared" si="0"/>
        <v>11</v>
      </c>
      <c r="N45">
        <f t="shared" si="1"/>
        <v>12</v>
      </c>
      <c r="O45">
        <f t="shared" si="2"/>
        <v>2023</v>
      </c>
      <c r="P45" s="4">
        <f t="shared" si="3"/>
        <v>45271</v>
      </c>
      <c r="Q45" t="s">
        <v>1136</v>
      </c>
      <c r="R45" t="s">
        <v>1135</v>
      </c>
      <c r="S45">
        <v>4</v>
      </c>
      <c r="T45" t="s">
        <v>1142</v>
      </c>
      <c r="U45" s="11" t="str">
        <f t="shared" si="4"/>
        <v>08:26:23 PM</v>
      </c>
      <c r="V45" s="2" t="s">
        <v>22</v>
      </c>
      <c r="W45" s="25">
        <v>2.8849557522123894</v>
      </c>
      <c r="AC45" s="4">
        <v>45191</v>
      </c>
      <c r="AD45" s="25">
        <v>8900.92</v>
      </c>
      <c r="BD45" s="2" t="s">
        <v>26</v>
      </c>
      <c r="BE45" s="25">
        <v>402077.72999999992</v>
      </c>
      <c r="BF45" s="25">
        <v>38336.04</v>
      </c>
      <c r="BG45" s="25">
        <v>363741.68999999989</v>
      </c>
      <c r="BL45" s="2" t="s">
        <v>1195</v>
      </c>
      <c r="BM45" s="4">
        <v>45178</v>
      </c>
      <c r="BN45" s="25">
        <v>17024.96</v>
      </c>
    </row>
    <row r="46" spans="1:66" x14ac:dyDescent="0.35">
      <c r="A46">
        <v>8573</v>
      </c>
      <c r="B46" t="s">
        <v>25</v>
      </c>
      <c r="C46" s="1">
        <v>45439</v>
      </c>
      <c r="D46" t="s">
        <v>17</v>
      </c>
      <c r="E46" t="s">
        <v>7</v>
      </c>
      <c r="F46">
        <v>2</v>
      </c>
      <c r="G46">
        <v>1116.3499999999999</v>
      </c>
      <c r="H46">
        <v>2232.6999999999998</v>
      </c>
      <c r="I46">
        <v>334.49</v>
      </c>
      <c r="J46">
        <v>1898.21</v>
      </c>
      <c r="K46">
        <v>21</v>
      </c>
      <c r="L46" s="11">
        <v>0.18814814814814815</v>
      </c>
      <c r="M46">
        <f t="shared" si="0"/>
        <v>27</v>
      </c>
      <c r="N46">
        <f t="shared" si="1"/>
        <v>5</v>
      </c>
      <c r="O46">
        <f t="shared" si="2"/>
        <v>2024</v>
      </c>
      <c r="P46" s="4">
        <f t="shared" si="3"/>
        <v>45439</v>
      </c>
      <c r="Q46" t="s">
        <v>1136</v>
      </c>
      <c r="R46" t="s">
        <v>1135</v>
      </c>
      <c r="S46">
        <v>2</v>
      </c>
      <c r="T46" t="s">
        <v>1149</v>
      </c>
      <c r="U46" s="11" t="str">
        <f t="shared" si="4"/>
        <v>04:30:56 AM</v>
      </c>
      <c r="V46" s="2" t="s">
        <v>21</v>
      </c>
      <c r="W46" s="25">
        <v>3.1031746031746033</v>
      </c>
      <c r="AC46" s="4">
        <v>45192</v>
      </c>
      <c r="AD46" s="25">
        <v>27170.05</v>
      </c>
      <c r="BD46" s="2" t="s">
        <v>22</v>
      </c>
      <c r="BE46" s="25">
        <v>407803.06999999983</v>
      </c>
      <c r="BF46" s="25">
        <v>41332.340000000004</v>
      </c>
      <c r="BG46" s="25">
        <v>366470.72999999986</v>
      </c>
      <c r="BL46" s="2" t="s">
        <v>1196</v>
      </c>
      <c r="BM46" s="4">
        <v>45179</v>
      </c>
      <c r="BN46" s="25">
        <v>6087.22</v>
      </c>
    </row>
    <row r="47" spans="1:66" x14ac:dyDescent="0.35">
      <c r="A47">
        <v>5422</v>
      </c>
      <c r="B47" t="s">
        <v>20</v>
      </c>
      <c r="C47" s="1">
        <v>45863</v>
      </c>
      <c r="D47" t="s">
        <v>11</v>
      </c>
      <c r="E47" t="s">
        <v>33</v>
      </c>
      <c r="F47">
        <v>2</v>
      </c>
      <c r="G47">
        <v>1687.39</v>
      </c>
      <c r="H47">
        <v>3374.78</v>
      </c>
      <c r="I47">
        <v>332</v>
      </c>
      <c r="J47">
        <v>3042.78</v>
      </c>
      <c r="K47">
        <v>181</v>
      </c>
      <c r="L47" s="11">
        <v>0.11370370370370371</v>
      </c>
      <c r="M47">
        <f t="shared" si="0"/>
        <v>25</v>
      </c>
      <c r="N47">
        <f t="shared" si="1"/>
        <v>7</v>
      </c>
      <c r="O47">
        <f t="shared" si="2"/>
        <v>2025</v>
      </c>
      <c r="P47" s="4">
        <f t="shared" si="3"/>
        <v>45863</v>
      </c>
      <c r="Q47" t="s">
        <v>1136</v>
      </c>
      <c r="R47" t="s">
        <v>1137</v>
      </c>
      <c r="S47">
        <v>1</v>
      </c>
      <c r="T47" t="s">
        <v>1146</v>
      </c>
      <c r="U47" s="11" t="str">
        <f t="shared" si="4"/>
        <v>02:43:44 AM</v>
      </c>
      <c r="V47" s="2" t="s">
        <v>33</v>
      </c>
      <c r="W47" s="25">
        <v>3.2110091743119265</v>
      </c>
      <c r="AC47" s="4">
        <v>45193</v>
      </c>
      <c r="AD47" s="25">
        <v>2851.0499999999997</v>
      </c>
      <c r="BD47" s="2" t="s">
        <v>21</v>
      </c>
      <c r="BE47" s="25">
        <v>495329.89000000007</v>
      </c>
      <c r="BF47" s="25">
        <v>48647.96</v>
      </c>
      <c r="BG47" s="25">
        <v>446681.93</v>
      </c>
      <c r="BL47" s="2" t="s">
        <v>1197</v>
      </c>
      <c r="BM47" s="4">
        <v>45180</v>
      </c>
      <c r="BN47" s="25">
        <v>27133.53</v>
      </c>
    </row>
    <row r="48" spans="1:66" x14ac:dyDescent="0.35">
      <c r="A48">
        <v>4598</v>
      </c>
      <c r="B48" t="s">
        <v>31</v>
      </c>
      <c r="C48" s="1">
        <v>45676</v>
      </c>
      <c r="D48" t="s">
        <v>23</v>
      </c>
      <c r="E48" t="s">
        <v>18</v>
      </c>
      <c r="F48">
        <v>4</v>
      </c>
      <c r="G48">
        <v>141.93</v>
      </c>
      <c r="H48">
        <v>567.72</v>
      </c>
      <c r="I48">
        <v>56.44</v>
      </c>
      <c r="J48">
        <v>511.28</v>
      </c>
      <c r="K48">
        <v>377</v>
      </c>
      <c r="L48" s="11">
        <v>0.31908564814814816</v>
      </c>
      <c r="M48">
        <f t="shared" si="0"/>
        <v>19</v>
      </c>
      <c r="N48">
        <f t="shared" si="1"/>
        <v>1</v>
      </c>
      <c r="O48">
        <f t="shared" si="2"/>
        <v>2025</v>
      </c>
      <c r="P48" s="4">
        <f t="shared" si="3"/>
        <v>45676</v>
      </c>
      <c r="Q48" t="s">
        <v>1136</v>
      </c>
      <c r="R48" t="s">
        <v>1135</v>
      </c>
      <c r="S48">
        <v>3</v>
      </c>
      <c r="T48" t="s">
        <v>1141</v>
      </c>
      <c r="U48" s="11" t="str">
        <f t="shared" si="4"/>
        <v>07:39:29 AM</v>
      </c>
      <c r="V48" s="2" t="s">
        <v>1128</v>
      </c>
      <c r="W48" s="25">
        <v>3.0146464646464648</v>
      </c>
      <c r="AC48" s="4">
        <v>45194</v>
      </c>
      <c r="AD48" s="25">
        <v>2825.32</v>
      </c>
      <c r="BD48" s="2" t="s">
        <v>33</v>
      </c>
      <c r="BE48" s="25">
        <v>401167.21999999991</v>
      </c>
      <c r="BF48" s="25">
        <v>39200.070000000014</v>
      </c>
      <c r="BG48" s="25">
        <v>361967.14999999997</v>
      </c>
      <c r="BL48" s="2" t="s">
        <v>1198</v>
      </c>
      <c r="BM48" s="4">
        <v>45181</v>
      </c>
      <c r="BN48" s="25">
        <v>4317.66</v>
      </c>
    </row>
    <row r="49" spans="1:66" x14ac:dyDescent="0.35">
      <c r="A49">
        <v>6313</v>
      </c>
      <c r="B49" t="s">
        <v>31</v>
      </c>
      <c r="C49" s="1">
        <v>45799</v>
      </c>
      <c r="D49" t="s">
        <v>24</v>
      </c>
      <c r="E49" t="s">
        <v>18</v>
      </c>
      <c r="F49">
        <v>1</v>
      </c>
      <c r="G49">
        <v>1002.64</v>
      </c>
      <c r="H49">
        <v>1002.64</v>
      </c>
      <c r="I49">
        <v>200.86</v>
      </c>
      <c r="J49">
        <v>801.78</v>
      </c>
      <c r="K49">
        <v>19</v>
      </c>
      <c r="L49" s="11">
        <v>0.39855324074074072</v>
      </c>
      <c r="M49">
        <f t="shared" si="0"/>
        <v>22</v>
      </c>
      <c r="N49">
        <f t="shared" si="1"/>
        <v>5</v>
      </c>
      <c r="O49">
        <f t="shared" si="2"/>
        <v>2025</v>
      </c>
      <c r="P49" s="4">
        <f t="shared" si="3"/>
        <v>45799</v>
      </c>
      <c r="Q49" t="s">
        <v>1134</v>
      </c>
      <c r="R49" t="s">
        <v>1137</v>
      </c>
      <c r="S49">
        <v>2</v>
      </c>
      <c r="T49" t="s">
        <v>1148</v>
      </c>
      <c r="U49" s="11" t="str">
        <f t="shared" si="4"/>
        <v>09:33:55 AM</v>
      </c>
      <c r="AC49" s="4">
        <v>45196</v>
      </c>
      <c r="AD49" s="25">
        <v>19034.39</v>
      </c>
      <c r="BD49" s="2" t="s">
        <v>1128</v>
      </c>
      <c r="BE49" s="25">
        <v>7543629.2999999989</v>
      </c>
      <c r="BF49" s="25">
        <v>734532.57000000007</v>
      </c>
      <c r="BG49" s="25">
        <v>6809096.7299999995</v>
      </c>
      <c r="BL49" s="2" t="s">
        <v>1199</v>
      </c>
      <c r="BM49" s="4">
        <v>45182</v>
      </c>
      <c r="BN49" s="25">
        <v>3910.96</v>
      </c>
    </row>
    <row r="50" spans="1:66" x14ac:dyDescent="0.35">
      <c r="A50">
        <v>1916</v>
      </c>
      <c r="B50" t="s">
        <v>31</v>
      </c>
      <c r="C50" s="1">
        <v>45322</v>
      </c>
      <c r="D50" t="s">
        <v>34</v>
      </c>
      <c r="E50" t="s">
        <v>12</v>
      </c>
      <c r="F50">
        <v>3</v>
      </c>
      <c r="G50">
        <v>2057.5700000000002</v>
      </c>
      <c r="H50">
        <v>6172.71</v>
      </c>
      <c r="I50">
        <v>1234.21</v>
      </c>
      <c r="J50">
        <v>4938.5</v>
      </c>
      <c r="K50">
        <v>446</v>
      </c>
      <c r="L50" s="11">
        <v>0.53961805555555553</v>
      </c>
      <c r="M50">
        <f t="shared" si="0"/>
        <v>31</v>
      </c>
      <c r="N50">
        <f t="shared" si="1"/>
        <v>1</v>
      </c>
      <c r="O50">
        <f t="shared" si="2"/>
        <v>2024</v>
      </c>
      <c r="P50" s="4">
        <f t="shared" si="3"/>
        <v>45322</v>
      </c>
      <c r="Q50" t="s">
        <v>1139</v>
      </c>
      <c r="R50" t="s">
        <v>1137</v>
      </c>
      <c r="S50">
        <v>3</v>
      </c>
      <c r="T50" t="s">
        <v>1141</v>
      </c>
      <c r="U50" s="11" t="str">
        <f t="shared" si="4"/>
        <v>12:57:03 PM</v>
      </c>
      <c r="AC50" s="4">
        <v>45197</v>
      </c>
      <c r="AD50" s="25">
        <v>11452.34</v>
      </c>
      <c r="BL50" s="2" t="s">
        <v>1200</v>
      </c>
      <c r="BM50" s="4">
        <v>45184</v>
      </c>
      <c r="BN50" s="25">
        <v>6564.47</v>
      </c>
    </row>
    <row r="51" spans="1:66" x14ac:dyDescent="0.35">
      <c r="A51">
        <v>1525</v>
      </c>
      <c r="B51" t="s">
        <v>20</v>
      </c>
      <c r="C51" s="1">
        <v>45770</v>
      </c>
      <c r="D51" t="s">
        <v>16</v>
      </c>
      <c r="E51" t="s">
        <v>33</v>
      </c>
      <c r="F51">
        <v>4</v>
      </c>
      <c r="G51">
        <v>872.33</v>
      </c>
      <c r="H51">
        <v>3489.32</v>
      </c>
      <c r="I51">
        <v>523.73</v>
      </c>
      <c r="J51">
        <v>2965.59</v>
      </c>
      <c r="K51">
        <v>442</v>
      </c>
      <c r="L51" s="11">
        <v>4.417824074074074E-2</v>
      </c>
      <c r="M51">
        <f t="shared" si="0"/>
        <v>23</v>
      </c>
      <c r="N51">
        <f t="shared" si="1"/>
        <v>4</v>
      </c>
      <c r="O51">
        <f t="shared" si="2"/>
        <v>2025</v>
      </c>
      <c r="P51" s="4">
        <f t="shared" si="3"/>
        <v>45770</v>
      </c>
      <c r="Q51" t="s">
        <v>1139</v>
      </c>
      <c r="R51" t="s">
        <v>1137</v>
      </c>
      <c r="S51">
        <v>4</v>
      </c>
      <c r="T51" t="s">
        <v>1146</v>
      </c>
      <c r="U51" s="11" t="str">
        <f t="shared" si="4"/>
        <v>01:03:37 AM</v>
      </c>
      <c r="AC51" s="4">
        <v>45198</v>
      </c>
      <c r="AD51" s="25">
        <v>15059.519999999997</v>
      </c>
      <c r="BL51" s="2" t="s">
        <v>1201</v>
      </c>
      <c r="BM51" s="4">
        <v>45185</v>
      </c>
      <c r="BN51" s="25">
        <v>22405.02</v>
      </c>
    </row>
    <row r="52" spans="1:66" x14ac:dyDescent="0.35">
      <c r="A52">
        <v>6168</v>
      </c>
      <c r="B52" t="s">
        <v>25</v>
      </c>
      <c r="C52" s="1">
        <v>45456</v>
      </c>
      <c r="D52" t="s">
        <v>16</v>
      </c>
      <c r="E52" t="s">
        <v>36</v>
      </c>
      <c r="F52">
        <v>4</v>
      </c>
      <c r="G52">
        <v>1718.1</v>
      </c>
      <c r="H52">
        <v>6872.4</v>
      </c>
      <c r="I52">
        <v>121.18</v>
      </c>
      <c r="J52">
        <v>6751.22</v>
      </c>
      <c r="K52">
        <v>431</v>
      </c>
      <c r="L52" s="11">
        <v>0.88589120370370367</v>
      </c>
      <c r="M52">
        <f t="shared" si="0"/>
        <v>13</v>
      </c>
      <c r="N52">
        <f t="shared" si="1"/>
        <v>6</v>
      </c>
      <c r="O52">
        <f t="shared" si="2"/>
        <v>2024</v>
      </c>
      <c r="P52" s="4">
        <f t="shared" si="3"/>
        <v>45456</v>
      </c>
      <c r="Q52" t="s">
        <v>1134</v>
      </c>
      <c r="R52" t="s">
        <v>1135</v>
      </c>
      <c r="S52">
        <v>5</v>
      </c>
      <c r="T52" t="s">
        <v>1143</v>
      </c>
      <c r="U52" s="11" t="str">
        <f t="shared" si="4"/>
        <v>09:15:41 PM</v>
      </c>
      <c r="AC52" s="4">
        <v>45199</v>
      </c>
      <c r="AD52" s="25">
        <v>7874.21</v>
      </c>
      <c r="BL52" s="2" t="s">
        <v>1202</v>
      </c>
      <c r="BM52" s="4">
        <v>45186</v>
      </c>
      <c r="BN52" s="25">
        <v>9096.7999999999993</v>
      </c>
    </row>
    <row r="53" spans="1:66" x14ac:dyDescent="0.35">
      <c r="A53">
        <v>5386</v>
      </c>
      <c r="B53" t="s">
        <v>19</v>
      </c>
      <c r="C53" s="1">
        <v>45196</v>
      </c>
      <c r="D53" t="s">
        <v>23</v>
      </c>
      <c r="E53" t="s">
        <v>2</v>
      </c>
      <c r="F53">
        <v>1</v>
      </c>
      <c r="G53">
        <v>342.79</v>
      </c>
      <c r="H53">
        <v>342.79</v>
      </c>
      <c r="I53">
        <v>0</v>
      </c>
      <c r="J53">
        <v>342.79</v>
      </c>
      <c r="K53">
        <v>222</v>
      </c>
      <c r="L53" s="11">
        <v>0.43936342592592592</v>
      </c>
      <c r="M53">
        <f t="shared" si="0"/>
        <v>27</v>
      </c>
      <c r="N53">
        <f t="shared" si="1"/>
        <v>9</v>
      </c>
      <c r="O53">
        <f t="shared" si="2"/>
        <v>2023</v>
      </c>
      <c r="P53" s="4">
        <f t="shared" si="3"/>
        <v>45196</v>
      </c>
      <c r="Q53" t="s">
        <v>1139</v>
      </c>
      <c r="R53" t="s">
        <v>1135</v>
      </c>
      <c r="S53">
        <v>2</v>
      </c>
      <c r="T53" t="s">
        <v>1147</v>
      </c>
      <c r="U53" s="11" t="str">
        <f t="shared" si="4"/>
        <v>10:32:41 AM</v>
      </c>
      <c r="AC53" s="4">
        <v>45200</v>
      </c>
      <c r="AD53" s="25">
        <v>7069.9400000000005</v>
      </c>
      <c r="BL53" s="2" t="s">
        <v>1203</v>
      </c>
      <c r="BM53" s="4">
        <v>45187</v>
      </c>
      <c r="BN53" s="25">
        <v>6191.8</v>
      </c>
    </row>
    <row r="54" spans="1:66" x14ac:dyDescent="0.35">
      <c r="A54">
        <v>4456</v>
      </c>
      <c r="B54" t="s">
        <v>25</v>
      </c>
      <c r="C54" s="1">
        <v>45854</v>
      </c>
      <c r="D54" t="s">
        <v>9</v>
      </c>
      <c r="E54" t="s">
        <v>36</v>
      </c>
      <c r="F54">
        <v>1</v>
      </c>
      <c r="G54">
        <v>1009.28</v>
      </c>
      <c r="H54">
        <v>1009.28</v>
      </c>
      <c r="I54">
        <v>151.06</v>
      </c>
      <c r="J54">
        <v>858.22</v>
      </c>
      <c r="K54">
        <v>295</v>
      </c>
      <c r="L54" s="11">
        <v>0.43049768518518516</v>
      </c>
      <c r="M54">
        <f t="shared" si="0"/>
        <v>16</v>
      </c>
      <c r="N54">
        <f t="shared" si="1"/>
        <v>7</v>
      </c>
      <c r="O54">
        <f t="shared" si="2"/>
        <v>2025</v>
      </c>
      <c r="P54" s="4">
        <f t="shared" si="3"/>
        <v>45854</v>
      </c>
      <c r="Q54" t="s">
        <v>1134</v>
      </c>
      <c r="R54" t="s">
        <v>1135</v>
      </c>
      <c r="S54">
        <v>2</v>
      </c>
      <c r="T54" t="s">
        <v>1150</v>
      </c>
      <c r="U54" s="11" t="str">
        <f t="shared" si="4"/>
        <v>10:19:55 AM</v>
      </c>
      <c r="AC54" s="4">
        <v>45201</v>
      </c>
      <c r="AD54" s="25">
        <v>5404.96</v>
      </c>
      <c r="BL54" s="2" t="s">
        <v>1204</v>
      </c>
      <c r="BM54" s="4">
        <v>45188</v>
      </c>
      <c r="BN54" s="25">
        <v>2597.0699999999997</v>
      </c>
    </row>
    <row r="55" spans="1:66" x14ac:dyDescent="0.35">
      <c r="A55">
        <v>6155</v>
      </c>
      <c r="B55" t="s">
        <v>20</v>
      </c>
      <c r="C55" s="1">
        <v>45310</v>
      </c>
      <c r="D55" t="s">
        <v>9</v>
      </c>
      <c r="E55" t="s">
        <v>28</v>
      </c>
      <c r="F55">
        <v>5</v>
      </c>
      <c r="G55">
        <v>2309.89</v>
      </c>
      <c r="H55">
        <v>11549.45</v>
      </c>
      <c r="I55">
        <v>1732.21</v>
      </c>
      <c r="J55">
        <v>9817.24</v>
      </c>
      <c r="K55">
        <v>275</v>
      </c>
      <c r="L55" s="11">
        <v>0.51886574074074077</v>
      </c>
      <c r="M55">
        <f t="shared" si="0"/>
        <v>19</v>
      </c>
      <c r="N55">
        <f t="shared" si="1"/>
        <v>1</v>
      </c>
      <c r="O55">
        <f t="shared" si="2"/>
        <v>2024</v>
      </c>
      <c r="P55" s="4">
        <f t="shared" si="3"/>
        <v>45310</v>
      </c>
      <c r="Q55" t="s">
        <v>1136</v>
      </c>
      <c r="R55" t="s">
        <v>1137</v>
      </c>
      <c r="S55">
        <v>4</v>
      </c>
      <c r="T55" t="s">
        <v>1147</v>
      </c>
      <c r="U55" s="11" t="str">
        <f t="shared" si="4"/>
        <v>12:27:10 PM</v>
      </c>
      <c r="AC55" s="4">
        <v>45202</v>
      </c>
      <c r="AD55" s="25">
        <v>15189</v>
      </c>
      <c r="BL55" s="2" t="s">
        <v>1205</v>
      </c>
      <c r="BM55" s="4">
        <v>45189</v>
      </c>
      <c r="BN55" s="25">
        <v>17552.010000000002</v>
      </c>
    </row>
    <row r="56" spans="1:66" x14ac:dyDescent="0.35">
      <c r="A56">
        <v>9179</v>
      </c>
      <c r="B56" t="s">
        <v>13</v>
      </c>
      <c r="C56" s="1">
        <v>45452</v>
      </c>
      <c r="D56" t="s">
        <v>4</v>
      </c>
      <c r="E56" t="s">
        <v>10</v>
      </c>
      <c r="F56">
        <v>5</v>
      </c>
      <c r="G56">
        <v>837.47</v>
      </c>
      <c r="H56">
        <v>4187.3500000000004</v>
      </c>
      <c r="I56">
        <v>0</v>
      </c>
      <c r="J56">
        <v>4187.3500000000004</v>
      </c>
      <c r="K56">
        <v>434</v>
      </c>
      <c r="L56" s="11">
        <v>0.90666666666666662</v>
      </c>
      <c r="M56">
        <f t="shared" si="0"/>
        <v>9</v>
      </c>
      <c r="N56">
        <f t="shared" si="1"/>
        <v>6</v>
      </c>
      <c r="O56">
        <f t="shared" si="2"/>
        <v>2024</v>
      </c>
      <c r="P56" s="4">
        <f t="shared" si="3"/>
        <v>45452</v>
      </c>
      <c r="Q56" t="s">
        <v>1134</v>
      </c>
      <c r="R56" t="s">
        <v>1135</v>
      </c>
      <c r="S56">
        <v>1</v>
      </c>
      <c r="T56" t="s">
        <v>1144</v>
      </c>
      <c r="U56" s="11" t="str">
        <f t="shared" si="4"/>
        <v>09:45:36 PM</v>
      </c>
      <c r="AC56" s="4">
        <v>45203</v>
      </c>
      <c r="AD56" s="25">
        <v>19221.97</v>
      </c>
      <c r="BL56" s="2" t="s">
        <v>1206</v>
      </c>
      <c r="BM56" s="4">
        <v>45190</v>
      </c>
      <c r="BN56" s="25">
        <v>4432.2</v>
      </c>
    </row>
    <row r="57" spans="1:66" x14ac:dyDescent="0.35">
      <c r="A57">
        <v>8517</v>
      </c>
      <c r="B57" t="s">
        <v>19</v>
      </c>
      <c r="C57" s="1">
        <v>45255</v>
      </c>
      <c r="D57" t="s">
        <v>27</v>
      </c>
      <c r="E57" t="s">
        <v>26</v>
      </c>
      <c r="F57">
        <v>4</v>
      </c>
      <c r="G57">
        <v>867.35</v>
      </c>
      <c r="H57">
        <v>3469.4</v>
      </c>
      <c r="I57">
        <v>125.33</v>
      </c>
      <c r="J57">
        <v>3344.07</v>
      </c>
      <c r="K57">
        <v>356</v>
      </c>
      <c r="L57" s="11">
        <v>0.85939814814814819</v>
      </c>
      <c r="M57">
        <f t="shared" si="0"/>
        <v>25</v>
      </c>
      <c r="N57">
        <f t="shared" si="1"/>
        <v>11</v>
      </c>
      <c r="O57">
        <f t="shared" si="2"/>
        <v>2023</v>
      </c>
      <c r="P57" s="4">
        <f t="shared" si="3"/>
        <v>45255</v>
      </c>
      <c r="Q57" t="s">
        <v>1136</v>
      </c>
      <c r="R57" t="s">
        <v>1137</v>
      </c>
      <c r="S57">
        <v>5</v>
      </c>
      <c r="T57" t="s">
        <v>1141</v>
      </c>
      <c r="U57" s="11" t="str">
        <f t="shared" si="4"/>
        <v>08:37:32 PM</v>
      </c>
      <c r="AC57" s="4">
        <v>45204</v>
      </c>
      <c r="AD57" s="25">
        <v>9596.4599999999991</v>
      </c>
      <c r="BL57" s="2" t="s">
        <v>1207</v>
      </c>
      <c r="BM57" s="4">
        <v>45191</v>
      </c>
      <c r="BN57" s="25">
        <v>8900.92</v>
      </c>
    </row>
    <row r="58" spans="1:66" x14ac:dyDescent="0.35">
      <c r="A58">
        <v>5339</v>
      </c>
      <c r="B58" t="s">
        <v>13</v>
      </c>
      <c r="C58" s="1">
        <v>45253</v>
      </c>
      <c r="D58" t="s">
        <v>16</v>
      </c>
      <c r="E58" t="s">
        <v>21</v>
      </c>
      <c r="F58">
        <v>2</v>
      </c>
      <c r="G58">
        <v>1563.72</v>
      </c>
      <c r="H58">
        <v>3127.44</v>
      </c>
      <c r="I58">
        <v>359.39</v>
      </c>
      <c r="J58">
        <v>2768.05</v>
      </c>
      <c r="K58">
        <v>154</v>
      </c>
      <c r="L58" s="11">
        <v>0.32305555555555554</v>
      </c>
      <c r="M58">
        <f t="shared" si="0"/>
        <v>23</v>
      </c>
      <c r="N58">
        <f t="shared" si="1"/>
        <v>11</v>
      </c>
      <c r="O58">
        <f t="shared" si="2"/>
        <v>2023</v>
      </c>
      <c r="P58" s="4">
        <f t="shared" si="3"/>
        <v>45253</v>
      </c>
      <c r="Q58" t="s">
        <v>1136</v>
      </c>
      <c r="R58" t="s">
        <v>1137</v>
      </c>
      <c r="S58">
        <v>2</v>
      </c>
      <c r="T58" t="s">
        <v>1142</v>
      </c>
      <c r="U58" s="11" t="str">
        <f t="shared" si="4"/>
        <v>07:45:12 AM</v>
      </c>
      <c r="AC58" s="4">
        <v>45205</v>
      </c>
      <c r="AD58" s="25">
        <v>10160.030000000001</v>
      </c>
      <c r="BL58" s="2" t="s">
        <v>1208</v>
      </c>
      <c r="BM58" s="4">
        <v>45192</v>
      </c>
      <c r="BN58" s="25">
        <v>27170.05</v>
      </c>
    </row>
    <row r="59" spans="1:66" x14ac:dyDescent="0.35">
      <c r="A59">
        <v>5040</v>
      </c>
      <c r="B59" t="s">
        <v>19</v>
      </c>
      <c r="C59" s="1">
        <v>45723</v>
      </c>
      <c r="D59" t="s">
        <v>24</v>
      </c>
      <c r="E59" t="s">
        <v>33</v>
      </c>
      <c r="F59">
        <v>4</v>
      </c>
      <c r="G59">
        <v>1973.74</v>
      </c>
      <c r="H59">
        <v>7894.96</v>
      </c>
      <c r="I59">
        <v>789.33</v>
      </c>
      <c r="J59">
        <v>7105.63</v>
      </c>
      <c r="K59">
        <v>310</v>
      </c>
      <c r="L59" s="11">
        <v>0.72870370370370374</v>
      </c>
      <c r="M59">
        <f t="shared" si="0"/>
        <v>7</v>
      </c>
      <c r="N59">
        <f t="shared" si="1"/>
        <v>3</v>
      </c>
      <c r="O59">
        <f t="shared" si="2"/>
        <v>2025</v>
      </c>
      <c r="P59" s="4">
        <f t="shared" si="3"/>
        <v>45723</v>
      </c>
      <c r="Q59" t="s">
        <v>1138</v>
      </c>
      <c r="R59" t="s">
        <v>1135</v>
      </c>
      <c r="S59">
        <v>5</v>
      </c>
      <c r="T59" t="s">
        <v>1144</v>
      </c>
      <c r="U59" s="11" t="str">
        <f t="shared" si="4"/>
        <v>05:29:20 PM</v>
      </c>
      <c r="AC59" s="4">
        <v>45206</v>
      </c>
      <c r="AD59" s="25">
        <v>9200.5500000000011</v>
      </c>
      <c r="BL59" s="2" t="s">
        <v>1209</v>
      </c>
      <c r="BM59" s="4">
        <v>45193</v>
      </c>
      <c r="BN59" s="25">
        <v>2851.0499999999997</v>
      </c>
    </row>
    <row r="60" spans="1:66" x14ac:dyDescent="0.35">
      <c r="A60">
        <v>9830</v>
      </c>
      <c r="B60" t="s">
        <v>15</v>
      </c>
      <c r="C60" s="1">
        <v>45349</v>
      </c>
      <c r="D60" t="s">
        <v>34</v>
      </c>
      <c r="E60" t="s">
        <v>33</v>
      </c>
      <c r="F60">
        <v>5</v>
      </c>
      <c r="G60">
        <v>1220.93</v>
      </c>
      <c r="H60">
        <v>6104.65</v>
      </c>
      <c r="I60">
        <v>0</v>
      </c>
      <c r="J60">
        <v>6104.65</v>
      </c>
      <c r="K60">
        <v>461</v>
      </c>
      <c r="L60" s="11">
        <v>0.9743518518518518</v>
      </c>
      <c r="M60">
        <f t="shared" si="0"/>
        <v>27</v>
      </c>
      <c r="N60">
        <f t="shared" si="1"/>
        <v>2</v>
      </c>
      <c r="O60">
        <f t="shared" si="2"/>
        <v>2024</v>
      </c>
      <c r="P60" s="4">
        <f t="shared" si="3"/>
        <v>45349</v>
      </c>
      <c r="Q60" t="s">
        <v>1134</v>
      </c>
      <c r="R60" t="s">
        <v>1137</v>
      </c>
      <c r="S60">
        <v>2</v>
      </c>
      <c r="T60" t="s">
        <v>1143</v>
      </c>
      <c r="U60" s="11" t="str">
        <f t="shared" si="4"/>
        <v>11:23:04 PM</v>
      </c>
      <c r="AC60" s="4">
        <v>45207</v>
      </c>
      <c r="AD60" s="25">
        <v>9857.91</v>
      </c>
      <c r="BL60" s="2" t="s">
        <v>1210</v>
      </c>
      <c r="BM60" s="4">
        <v>45194</v>
      </c>
      <c r="BN60" s="25">
        <v>2825.32</v>
      </c>
    </row>
    <row r="61" spans="1:66" x14ac:dyDescent="0.35">
      <c r="A61">
        <v>8019</v>
      </c>
      <c r="B61" t="s">
        <v>0</v>
      </c>
      <c r="C61" s="1">
        <v>45842</v>
      </c>
      <c r="D61" t="s">
        <v>24</v>
      </c>
      <c r="E61" t="s">
        <v>36</v>
      </c>
      <c r="F61">
        <v>5</v>
      </c>
      <c r="G61">
        <v>888.93</v>
      </c>
      <c r="H61">
        <v>4444.6499999999996</v>
      </c>
      <c r="I61">
        <v>0</v>
      </c>
      <c r="J61">
        <v>4444.6499999999996</v>
      </c>
      <c r="K61">
        <v>419</v>
      </c>
      <c r="L61" s="11">
        <v>0.36563657407407407</v>
      </c>
      <c r="M61">
        <f t="shared" si="0"/>
        <v>4</v>
      </c>
      <c r="N61">
        <f t="shared" si="1"/>
        <v>7</v>
      </c>
      <c r="O61">
        <f t="shared" si="2"/>
        <v>2025</v>
      </c>
      <c r="P61" s="4">
        <f t="shared" si="3"/>
        <v>45842</v>
      </c>
      <c r="Q61" t="s">
        <v>1138</v>
      </c>
      <c r="R61" t="s">
        <v>1135</v>
      </c>
      <c r="S61">
        <v>5</v>
      </c>
      <c r="T61" t="s">
        <v>1141</v>
      </c>
      <c r="U61" s="11" t="str">
        <f t="shared" si="4"/>
        <v>08:46:31 AM</v>
      </c>
      <c r="AC61" s="4">
        <v>45208</v>
      </c>
      <c r="AD61" s="25">
        <v>5489.62</v>
      </c>
      <c r="BL61" s="2" t="s">
        <v>1211</v>
      </c>
      <c r="BM61" s="4">
        <v>45196</v>
      </c>
      <c r="BN61" s="25">
        <v>19034.39</v>
      </c>
    </row>
    <row r="62" spans="1:66" x14ac:dyDescent="0.35">
      <c r="A62">
        <v>7543</v>
      </c>
      <c r="B62" t="s">
        <v>19</v>
      </c>
      <c r="C62" s="1">
        <v>45426</v>
      </c>
      <c r="D62" t="s">
        <v>6</v>
      </c>
      <c r="E62" t="s">
        <v>33</v>
      </c>
      <c r="F62">
        <v>2</v>
      </c>
      <c r="G62">
        <v>141.1</v>
      </c>
      <c r="H62">
        <v>282.2</v>
      </c>
      <c r="I62">
        <v>365.2</v>
      </c>
      <c r="J62">
        <v>-83</v>
      </c>
      <c r="K62">
        <v>125</v>
      </c>
      <c r="L62" s="11">
        <v>0.5388425925925926</v>
      </c>
      <c r="M62">
        <f t="shared" si="0"/>
        <v>14</v>
      </c>
      <c r="N62">
        <f t="shared" si="1"/>
        <v>5</v>
      </c>
      <c r="O62">
        <f t="shared" si="2"/>
        <v>2024</v>
      </c>
      <c r="P62" s="4">
        <f t="shared" si="3"/>
        <v>45426</v>
      </c>
      <c r="Q62" t="s">
        <v>1134</v>
      </c>
      <c r="R62" t="s">
        <v>1135</v>
      </c>
      <c r="S62">
        <v>3</v>
      </c>
      <c r="T62" t="s">
        <v>1144</v>
      </c>
      <c r="U62" s="11" t="str">
        <f t="shared" si="4"/>
        <v>12:55:56 PM</v>
      </c>
      <c r="AC62" s="4">
        <v>45209</v>
      </c>
      <c r="AD62" s="25">
        <v>7793.7000000000007</v>
      </c>
      <c r="BL62" s="2" t="s">
        <v>1212</v>
      </c>
      <c r="BM62" s="4">
        <v>45197</v>
      </c>
      <c r="BN62" s="25">
        <v>11452.34</v>
      </c>
    </row>
    <row r="63" spans="1:66" x14ac:dyDescent="0.35">
      <c r="A63">
        <v>4593</v>
      </c>
      <c r="B63" t="s">
        <v>0</v>
      </c>
      <c r="C63" s="1">
        <v>45252</v>
      </c>
      <c r="D63" t="s">
        <v>34</v>
      </c>
      <c r="E63" t="s">
        <v>5</v>
      </c>
      <c r="F63">
        <v>5</v>
      </c>
      <c r="G63">
        <v>550.29</v>
      </c>
      <c r="H63">
        <v>2751.45</v>
      </c>
      <c r="I63">
        <v>274.73</v>
      </c>
      <c r="J63">
        <v>2476.7199999999998</v>
      </c>
      <c r="K63">
        <v>356</v>
      </c>
      <c r="L63" s="11">
        <v>0.36815972222222221</v>
      </c>
      <c r="M63">
        <f t="shared" si="0"/>
        <v>22</v>
      </c>
      <c r="N63">
        <f t="shared" si="1"/>
        <v>11</v>
      </c>
      <c r="O63">
        <f t="shared" si="2"/>
        <v>2023</v>
      </c>
      <c r="P63" s="4">
        <f t="shared" si="3"/>
        <v>45252</v>
      </c>
      <c r="Q63" t="s">
        <v>1134</v>
      </c>
      <c r="R63" t="s">
        <v>1135</v>
      </c>
      <c r="S63">
        <v>2</v>
      </c>
      <c r="T63" t="s">
        <v>1141</v>
      </c>
      <c r="U63" s="11" t="str">
        <f t="shared" si="4"/>
        <v>08:50:09 AM</v>
      </c>
      <c r="AC63" s="4">
        <v>45210</v>
      </c>
      <c r="AD63" s="25">
        <v>4325.13</v>
      </c>
      <c r="BL63" s="2" t="s">
        <v>1213</v>
      </c>
      <c r="BM63" s="4">
        <v>45198</v>
      </c>
      <c r="BN63" s="25">
        <v>15059.519999999997</v>
      </c>
    </row>
    <row r="64" spans="1:66" x14ac:dyDescent="0.35">
      <c r="A64">
        <v>9348</v>
      </c>
      <c r="B64" t="s">
        <v>13</v>
      </c>
      <c r="C64" s="1">
        <v>45528</v>
      </c>
      <c r="D64" t="s">
        <v>6</v>
      </c>
      <c r="E64" t="s">
        <v>30</v>
      </c>
      <c r="F64">
        <v>1</v>
      </c>
      <c r="G64">
        <v>2231.04</v>
      </c>
      <c r="H64">
        <v>2231.04</v>
      </c>
      <c r="I64">
        <v>223.27</v>
      </c>
      <c r="J64">
        <v>2007.77</v>
      </c>
      <c r="K64">
        <v>440</v>
      </c>
      <c r="L64" s="11">
        <v>0.51856481481481487</v>
      </c>
      <c r="M64">
        <f t="shared" si="0"/>
        <v>24</v>
      </c>
      <c r="N64">
        <f t="shared" si="1"/>
        <v>8</v>
      </c>
      <c r="O64">
        <f t="shared" si="2"/>
        <v>2024</v>
      </c>
      <c r="P64" s="4">
        <f t="shared" si="3"/>
        <v>45528</v>
      </c>
      <c r="Q64" t="s">
        <v>1138</v>
      </c>
      <c r="R64" t="s">
        <v>1135</v>
      </c>
      <c r="S64">
        <v>5</v>
      </c>
      <c r="T64" t="s">
        <v>1148</v>
      </c>
      <c r="U64" s="11" t="str">
        <f t="shared" si="4"/>
        <v>12:26:44 PM</v>
      </c>
      <c r="AC64" s="4">
        <v>45211</v>
      </c>
      <c r="AD64" s="25">
        <v>12697.34</v>
      </c>
      <c r="BL64" s="2" t="s">
        <v>1214</v>
      </c>
      <c r="BM64" s="4">
        <v>45199</v>
      </c>
      <c r="BN64" s="25">
        <v>7874.21</v>
      </c>
    </row>
    <row r="65" spans="1:66" x14ac:dyDescent="0.35">
      <c r="A65">
        <v>2489</v>
      </c>
      <c r="B65" t="s">
        <v>31</v>
      </c>
      <c r="C65" s="1">
        <v>45732</v>
      </c>
      <c r="D65" t="s">
        <v>23</v>
      </c>
      <c r="E65" t="s">
        <v>36</v>
      </c>
      <c r="F65">
        <v>4</v>
      </c>
      <c r="G65">
        <v>203.35</v>
      </c>
      <c r="H65">
        <v>813.4</v>
      </c>
      <c r="I65">
        <v>81.34</v>
      </c>
      <c r="J65">
        <v>732.06</v>
      </c>
      <c r="K65">
        <v>127</v>
      </c>
      <c r="L65" s="11">
        <v>0.90346064814814819</v>
      </c>
      <c r="M65">
        <f t="shared" si="0"/>
        <v>16</v>
      </c>
      <c r="N65">
        <f t="shared" si="1"/>
        <v>3</v>
      </c>
      <c r="O65">
        <f t="shared" si="2"/>
        <v>2025</v>
      </c>
      <c r="P65" s="4">
        <f t="shared" si="3"/>
        <v>45732</v>
      </c>
      <c r="Q65" t="s">
        <v>1138</v>
      </c>
      <c r="R65" t="s">
        <v>1135</v>
      </c>
      <c r="S65">
        <v>1</v>
      </c>
      <c r="T65" t="s">
        <v>1143</v>
      </c>
      <c r="U65" s="11" t="str">
        <f t="shared" si="4"/>
        <v>09:40:59 PM</v>
      </c>
      <c r="AC65" s="4">
        <v>45212</v>
      </c>
      <c r="AD65" s="25">
        <v>9374.02</v>
      </c>
      <c r="BL65" s="2" t="s">
        <v>1215</v>
      </c>
      <c r="BM65" s="4">
        <v>45200</v>
      </c>
      <c r="BN65" s="25">
        <v>7069.9400000000005</v>
      </c>
    </row>
    <row r="66" spans="1:66" x14ac:dyDescent="0.35">
      <c r="A66">
        <v>1771</v>
      </c>
      <c r="B66" t="s">
        <v>8</v>
      </c>
      <c r="C66" s="1">
        <v>45813</v>
      </c>
      <c r="D66" t="s">
        <v>34</v>
      </c>
      <c r="E66" t="s">
        <v>36</v>
      </c>
      <c r="F66">
        <v>5</v>
      </c>
      <c r="G66">
        <v>1515.58</v>
      </c>
      <c r="H66">
        <v>7577.9</v>
      </c>
      <c r="I66">
        <v>353.58</v>
      </c>
      <c r="J66">
        <v>7224.32</v>
      </c>
      <c r="K66">
        <v>486</v>
      </c>
      <c r="L66" s="11">
        <v>0.64383101851851854</v>
      </c>
      <c r="M66">
        <f t="shared" ref="M66:M129" si="5">DAY(C66)</f>
        <v>5</v>
      </c>
      <c r="N66">
        <f t="shared" ref="N66:N129" si="6">MONTH(C66)</f>
        <v>6</v>
      </c>
      <c r="O66">
        <f t="shared" ref="O66:O129" si="7">YEAR(C66)</f>
        <v>2025</v>
      </c>
      <c r="P66" s="4">
        <f t="shared" si="3"/>
        <v>45813</v>
      </c>
      <c r="Q66" t="s">
        <v>1134</v>
      </c>
      <c r="R66" t="s">
        <v>1137</v>
      </c>
      <c r="S66">
        <v>3</v>
      </c>
      <c r="T66" t="s">
        <v>1149</v>
      </c>
      <c r="U66" s="11" t="str">
        <f t="shared" si="4"/>
        <v>03:27:07 PM</v>
      </c>
      <c r="AC66" s="4">
        <v>45213</v>
      </c>
      <c r="AD66" s="25">
        <v>11164.33</v>
      </c>
      <c r="BL66" s="2" t="s">
        <v>1216</v>
      </c>
      <c r="BM66" s="4">
        <v>45201</v>
      </c>
      <c r="BN66" s="25">
        <v>5404.96</v>
      </c>
    </row>
    <row r="67" spans="1:66" x14ac:dyDescent="0.35">
      <c r="A67">
        <v>2796</v>
      </c>
      <c r="B67" t="s">
        <v>3</v>
      </c>
      <c r="C67" s="1">
        <v>45263</v>
      </c>
      <c r="D67" t="s">
        <v>9</v>
      </c>
      <c r="E67" t="s">
        <v>7</v>
      </c>
      <c r="F67">
        <v>4</v>
      </c>
      <c r="G67">
        <v>2241.83</v>
      </c>
      <c r="H67">
        <v>8967.32</v>
      </c>
      <c r="I67">
        <v>896.4</v>
      </c>
      <c r="J67">
        <v>8070.92</v>
      </c>
      <c r="K67">
        <v>380</v>
      </c>
      <c r="L67" s="11">
        <v>0.75875000000000004</v>
      </c>
      <c r="M67">
        <f t="shared" si="5"/>
        <v>3</v>
      </c>
      <c r="N67">
        <f t="shared" si="6"/>
        <v>12</v>
      </c>
      <c r="O67">
        <f t="shared" si="7"/>
        <v>2023</v>
      </c>
      <c r="P67" s="4">
        <f t="shared" ref="P67:P130" si="8">DATE(O67,N67,M67)</f>
        <v>45263</v>
      </c>
      <c r="Q67" t="s">
        <v>1139</v>
      </c>
      <c r="R67" t="s">
        <v>1137</v>
      </c>
      <c r="S67">
        <v>3</v>
      </c>
      <c r="T67" t="s">
        <v>1150</v>
      </c>
      <c r="U67" s="11" t="str">
        <f t="shared" ref="U67:U130" si="9">TEXT(L67,"hh:mm:ss AM/PM")</f>
        <v>06:12:36 PM</v>
      </c>
      <c r="AC67" s="4">
        <v>45214</v>
      </c>
      <c r="AD67" s="25">
        <v>4392.3599999999997</v>
      </c>
      <c r="BL67" s="2" t="s">
        <v>1217</v>
      </c>
      <c r="BM67" s="4">
        <v>45202</v>
      </c>
      <c r="BN67" s="25">
        <v>15189</v>
      </c>
    </row>
    <row r="68" spans="1:66" x14ac:dyDescent="0.35">
      <c r="A68">
        <v>3621</v>
      </c>
      <c r="B68" t="s">
        <v>19</v>
      </c>
      <c r="C68" s="1">
        <v>45760</v>
      </c>
      <c r="D68" t="s">
        <v>6</v>
      </c>
      <c r="E68" t="s">
        <v>2</v>
      </c>
      <c r="F68">
        <v>5</v>
      </c>
      <c r="G68">
        <v>1248.32</v>
      </c>
      <c r="H68">
        <v>6241.6</v>
      </c>
      <c r="I68">
        <v>624.16</v>
      </c>
      <c r="J68">
        <v>5617.44</v>
      </c>
      <c r="K68">
        <v>122</v>
      </c>
      <c r="L68" s="11">
        <v>0.13885416666666667</v>
      </c>
      <c r="M68">
        <f t="shared" si="5"/>
        <v>13</v>
      </c>
      <c r="N68">
        <f t="shared" si="6"/>
        <v>4</v>
      </c>
      <c r="O68">
        <f t="shared" si="7"/>
        <v>2025</v>
      </c>
      <c r="P68" s="4">
        <f t="shared" si="8"/>
        <v>45760</v>
      </c>
      <c r="Q68" t="s">
        <v>1136</v>
      </c>
      <c r="R68" t="s">
        <v>1137</v>
      </c>
      <c r="S68">
        <v>1</v>
      </c>
      <c r="T68" t="s">
        <v>1145</v>
      </c>
      <c r="U68" s="11" t="str">
        <f t="shared" si="9"/>
        <v>03:19:57 AM</v>
      </c>
      <c r="AC68" s="4">
        <v>45215</v>
      </c>
      <c r="AD68" s="25">
        <v>16211.560000000001</v>
      </c>
      <c r="BL68" s="2" t="s">
        <v>1218</v>
      </c>
      <c r="BM68" s="4">
        <v>45203</v>
      </c>
      <c r="BN68" s="25">
        <v>19221.97</v>
      </c>
    </row>
    <row r="69" spans="1:66" x14ac:dyDescent="0.35">
      <c r="A69">
        <v>7916</v>
      </c>
      <c r="B69" t="s">
        <v>0</v>
      </c>
      <c r="C69" s="1">
        <v>45608</v>
      </c>
      <c r="D69" t="s">
        <v>24</v>
      </c>
      <c r="E69" t="s">
        <v>14</v>
      </c>
      <c r="F69">
        <v>3</v>
      </c>
      <c r="G69">
        <v>890.59</v>
      </c>
      <c r="H69">
        <v>2671.77</v>
      </c>
      <c r="I69">
        <v>534.52</v>
      </c>
      <c r="J69">
        <v>2137.25</v>
      </c>
      <c r="K69">
        <v>457</v>
      </c>
      <c r="L69" s="11">
        <v>0.81033564814814818</v>
      </c>
      <c r="M69">
        <f t="shared" si="5"/>
        <v>12</v>
      </c>
      <c r="N69">
        <f t="shared" si="6"/>
        <v>11</v>
      </c>
      <c r="O69">
        <f t="shared" si="7"/>
        <v>2024</v>
      </c>
      <c r="P69" s="4">
        <f t="shared" si="8"/>
        <v>45608</v>
      </c>
      <c r="Q69" t="s">
        <v>1138</v>
      </c>
      <c r="R69" t="s">
        <v>1135</v>
      </c>
      <c r="S69">
        <v>5</v>
      </c>
      <c r="T69" t="s">
        <v>1150</v>
      </c>
      <c r="U69" s="11" t="str">
        <f t="shared" si="9"/>
        <v>07:26:53 PM</v>
      </c>
      <c r="AC69" s="4">
        <v>45216</v>
      </c>
      <c r="AD69" s="25">
        <v>16582.57</v>
      </c>
      <c r="BL69" s="2" t="s">
        <v>1219</v>
      </c>
      <c r="BM69" s="4">
        <v>45204</v>
      </c>
      <c r="BN69" s="25">
        <v>9596.4599999999991</v>
      </c>
    </row>
    <row r="70" spans="1:66" x14ac:dyDescent="0.35">
      <c r="A70">
        <v>2040</v>
      </c>
      <c r="B70" t="s">
        <v>8</v>
      </c>
      <c r="C70" s="1">
        <v>45443</v>
      </c>
      <c r="D70" t="s">
        <v>6</v>
      </c>
      <c r="E70" t="s">
        <v>21</v>
      </c>
      <c r="F70">
        <v>2</v>
      </c>
      <c r="G70">
        <v>1782.84</v>
      </c>
      <c r="H70">
        <v>3565.68</v>
      </c>
      <c r="I70">
        <v>356.9</v>
      </c>
      <c r="J70">
        <v>3208.78</v>
      </c>
      <c r="K70">
        <v>32</v>
      </c>
      <c r="L70" s="11">
        <v>0.55644675925925924</v>
      </c>
      <c r="M70">
        <f t="shared" si="5"/>
        <v>31</v>
      </c>
      <c r="N70">
        <f t="shared" si="6"/>
        <v>5</v>
      </c>
      <c r="O70">
        <f t="shared" si="7"/>
        <v>2024</v>
      </c>
      <c r="P70" s="4">
        <f t="shared" si="8"/>
        <v>45443</v>
      </c>
      <c r="Q70" t="s">
        <v>1136</v>
      </c>
      <c r="R70" t="s">
        <v>1135</v>
      </c>
      <c r="S70">
        <v>4</v>
      </c>
      <c r="T70" t="s">
        <v>1150</v>
      </c>
      <c r="U70" s="11" t="str">
        <f t="shared" si="9"/>
        <v>01:21:17 PM</v>
      </c>
      <c r="AC70" s="4">
        <v>45217</v>
      </c>
      <c r="AD70" s="25">
        <v>36813.82</v>
      </c>
      <c r="BL70" s="2" t="s">
        <v>1220</v>
      </c>
      <c r="BM70" s="4">
        <v>45205</v>
      </c>
      <c r="BN70" s="25">
        <v>10160.030000000001</v>
      </c>
    </row>
    <row r="71" spans="1:66" x14ac:dyDescent="0.35">
      <c r="A71">
        <v>7252</v>
      </c>
      <c r="B71" t="s">
        <v>25</v>
      </c>
      <c r="C71" s="1">
        <v>45607</v>
      </c>
      <c r="D71" t="s">
        <v>27</v>
      </c>
      <c r="E71" t="s">
        <v>22</v>
      </c>
      <c r="F71">
        <v>4</v>
      </c>
      <c r="G71">
        <v>232.4</v>
      </c>
      <c r="H71">
        <v>929.6</v>
      </c>
      <c r="I71">
        <v>92.96</v>
      </c>
      <c r="J71">
        <v>836.64</v>
      </c>
      <c r="K71">
        <v>426</v>
      </c>
      <c r="L71" s="11">
        <v>0.41935185185185186</v>
      </c>
      <c r="M71">
        <f t="shared" si="5"/>
        <v>11</v>
      </c>
      <c r="N71">
        <f t="shared" si="6"/>
        <v>11</v>
      </c>
      <c r="O71">
        <f t="shared" si="7"/>
        <v>2024</v>
      </c>
      <c r="P71" s="4">
        <f t="shared" si="8"/>
        <v>45607</v>
      </c>
      <c r="Q71" t="s">
        <v>1139</v>
      </c>
      <c r="R71" t="s">
        <v>1135</v>
      </c>
      <c r="S71">
        <v>1</v>
      </c>
      <c r="T71" t="s">
        <v>1144</v>
      </c>
      <c r="U71" s="11" t="str">
        <f t="shared" si="9"/>
        <v>10:03:52 AM</v>
      </c>
      <c r="AC71" s="4">
        <v>45218</v>
      </c>
      <c r="AD71" s="25">
        <v>4464.57</v>
      </c>
      <c r="BL71" s="2" t="s">
        <v>1221</v>
      </c>
      <c r="BM71" s="4">
        <v>45206</v>
      </c>
      <c r="BN71" s="25">
        <v>9200.5500000000011</v>
      </c>
    </row>
    <row r="72" spans="1:66" x14ac:dyDescent="0.35">
      <c r="A72">
        <v>8668</v>
      </c>
      <c r="B72" t="s">
        <v>20</v>
      </c>
      <c r="C72" s="1">
        <v>45555</v>
      </c>
      <c r="D72" t="s">
        <v>17</v>
      </c>
      <c r="E72" t="s">
        <v>21</v>
      </c>
      <c r="F72">
        <v>4</v>
      </c>
      <c r="G72">
        <v>96.28</v>
      </c>
      <c r="H72">
        <v>385.12</v>
      </c>
      <c r="I72">
        <v>38.18</v>
      </c>
      <c r="J72">
        <v>346.94</v>
      </c>
      <c r="K72">
        <v>180</v>
      </c>
      <c r="L72" s="11">
        <v>0.29796296296296299</v>
      </c>
      <c r="M72">
        <f t="shared" si="5"/>
        <v>20</v>
      </c>
      <c r="N72">
        <f t="shared" si="6"/>
        <v>9</v>
      </c>
      <c r="O72">
        <f t="shared" si="7"/>
        <v>2024</v>
      </c>
      <c r="P72" s="4">
        <f t="shared" si="8"/>
        <v>45555</v>
      </c>
      <c r="Q72" t="s">
        <v>1139</v>
      </c>
      <c r="R72" t="s">
        <v>1137</v>
      </c>
      <c r="S72">
        <v>5</v>
      </c>
      <c r="T72" t="s">
        <v>1143</v>
      </c>
      <c r="U72" s="11" t="str">
        <f t="shared" si="9"/>
        <v>07:09:04 AM</v>
      </c>
      <c r="AC72" s="4">
        <v>45220</v>
      </c>
      <c r="AD72" s="25">
        <v>7632.6799999999994</v>
      </c>
      <c r="BL72" s="2" t="s">
        <v>1222</v>
      </c>
      <c r="BM72" s="4">
        <v>45207</v>
      </c>
      <c r="BN72" s="25">
        <v>9857.91</v>
      </c>
    </row>
    <row r="73" spans="1:66" x14ac:dyDescent="0.35">
      <c r="A73">
        <v>5119</v>
      </c>
      <c r="B73" t="s">
        <v>13</v>
      </c>
      <c r="C73" s="1">
        <v>45574</v>
      </c>
      <c r="D73" t="s">
        <v>27</v>
      </c>
      <c r="E73" t="s">
        <v>7</v>
      </c>
      <c r="F73">
        <v>5</v>
      </c>
      <c r="G73">
        <v>2243.4899999999998</v>
      </c>
      <c r="H73">
        <v>11217.45</v>
      </c>
      <c r="I73">
        <v>1682.41</v>
      </c>
      <c r="J73">
        <v>9535.0400000000009</v>
      </c>
      <c r="K73">
        <v>249</v>
      </c>
      <c r="L73" s="11">
        <v>5.1504629629629626E-3</v>
      </c>
      <c r="M73">
        <f t="shared" si="5"/>
        <v>9</v>
      </c>
      <c r="N73">
        <f t="shared" si="6"/>
        <v>10</v>
      </c>
      <c r="O73">
        <f t="shared" si="7"/>
        <v>2024</v>
      </c>
      <c r="P73" s="4">
        <f t="shared" si="8"/>
        <v>45574</v>
      </c>
      <c r="Q73" t="s">
        <v>1139</v>
      </c>
      <c r="R73" t="s">
        <v>1135</v>
      </c>
      <c r="S73">
        <v>1</v>
      </c>
      <c r="T73" t="s">
        <v>1141</v>
      </c>
      <c r="U73" s="11" t="str">
        <f t="shared" si="9"/>
        <v>12:07:25 AM</v>
      </c>
      <c r="AC73" s="4">
        <v>45221</v>
      </c>
      <c r="AD73" s="25">
        <v>42.33</v>
      </c>
      <c r="BL73" s="2" t="s">
        <v>1223</v>
      </c>
      <c r="BM73" s="4">
        <v>45208</v>
      </c>
      <c r="BN73" s="25">
        <v>5489.62</v>
      </c>
    </row>
    <row r="74" spans="1:66" x14ac:dyDescent="0.35">
      <c r="A74">
        <v>1188</v>
      </c>
      <c r="B74" t="s">
        <v>13</v>
      </c>
      <c r="C74" s="1">
        <v>45673</v>
      </c>
      <c r="D74" t="s">
        <v>34</v>
      </c>
      <c r="E74" t="s">
        <v>28</v>
      </c>
      <c r="F74">
        <v>4</v>
      </c>
      <c r="G74">
        <v>891.42</v>
      </c>
      <c r="H74">
        <v>3565.68</v>
      </c>
      <c r="I74">
        <v>0</v>
      </c>
      <c r="J74">
        <v>3565.68</v>
      </c>
      <c r="K74">
        <v>347</v>
      </c>
      <c r="L74" s="11">
        <v>0.19753472222222221</v>
      </c>
      <c r="M74">
        <f t="shared" si="5"/>
        <v>16</v>
      </c>
      <c r="N74">
        <f t="shared" si="6"/>
        <v>1</v>
      </c>
      <c r="O74">
        <f t="shared" si="7"/>
        <v>2025</v>
      </c>
      <c r="P74" s="4">
        <f t="shared" si="8"/>
        <v>45673</v>
      </c>
      <c r="Q74" t="s">
        <v>1138</v>
      </c>
      <c r="R74" t="s">
        <v>1137</v>
      </c>
      <c r="S74">
        <v>1</v>
      </c>
      <c r="T74" t="s">
        <v>1147</v>
      </c>
      <c r="U74" s="11" t="str">
        <f t="shared" si="9"/>
        <v>04:44:27 AM</v>
      </c>
      <c r="AC74" s="4">
        <v>45222</v>
      </c>
      <c r="AD74" s="25">
        <v>23826.809999999998</v>
      </c>
      <c r="BL74" s="2" t="s">
        <v>1224</v>
      </c>
      <c r="BM74" s="4">
        <v>45209</v>
      </c>
      <c r="BN74" s="25">
        <v>7793.7000000000007</v>
      </c>
    </row>
    <row r="75" spans="1:66" x14ac:dyDescent="0.35">
      <c r="A75">
        <v>2876</v>
      </c>
      <c r="B75" t="s">
        <v>8</v>
      </c>
      <c r="C75" s="1">
        <v>45674</v>
      </c>
      <c r="D75" t="s">
        <v>34</v>
      </c>
      <c r="E75" t="s">
        <v>30</v>
      </c>
      <c r="F75">
        <v>5</v>
      </c>
      <c r="G75">
        <v>1367.84</v>
      </c>
      <c r="H75">
        <v>6839.2</v>
      </c>
      <c r="I75">
        <v>270.58</v>
      </c>
      <c r="J75">
        <v>6568.62</v>
      </c>
      <c r="K75">
        <v>464</v>
      </c>
      <c r="L75" s="11">
        <v>0.67853009259259256</v>
      </c>
      <c r="M75">
        <f t="shared" si="5"/>
        <v>17</v>
      </c>
      <c r="N75">
        <f t="shared" si="6"/>
        <v>1</v>
      </c>
      <c r="O75">
        <f t="shared" si="7"/>
        <v>2025</v>
      </c>
      <c r="P75" s="4">
        <f t="shared" si="8"/>
        <v>45674</v>
      </c>
      <c r="Q75" t="s">
        <v>1139</v>
      </c>
      <c r="R75" t="s">
        <v>1137</v>
      </c>
      <c r="S75">
        <v>2</v>
      </c>
      <c r="T75" t="s">
        <v>1145</v>
      </c>
      <c r="U75" s="11" t="str">
        <f t="shared" si="9"/>
        <v>04:17:05 PM</v>
      </c>
      <c r="AC75" s="4">
        <v>45223</v>
      </c>
      <c r="AD75" s="25">
        <v>6324.5999999999995</v>
      </c>
      <c r="BL75" s="2" t="s">
        <v>1225</v>
      </c>
      <c r="BM75" s="4">
        <v>45210</v>
      </c>
      <c r="BN75" s="25">
        <v>4325.13</v>
      </c>
    </row>
    <row r="76" spans="1:66" x14ac:dyDescent="0.35">
      <c r="A76">
        <v>9797</v>
      </c>
      <c r="B76" t="s">
        <v>20</v>
      </c>
      <c r="C76" s="1">
        <v>45728</v>
      </c>
      <c r="D76" t="s">
        <v>4</v>
      </c>
      <c r="E76" t="s">
        <v>5</v>
      </c>
      <c r="F76">
        <v>2</v>
      </c>
      <c r="G76">
        <v>2168.79</v>
      </c>
      <c r="H76">
        <v>4337.58</v>
      </c>
      <c r="I76">
        <v>650.72</v>
      </c>
      <c r="J76">
        <v>3686.86</v>
      </c>
      <c r="K76">
        <v>93</v>
      </c>
      <c r="L76" s="11">
        <v>0.75930555555555557</v>
      </c>
      <c r="M76">
        <f t="shared" si="5"/>
        <v>12</v>
      </c>
      <c r="N76">
        <f t="shared" si="6"/>
        <v>3</v>
      </c>
      <c r="O76">
        <f t="shared" si="7"/>
        <v>2025</v>
      </c>
      <c r="P76" s="4">
        <f t="shared" si="8"/>
        <v>45728</v>
      </c>
      <c r="Q76" t="s">
        <v>1138</v>
      </c>
      <c r="R76" t="s">
        <v>1135</v>
      </c>
      <c r="S76">
        <v>5</v>
      </c>
      <c r="T76" t="s">
        <v>1146</v>
      </c>
      <c r="U76" s="11" t="str">
        <f t="shared" si="9"/>
        <v>06:13:24 PM</v>
      </c>
      <c r="AC76" s="4">
        <v>45224</v>
      </c>
      <c r="AD76" s="25">
        <v>14136.56</v>
      </c>
      <c r="BL76" s="2" t="s">
        <v>1226</v>
      </c>
      <c r="BM76" s="4">
        <v>45211</v>
      </c>
      <c r="BN76" s="25">
        <v>12697.34</v>
      </c>
    </row>
    <row r="77" spans="1:66" x14ac:dyDescent="0.35">
      <c r="A77">
        <v>5371</v>
      </c>
      <c r="B77" t="s">
        <v>13</v>
      </c>
      <c r="C77" s="1">
        <v>45741</v>
      </c>
      <c r="D77" t="s">
        <v>11</v>
      </c>
      <c r="E77" t="s">
        <v>33</v>
      </c>
      <c r="F77">
        <v>4</v>
      </c>
      <c r="G77">
        <v>869.01</v>
      </c>
      <c r="H77">
        <v>3476.04</v>
      </c>
      <c r="I77">
        <v>521.24</v>
      </c>
      <c r="J77">
        <v>2954.8</v>
      </c>
      <c r="K77">
        <v>389</v>
      </c>
      <c r="L77" s="11">
        <v>0.89059027777777777</v>
      </c>
      <c r="M77">
        <f t="shared" si="5"/>
        <v>25</v>
      </c>
      <c r="N77">
        <f t="shared" si="6"/>
        <v>3</v>
      </c>
      <c r="O77">
        <f t="shared" si="7"/>
        <v>2025</v>
      </c>
      <c r="P77" s="4">
        <f t="shared" si="8"/>
        <v>45741</v>
      </c>
      <c r="Q77" t="s">
        <v>1139</v>
      </c>
      <c r="R77" t="s">
        <v>1135</v>
      </c>
      <c r="S77">
        <v>4</v>
      </c>
      <c r="T77" t="s">
        <v>1144</v>
      </c>
      <c r="U77" s="11" t="str">
        <f t="shared" si="9"/>
        <v>09:22:27 PM</v>
      </c>
      <c r="AC77" s="4">
        <v>45225</v>
      </c>
      <c r="AD77" s="25">
        <v>14756.57</v>
      </c>
      <c r="BL77" s="2" t="s">
        <v>1227</v>
      </c>
      <c r="BM77" s="4">
        <v>45212</v>
      </c>
      <c r="BN77" s="25">
        <v>9374.02</v>
      </c>
    </row>
    <row r="78" spans="1:66" x14ac:dyDescent="0.35">
      <c r="A78">
        <v>6573</v>
      </c>
      <c r="B78" t="s">
        <v>13</v>
      </c>
      <c r="C78" s="1">
        <v>45231</v>
      </c>
      <c r="D78" t="s">
        <v>24</v>
      </c>
      <c r="E78" t="s">
        <v>32</v>
      </c>
      <c r="F78">
        <v>4</v>
      </c>
      <c r="G78">
        <v>128.65</v>
      </c>
      <c r="H78">
        <v>514.6</v>
      </c>
      <c r="I78">
        <v>77.19</v>
      </c>
      <c r="J78">
        <v>437.41</v>
      </c>
      <c r="K78">
        <v>276</v>
      </c>
      <c r="L78" s="11">
        <v>0.12157407407407407</v>
      </c>
      <c r="M78">
        <f t="shared" si="5"/>
        <v>1</v>
      </c>
      <c r="N78">
        <f t="shared" si="6"/>
        <v>11</v>
      </c>
      <c r="O78">
        <f t="shared" si="7"/>
        <v>2023</v>
      </c>
      <c r="P78" s="4">
        <f t="shared" si="8"/>
        <v>45231</v>
      </c>
      <c r="Q78" t="s">
        <v>1136</v>
      </c>
      <c r="R78" t="s">
        <v>1137</v>
      </c>
      <c r="S78">
        <v>2</v>
      </c>
      <c r="T78" t="s">
        <v>1145</v>
      </c>
      <c r="U78" s="11" t="str">
        <f t="shared" si="9"/>
        <v>02:55:04 AM</v>
      </c>
      <c r="AC78" s="4">
        <v>45226</v>
      </c>
      <c r="AD78" s="25">
        <v>7025.95</v>
      </c>
      <c r="BL78" s="2" t="s">
        <v>1228</v>
      </c>
      <c r="BM78" s="4">
        <v>45213</v>
      </c>
      <c r="BN78" s="25">
        <v>11164.33</v>
      </c>
    </row>
    <row r="79" spans="1:66" x14ac:dyDescent="0.35">
      <c r="A79">
        <v>5808</v>
      </c>
      <c r="B79" t="s">
        <v>31</v>
      </c>
      <c r="C79" s="1">
        <v>45482</v>
      </c>
      <c r="D79" t="s">
        <v>16</v>
      </c>
      <c r="E79" t="s">
        <v>32</v>
      </c>
      <c r="F79">
        <v>1</v>
      </c>
      <c r="G79">
        <v>1897.38</v>
      </c>
      <c r="H79">
        <v>1897.38</v>
      </c>
      <c r="I79">
        <v>379.31</v>
      </c>
      <c r="J79">
        <v>1518.07</v>
      </c>
      <c r="K79">
        <v>486</v>
      </c>
      <c r="L79" s="11">
        <v>0.92469907407407403</v>
      </c>
      <c r="M79">
        <f t="shared" si="5"/>
        <v>9</v>
      </c>
      <c r="N79">
        <f t="shared" si="6"/>
        <v>7</v>
      </c>
      <c r="O79">
        <f t="shared" si="7"/>
        <v>2024</v>
      </c>
      <c r="P79" s="4">
        <f t="shared" si="8"/>
        <v>45482</v>
      </c>
      <c r="Q79" t="s">
        <v>1136</v>
      </c>
      <c r="R79" t="s">
        <v>1135</v>
      </c>
      <c r="S79">
        <v>1</v>
      </c>
      <c r="T79" t="s">
        <v>1149</v>
      </c>
      <c r="U79" s="11" t="str">
        <f t="shared" si="9"/>
        <v>10:11:34 PM</v>
      </c>
      <c r="AC79" s="4">
        <v>45227</v>
      </c>
      <c r="AD79" s="25">
        <v>9735.9</v>
      </c>
      <c r="BL79" s="2" t="s">
        <v>1229</v>
      </c>
      <c r="BM79" s="4">
        <v>45214</v>
      </c>
      <c r="BN79" s="25">
        <v>4392.3599999999997</v>
      </c>
    </row>
    <row r="80" spans="1:66" x14ac:dyDescent="0.35">
      <c r="A80">
        <v>3591</v>
      </c>
      <c r="B80" t="s">
        <v>20</v>
      </c>
      <c r="C80" s="1">
        <v>45497</v>
      </c>
      <c r="D80" t="s">
        <v>17</v>
      </c>
      <c r="E80" t="s">
        <v>30</v>
      </c>
      <c r="F80">
        <v>2</v>
      </c>
      <c r="G80">
        <v>385.95</v>
      </c>
      <c r="H80">
        <v>771.9</v>
      </c>
      <c r="I80">
        <v>397.57</v>
      </c>
      <c r="J80">
        <v>374.33</v>
      </c>
      <c r="K80">
        <v>342</v>
      </c>
      <c r="L80" s="11">
        <v>0.6647453703703704</v>
      </c>
      <c r="M80">
        <f t="shared" si="5"/>
        <v>24</v>
      </c>
      <c r="N80">
        <f t="shared" si="6"/>
        <v>7</v>
      </c>
      <c r="O80">
        <f t="shared" si="7"/>
        <v>2024</v>
      </c>
      <c r="P80" s="4">
        <f t="shared" si="8"/>
        <v>45497</v>
      </c>
      <c r="Q80" t="s">
        <v>1134</v>
      </c>
      <c r="R80" t="s">
        <v>1137</v>
      </c>
      <c r="S80">
        <v>1</v>
      </c>
      <c r="T80" t="s">
        <v>1148</v>
      </c>
      <c r="U80" s="11" t="str">
        <f t="shared" si="9"/>
        <v>03:57:14 PM</v>
      </c>
      <c r="AC80" s="4">
        <v>45228</v>
      </c>
      <c r="AD80" s="25">
        <v>1661.66</v>
      </c>
      <c r="BL80" s="2" t="s">
        <v>1230</v>
      </c>
      <c r="BM80" s="4">
        <v>45215</v>
      </c>
      <c r="BN80" s="25">
        <v>16211.560000000001</v>
      </c>
    </row>
    <row r="81" spans="1:66" x14ac:dyDescent="0.35">
      <c r="A81">
        <v>1053</v>
      </c>
      <c r="B81" t="s">
        <v>15</v>
      </c>
      <c r="C81" s="1">
        <v>45705</v>
      </c>
      <c r="D81" t="s">
        <v>24</v>
      </c>
      <c r="E81" t="s">
        <v>12</v>
      </c>
      <c r="F81">
        <v>2</v>
      </c>
      <c r="G81">
        <v>1540.48</v>
      </c>
      <c r="H81">
        <v>3080.96</v>
      </c>
      <c r="I81">
        <v>615.86</v>
      </c>
      <c r="J81">
        <v>2465.1</v>
      </c>
      <c r="K81">
        <v>493</v>
      </c>
      <c r="L81" s="11">
        <v>0.77028935185185188</v>
      </c>
      <c r="M81">
        <f t="shared" si="5"/>
        <v>17</v>
      </c>
      <c r="N81">
        <f t="shared" si="6"/>
        <v>2</v>
      </c>
      <c r="O81">
        <f t="shared" si="7"/>
        <v>2025</v>
      </c>
      <c r="P81" s="4">
        <f t="shared" si="8"/>
        <v>45705</v>
      </c>
      <c r="Q81" t="s">
        <v>1136</v>
      </c>
      <c r="R81" t="s">
        <v>1135</v>
      </c>
      <c r="S81">
        <v>1</v>
      </c>
      <c r="T81" t="s">
        <v>1143</v>
      </c>
      <c r="U81" s="11" t="str">
        <f t="shared" si="9"/>
        <v>06:29:13 PM</v>
      </c>
      <c r="AC81" s="4">
        <v>45229</v>
      </c>
      <c r="AD81" s="25">
        <v>6918.88</v>
      </c>
      <c r="BL81" s="2" t="s">
        <v>1231</v>
      </c>
      <c r="BM81" s="4">
        <v>45216</v>
      </c>
      <c r="BN81" s="25">
        <v>16582.57</v>
      </c>
    </row>
    <row r="82" spans="1:66" x14ac:dyDescent="0.35">
      <c r="A82">
        <v>5315</v>
      </c>
      <c r="B82" t="s">
        <v>19</v>
      </c>
      <c r="C82" s="1">
        <v>45533</v>
      </c>
      <c r="D82" t="s">
        <v>4</v>
      </c>
      <c r="E82" t="s">
        <v>28</v>
      </c>
      <c r="F82">
        <v>3</v>
      </c>
      <c r="G82">
        <v>1468.27</v>
      </c>
      <c r="H82">
        <v>4404.8100000000004</v>
      </c>
      <c r="I82">
        <v>440.73</v>
      </c>
      <c r="J82">
        <v>3964.08</v>
      </c>
      <c r="K82">
        <v>464</v>
      </c>
      <c r="L82" s="11">
        <v>0.87287037037037041</v>
      </c>
      <c r="M82">
        <f t="shared" si="5"/>
        <v>29</v>
      </c>
      <c r="N82">
        <f t="shared" si="6"/>
        <v>8</v>
      </c>
      <c r="O82">
        <f t="shared" si="7"/>
        <v>2024</v>
      </c>
      <c r="P82" s="4">
        <f t="shared" si="8"/>
        <v>45533</v>
      </c>
      <c r="Q82" t="s">
        <v>1134</v>
      </c>
      <c r="R82" t="s">
        <v>1135</v>
      </c>
      <c r="S82">
        <v>5</v>
      </c>
      <c r="T82" t="s">
        <v>1146</v>
      </c>
      <c r="U82" s="11" t="str">
        <f t="shared" si="9"/>
        <v>08:56:56 PM</v>
      </c>
      <c r="AC82" s="4">
        <v>45230</v>
      </c>
      <c r="AD82" s="25">
        <v>5687.16</v>
      </c>
      <c r="BL82" s="2" t="s">
        <v>1232</v>
      </c>
      <c r="BM82" s="4">
        <v>45217</v>
      </c>
      <c r="BN82" s="25">
        <v>36813.82</v>
      </c>
    </row>
    <row r="83" spans="1:66" x14ac:dyDescent="0.35">
      <c r="A83">
        <v>3927</v>
      </c>
      <c r="B83" t="s">
        <v>31</v>
      </c>
      <c r="C83" s="1">
        <v>45539</v>
      </c>
      <c r="D83" t="s">
        <v>4</v>
      </c>
      <c r="E83" t="s">
        <v>14</v>
      </c>
      <c r="F83">
        <v>1</v>
      </c>
      <c r="G83">
        <v>1760.43</v>
      </c>
      <c r="H83">
        <v>1760.43</v>
      </c>
      <c r="I83">
        <v>342.79</v>
      </c>
      <c r="J83">
        <v>1417.64</v>
      </c>
      <c r="K83">
        <v>154</v>
      </c>
      <c r="L83" s="11">
        <v>7.3807870370370371E-2</v>
      </c>
      <c r="M83">
        <f t="shared" si="5"/>
        <v>4</v>
      </c>
      <c r="N83">
        <f t="shared" si="6"/>
        <v>9</v>
      </c>
      <c r="O83">
        <f t="shared" si="7"/>
        <v>2024</v>
      </c>
      <c r="P83" s="4">
        <f t="shared" si="8"/>
        <v>45539</v>
      </c>
      <c r="Q83" t="s">
        <v>1136</v>
      </c>
      <c r="R83" t="s">
        <v>1137</v>
      </c>
      <c r="S83">
        <v>5</v>
      </c>
      <c r="T83" t="s">
        <v>1144</v>
      </c>
      <c r="U83" s="11" t="str">
        <f t="shared" si="9"/>
        <v>01:46:17 AM</v>
      </c>
      <c r="AC83" s="4">
        <v>45231</v>
      </c>
      <c r="AD83" s="25">
        <v>6185.16</v>
      </c>
      <c r="BL83" s="2" t="s">
        <v>1233</v>
      </c>
      <c r="BM83" s="4">
        <v>45218</v>
      </c>
      <c r="BN83" s="25">
        <v>4464.57</v>
      </c>
    </row>
    <row r="84" spans="1:66" x14ac:dyDescent="0.35">
      <c r="A84">
        <v>2743</v>
      </c>
      <c r="B84" t="s">
        <v>25</v>
      </c>
      <c r="C84" s="1">
        <v>45821</v>
      </c>
      <c r="D84" t="s">
        <v>27</v>
      </c>
      <c r="E84" t="s">
        <v>5</v>
      </c>
      <c r="F84">
        <v>3</v>
      </c>
      <c r="G84">
        <v>248.17</v>
      </c>
      <c r="H84">
        <v>744.51</v>
      </c>
      <c r="I84">
        <v>365.2</v>
      </c>
      <c r="J84">
        <v>379.31</v>
      </c>
      <c r="K84">
        <v>331</v>
      </c>
      <c r="L84" s="11">
        <v>0.56460648148148151</v>
      </c>
      <c r="M84">
        <f t="shared" si="5"/>
        <v>13</v>
      </c>
      <c r="N84">
        <f t="shared" si="6"/>
        <v>6</v>
      </c>
      <c r="O84">
        <f t="shared" si="7"/>
        <v>2025</v>
      </c>
      <c r="P84" s="4">
        <f t="shared" si="8"/>
        <v>45821</v>
      </c>
      <c r="Q84" t="s">
        <v>1138</v>
      </c>
      <c r="R84" t="s">
        <v>1135</v>
      </c>
      <c r="S84">
        <v>2</v>
      </c>
      <c r="T84" t="s">
        <v>1150</v>
      </c>
      <c r="U84" s="11" t="str">
        <f t="shared" si="9"/>
        <v>01:33:02 PM</v>
      </c>
      <c r="AC84" s="4">
        <v>45232</v>
      </c>
      <c r="AD84" s="25">
        <v>4524.33</v>
      </c>
      <c r="BL84" s="2" t="s">
        <v>1234</v>
      </c>
      <c r="BM84" s="4">
        <v>45220</v>
      </c>
      <c r="BN84" s="25">
        <v>7632.6799999999994</v>
      </c>
    </row>
    <row r="85" spans="1:66" x14ac:dyDescent="0.35">
      <c r="A85">
        <v>5889</v>
      </c>
      <c r="B85" t="s">
        <v>15</v>
      </c>
      <c r="C85" s="1">
        <v>45798</v>
      </c>
      <c r="D85" t="s">
        <v>4</v>
      </c>
      <c r="E85" t="s">
        <v>5</v>
      </c>
      <c r="F85">
        <v>3</v>
      </c>
      <c r="G85">
        <v>1611.86</v>
      </c>
      <c r="H85">
        <v>4835.58</v>
      </c>
      <c r="I85">
        <v>0</v>
      </c>
      <c r="J85">
        <v>4835.58</v>
      </c>
      <c r="K85">
        <v>424</v>
      </c>
      <c r="L85" s="11">
        <v>0.32135416666666666</v>
      </c>
      <c r="M85">
        <f t="shared" si="5"/>
        <v>21</v>
      </c>
      <c r="N85">
        <f t="shared" si="6"/>
        <v>5</v>
      </c>
      <c r="O85">
        <f t="shared" si="7"/>
        <v>2025</v>
      </c>
      <c r="P85" s="4">
        <f t="shared" si="8"/>
        <v>45798</v>
      </c>
      <c r="Q85" t="s">
        <v>1136</v>
      </c>
      <c r="R85" t="s">
        <v>1137</v>
      </c>
      <c r="S85">
        <v>4</v>
      </c>
      <c r="T85" t="s">
        <v>1142</v>
      </c>
      <c r="U85" s="11" t="str">
        <f t="shared" si="9"/>
        <v>07:42:45 AM</v>
      </c>
      <c r="AC85" s="4">
        <v>45233</v>
      </c>
      <c r="AD85" s="25">
        <v>5787.59</v>
      </c>
      <c r="BL85" s="2" t="s">
        <v>1235</v>
      </c>
      <c r="BM85" s="4">
        <v>45221</v>
      </c>
      <c r="BN85" s="25">
        <v>42.33</v>
      </c>
    </row>
    <row r="86" spans="1:66" x14ac:dyDescent="0.35">
      <c r="A86">
        <v>9317</v>
      </c>
      <c r="B86" t="s">
        <v>8</v>
      </c>
      <c r="C86" s="1">
        <v>45618</v>
      </c>
      <c r="D86" t="s">
        <v>9</v>
      </c>
      <c r="E86" t="s">
        <v>18</v>
      </c>
      <c r="F86">
        <v>5</v>
      </c>
      <c r="G86">
        <v>2406.17</v>
      </c>
      <c r="H86">
        <v>12030.85</v>
      </c>
      <c r="I86">
        <v>1202.67</v>
      </c>
      <c r="J86">
        <v>10828.18</v>
      </c>
      <c r="K86">
        <v>138</v>
      </c>
      <c r="L86" s="11">
        <v>0.65782407407407406</v>
      </c>
      <c r="M86">
        <f t="shared" si="5"/>
        <v>22</v>
      </c>
      <c r="N86">
        <f t="shared" si="6"/>
        <v>11</v>
      </c>
      <c r="O86">
        <f t="shared" si="7"/>
        <v>2024</v>
      </c>
      <c r="P86" s="4">
        <f t="shared" si="8"/>
        <v>45618</v>
      </c>
      <c r="Q86" t="s">
        <v>1134</v>
      </c>
      <c r="R86" t="s">
        <v>1135</v>
      </c>
      <c r="S86">
        <v>2</v>
      </c>
      <c r="T86" t="s">
        <v>1144</v>
      </c>
      <c r="U86" s="11" t="str">
        <f t="shared" si="9"/>
        <v>03:47:16 PM</v>
      </c>
      <c r="AC86" s="4">
        <v>45234</v>
      </c>
      <c r="AD86" s="25">
        <v>3446.16</v>
      </c>
      <c r="BL86" s="2" t="s">
        <v>1236</v>
      </c>
      <c r="BM86" s="4">
        <v>45222</v>
      </c>
      <c r="BN86" s="25">
        <v>23826.809999999998</v>
      </c>
    </row>
    <row r="87" spans="1:66" x14ac:dyDescent="0.35">
      <c r="A87">
        <v>4258</v>
      </c>
      <c r="B87" t="s">
        <v>13</v>
      </c>
      <c r="C87" s="1">
        <v>45263</v>
      </c>
      <c r="D87" t="s">
        <v>17</v>
      </c>
      <c r="E87" t="s">
        <v>2</v>
      </c>
      <c r="F87">
        <v>3</v>
      </c>
      <c r="G87">
        <v>2132.27</v>
      </c>
      <c r="H87">
        <v>6396.81</v>
      </c>
      <c r="I87">
        <v>959.48</v>
      </c>
      <c r="J87">
        <v>5437.33</v>
      </c>
      <c r="K87">
        <v>425</v>
      </c>
      <c r="L87" s="11">
        <v>0.75702546296296291</v>
      </c>
      <c r="M87">
        <f t="shared" si="5"/>
        <v>3</v>
      </c>
      <c r="N87">
        <f t="shared" si="6"/>
        <v>12</v>
      </c>
      <c r="O87">
        <f t="shared" si="7"/>
        <v>2023</v>
      </c>
      <c r="P87" s="4">
        <f t="shared" si="8"/>
        <v>45263</v>
      </c>
      <c r="Q87" t="s">
        <v>1134</v>
      </c>
      <c r="R87" t="s">
        <v>1137</v>
      </c>
      <c r="S87">
        <v>3</v>
      </c>
      <c r="T87" t="s">
        <v>1142</v>
      </c>
      <c r="U87" s="11" t="str">
        <f t="shared" si="9"/>
        <v>06:10:07 PM</v>
      </c>
      <c r="AC87" s="4">
        <v>45235</v>
      </c>
      <c r="AD87" s="25">
        <v>21091.129999999997</v>
      </c>
      <c r="BL87" s="2" t="s">
        <v>1237</v>
      </c>
      <c r="BM87" s="4">
        <v>45223</v>
      </c>
      <c r="BN87" s="25">
        <v>6324.5999999999995</v>
      </c>
    </row>
    <row r="88" spans="1:66" x14ac:dyDescent="0.35">
      <c r="A88">
        <v>7126</v>
      </c>
      <c r="B88" t="s">
        <v>15</v>
      </c>
      <c r="C88" s="1">
        <v>45737</v>
      </c>
      <c r="D88" t="s">
        <v>6</v>
      </c>
      <c r="E88" t="s">
        <v>22</v>
      </c>
      <c r="F88">
        <v>5</v>
      </c>
      <c r="G88">
        <v>1551.27</v>
      </c>
      <c r="H88">
        <v>7756.35</v>
      </c>
      <c r="I88">
        <v>247.34</v>
      </c>
      <c r="J88">
        <v>7509.01</v>
      </c>
      <c r="K88">
        <v>194</v>
      </c>
      <c r="L88" s="11">
        <v>0.82666666666666666</v>
      </c>
      <c r="M88">
        <f t="shared" si="5"/>
        <v>21</v>
      </c>
      <c r="N88">
        <f t="shared" si="6"/>
        <v>3</v>
      </c>
      <c r="O88">
        <f t="shared" si="7"/>
        <v>2025</v>
      </c>
      <c r="P88" s="4">
        <f t="shared" si="8"/>
        <v>45737</v>
      </c>
      <c r="Q88" t="s">
        <v>1139</v>
      </c>
      <c r="R88" t="s">
        <v>1137</v>
      </c>
      <c r="S88">
        <v>1</v>
      </c>
      <c r="T88" t="s">
        <v>1150</v>
      </c>
      <c r="U88" s="11" t="str">
        <f t="shared" si="9"/>
        <v>07:50:24 PM</v>
      </c>
      <c r="AC88" s="4">
        <v>45237</v>
      </c>
      <c r="AD88" s="25">
        <v>21653.870000000003</v>
      </c>
      <c r="BL88" s="2" t="s">
        <v>1238</v>
      </c>
      <c r="BM88" s="4">
        <v>45224</v>
      </c>
      <c r="BN88" s="25">
        <v>14136.56</v>
      </c>
    </row>
    <row r="89" spans="1:66" x14ac:dyDescent="0.35">
      <c r="A89">
        <v>3646</v>
      </c>
      <c r="B89" t="s">
        <v>25</v>
      </c>
      <c r="C89" s="1">
        <v>45563</v>
      </c>
      <c r="D89" t="s">
        <v>23</v>
      </c>
      <c r="E89" t="s">
        <v>37</v>
      </c>
      <c r="F89">
        <v>2</v>
      </c>
      <c r="G89">
        <v>936.24</v>
      </c>
      <c r="H89">
        <v>1872.48</v>
      </c>
      <c r="I89">
        <v>280.54000000000002</v>
      </c>
      <c r="J89">
        <v>1591.94</v>
      </c>
      <c r="K89">
        <v>132</v>
      </c>
      <c r="L89" s="11">
        <v>0.5599305555555556</v>
      </c>
      <c r="M89">
        <f t="shared" si="5"/>
        <v>28</v>
      </c>
      <c r="N89">
        <f t="shared" si="6"/>
        <v>9</v>
      </c>
      <c r="O89">
        <f t="shared" si="7"/>
        <v>2024</v>
      </c>
      <c r="P89" s="4">
        <f t="shared" si="8"/>
        <v>45563</v>
      </c>
      <c r="Q89" t="s">
        <v>1138</v>
      </c>
      <c r="R89" t="s">
        <v>1135</v>
      </c>
      <c r="S89">
        <v>1</v>
      </c>
      <c r="T89" t="s">
        <v>1148</v>
      </c>
      <c r="U89" s="11" t="str">
        <f t="shared" si="9"/>
        <v>01:26:18 PM</v>
      </c>
      <c r="AC89" s="4">
        <v>45238</v>
      </c>
      <c r="AD89" s="25">
        <v>7353.7999999999993</v>
      </c>
      <c r="BL89" s="2" t="s">
        <v>1239</v>
      </c>
      <c r="BM89" s="4">
        <v>45225</v>
      </c>
      <c r="BN89" s="25">
        <v>14756.57</v>
      </c>
    </row>
    <row r="90" spans="1:66" x14ac:dyDescent="0.35">
      <c r="A90">
        <v>9689</v>
      </c>
      <c r="B90" t="s">
        <v>19</v>
      </c>
      <c r="C90" s="1">
        <v>45858</v>
      </c>
      <c r="D90" t="s">
        <v>27</v>
      </c>
      <c r="E90" t="s">
        <v>28</v>
      </c>
      <c r="F90">
        <v>5</v>
      </c>
      <c r="G90">
        <v>2363.84</v>
      </c>
      <c r="H90">
        <v>11819.2</v>
      </c>
      <c r="I90">
        <v>0</v>
      </c>
      <c r="J90">
        <v>11819.2</v>
      </c>
      <c r="K90">
        <v>43</v>
      </c>
      <c r="L90" s="11">
        <v>0.67079861111111116</v>
      </c>
      <c r="M90">
        <f t="shared" si="5"/>
        <v>20</v>
      </c>
      <c r="N90">
        <f t="shared" si="6"/>
        <v>7</v>
      </c>
      <c r="O90">
        <f t="shared" si="7"/>
        <v>2025</v>
      </c>
      <c r="P90" s="4">
        <f t="shared" si="8"/>
        <v>45858</v>
      </c>
      <c r="Q90" t="s">
        <v>1136</v>
      </c>
      <c r="R90" t="s">
        <v>1137</v>
      </c>
      <c r="S90">
        <v>1</v>
      </c>
      <c r="T90" t="s">
        <v>1143</v>
      </c>
      <c r="U90" s="11" t="str">
        <f t="shared" si="9"/>
        <v>04:05:57 PM</v>
      </c>
      <c r="AC90" s="4">
        <v>45239</v>
      </c>
      <c r="AD90" s="25">
        <v>15942.640000000001</v>
      </c>
      <c r="BL90" s="2" t="s">
        <v>1240</v>
      </c>
      <c r="BM90" s="4">
        <v>45226</v>
      </c>
      <c r="BN90" s="25">
        <v>7025.95</v>
      </c>
    </row>
    <row r="91" spans="1:66" x14ac:dyDescent="0.35">
      <c r="A91">
        <v>1009</v>
      </c>
      <c r="B91" t="s">
        <v>13</v>
      </c>
      <c r="C91" s="1">
        <v>45610</v>
      </c>
      <c r="D91" t="s">
        <v>34</v>
      </c>
      <c r="E91" t="s">
        <v>7</v>
      </c>
      <c r="F91">
        <v>2</v>
      </c>
      <c r="G91">
        <v>1744.66</v>
      </c>
      <c r="H91">
        <v>3489.32</v>
      </c>
      <c r="I91">
        <v>348.6</v>
      </c>
      <c r="J91">
        <v>3140.72</v>
      </c>
      <c r="K91">
        <v>330</v>
      </c>
      <c r="L91" s="11">
        <v>0.5305671296296296</v>
      </c>
      <c r="M91">
        <f t="shared" si="5"/>
        <v>14</v>
      </c>
      <c r="N91">
        <f t="shared" si="6"/>
        <v>11</v>
      </c>
      <c r="O91">
        <f t="shared" si="7"/>
        <v>2024</v>
      </c>
      <c r="P91" s="4">
        <f t="shared" si="8"/>
        <v>45610</v>
      </c>
      <c r="Q91" t="s">
        <v>1139</v>
      </c>
      <c r="R91" t="s">
        <v>1135</v>
      </c>
      <c r="S91">
        <v>2</v>
      </c>
      <c r="T91" t="s">
        <v>1141</v>
      </c>
      <c r="U91" s="11" t="str">
        <f t="shared" si="9"/>
        <v>12:44:01 PM</v>
      </c>
      <c r="AC91" s="4">
        <v>45240</v>
      </c>
      <c r="AD91" s="25">
        <v>3301.74</v>
      </c>
      <c r="BL91" s="2" t="s">
        <v>1241</v>
      </c>
      <c r="BM91" s="4">
        <v>45227</v>
      </c>
      <c r="BN91" s="25">
        <v>9735.9</v>
      </c>
    </row>
    <row r="92" spans="1:66" x14ac:dyDescent="0.35">
      <c r="A92">
        <v>6310</v>
      </c>
      <c r="B92" t="s">
        <v>20</v>
      </c>
      <c r="C92" s="1">
        <v>45524</v>
      </c>
      <c r="D92" t="s">
        <v>4</v>
      </c>
      <c r="E92" t="s">
        <v>26</v>
      </c>
      <c r="F92">
        <v>2</v>
      </c>
      <c r="G92">
        <v>1055.76</v>
      </c>
      <c r="H92">
        <v>2111.52</v>
      </c>
      <c r="I92">
        <v>0</v>
      </c>
      <c r="J92">
        <v>2111.52</v>
      </c>
      <c r="K92">
        <v>124</v>
      </c>
      <c r="L92" s="11">
        <v>0.73591435185185183</v>
      </c>
      <c r="M92">
        <f t="shared" si="5"/>
        <v>20</v>
      </c>
      <c r="N92">
        <f t="shared" si="6"/>
        <v>8</v>
      </c>
      <c r="O92">
        <f t="shared" si="7"/>
        <v>2024</v>
      </c>
      <c r="P92" s="4">
        <f t="shared" si="8"/>
        <v>45524</v>
      </c>
      <c r="Q92" t="s">
        <v>1136</v>
      </c>
      <c r="R92" t="s">
        <v>1135</v>
      </c>
      <c r="S92">
        <v>2</v>
      </c>
      <c r="T92" t="s">
        <v>1144</v>
      </c>
      <c r="U92" s="11" t="str">
        <f t="shared" si="9"/>
        <v>05:39:43 PM</v>
      </c>
      <c r="AC92" s="4">
        <v>45242</v>
      </c>
      <c r="AD92" s="25">
        <v>2976.38</v>
      </c>
      <c r="BL92" s="2" t="s">
        <v>1242</v>
      </c>
      <c r="BM92" s="4">
        <v>45228</v>
      </c>
      <c r="BN92" s="25">
        <v>1661.66</v>
      </c>
    </row>
    <row r="93" spans="1:66" x14ac:dyDescent="0.35">
      <c r="A93">
        <v>1319</v>
      </c>
      <c r="B93" t="s">
        <v>25</v>
      </c>
      <c r="C93" s="1">
        <v>45231</v>
      </c>
      <c r="D93" t="s">
        <v>34</v>
      </c>
      <c r="E93" t="s">
        <v>7</v>
      </c>
      <c r="F93">
        <v>5</v>
      </c>
      <c r="G93">
        <v>909.68</v>
      </c>
      <c r="H93">
        <v>4548.3999999999996</v>
      </c>
      <c r="I93">
        <v>682.26</v>
      </c>
      <c r="J93">
        <v>3866.14</v>
      </c>
      <c r="K93">
        <v>381</v>
      </c>
      <c r="L93" s="11">
        <v>0.81663194444444442</v>
      </c>
      <c r="M93">
        <f t="shared" si="5"/>
        <v>1</v>
      </c>
      <c r="N93">
        <f t="shared" si="6"/>
        <v>11</v>
      </c>
      <c r="O93">
        <f t="shared" si="7"/>
        <v>2023</v>
      </c>
      <c r="P93" s="4">
        <f t="shared" si="8"/>
        <v>45231</v>
      </c>
      <c r="Q93" t="s">
        <v>1136</v>
      </c>
      <c r="R93" t="s">
        <v>1135</v>
      </c>
      <c r="S93">
        <v>1</v>
      </c>
      <c r="T93" t="s">
        <v>1147</v>
      </c>
      <c r="U93" s="11" t="str">
        <f t="shared" si="9"/>
        <v>07:35:57 PM</v>
      </c>
      <c r="AC93" s="4">
        <v>45243</v>
      </c>
      <c r="AD93" s="25">
        <v>21897.06</v>
      </c>
      <c r="BL93" s="2" t="s">
        <v>1243</v>
      </c>
      <c r="BM93" s="4">
        <v>45229</v>
      </c>
      <c r="BN93" s="25">
        <v>6918.88</v>
      </c>
    </row>
    <row r="94" spans="1:66" x14ac:dyDescent="0.35">
      <c r="A94">
        <v>6947</v>
      </c>
      <c r="B94" t="s">
        <v>15</v>
      </c>
      <c r="C94" s="1">
        <v>45827</v>
      </c>
      <c r="D94" t="s">
        <v>24</v>
      </c>
      <c r="E94" t="s">
        <v>26</v>
      </c>
      <c r="F94">
        <v>3</v>
      </c>
      <c r="G94">
        <v>637.44000000000005</v>
      </c>
      <c r="H94">
        <v>1912.32</v>
      </c>
      <c r="I94">
        <v>287.18</v>
      </c>
      <c r="J94">
        <v>1625.14</v>
      </c>
      <c r="K94">
        <v>369</v>
      </c>
      <c r="L94" s="13">
        <v>0.85717592592592595</v>
      </c>
      <c r="M94">
        <f t="shared" si="5"/>
        <v>19</v>
      </c>
      <c r="N94">
        <f t="shared" si="6"/>
        <v>6</v>
      </c>
      <c r="O94">
        <f t="shared" si="7"/>
        <v>2025</v>
      </c>
      <c r="P94" s="4">
        <f t="shared" si="8"/>
        <v>45827</v>
      </c>
      <c r="Q94" t="s">
        <v>1139</v>
      </c>
      <c r="R94" t="s">
        <v>1137</v>
      </c>
      <c r="S94">
        <v>2</v>
      </c>
      <c r="T94" t="s">
        <v>1150</v>
      </c>
      <c r="U94" s="11" t="str">
        <f t="shared" si="9"/>
        <v>08:34:20 PM</v>
      </c>
      <c r="AC94" s="4">
        <v>45244</v>
      </c>
      <c r="AD94" s="25">
        <v>9509.3100000000013</v>
      </c>
      <c r="BL94" s="2" t="s">
        <v>1244</v>
      </c>
      <c r="BM94" s="4">
        <v>45230</v>
      </c>
      <c r="BN94" s="25">
        <v>5687.16</v>
      </c>
    </row>
    <row r="95" spans="1:66" x14ac:dyDescent="0.35">
      <c r="A95">
        <v>6038</v>
      </c>
      <c r="B95" t="s">
        <v>0</v>
      </c>
      <c r="C95" s="1">
        <v>45330</v>
      </c>
      <c r="D95" t="s">
        <v>27</v>
      </c>
      <c r="E95" t="s">
        <v>18</v>
      </c>
      <c r="F95">
        <v>2</v>
      </c>
      <c r="G95">
        <v>603.41</v>
      </c>
      <c r="H95">
        <v>1206.82</v>
      </c>
      <c r="I95">
        <v>0</v>
      </c>
      <c r="J95">
        <v>1206.82</v>
      </c>
      <c r="K95">
        <v>247</v>
      </c>
      <c r="L95" s="13">
        <v>0.84989583333333329</v>
      </c>
      <c r="M95">
        <f t="shared" si="5"/>
        <v>8</v>
      </c>
      <c r="N95">
        <f t="shared" si="6"/>
        <v>2</v>
      </c>
      <c r="O95">
        <f t="shared" si="7"/>
        <v>2024</v>
      </c>
      <c r="P95" s="4">
        <f t="shared" si="8"/>
        <v>45330</v>
      </c>
      <c r="Q95" t="s">
        <v>1139</v>
      </c>
      <c r="R95" t="s">
        <v>1137</v>
      </c>
      <c r="S95">
        <v>5</v>
      </c>
      <c r="T95" t="s">
        <v>1144</v>
      </c>
      <c r="U95" s="11" t="str">
        <f t="shared" si="9"/>
        <v>08:23:51 PM</v>
      </c>
      <c r="AC95" s="4">
        <v>45245</v>
      </c>
      <c r="AD95" s="25">
        <v>5658.11</v>
      </c>
      <c r="BL95" s="2" t="s">
        <v>1245</v>
      </c>
      <c r="BM95" s="4">
        <v>45231</v>
      </c>
      <c r="BN95" s="25">
        <v>6185.16</v>
      </c>
    </row>
    <row r="96" spans="1:66" x14ac:dyDescent="0.35">
      <c r="A96">
        <v>1949</v>
      </c>
      <c r="B96" t="s">
        <v>3</v>
      </c>
      <c r="C96" s="1">
        <v>45332</v>
      </c>
      <c r="D96" t="s">
        <v>17</v>
      </c>
      <c r="E96" t="s">
        <v>26</v>
      </c>
      <c r="F96">
        <v>1</v>
      </c>
      <c r="G96">
        <v>2086.62</v>
      </c>
      <c r="H96">
        <v>2086.62</v>
      </c>
      <c r="I96">
        <v>312.91000000000003</v>
      </c>
      <c r="J96">
        <v>1773.71</v>
      </c>
      <c r="K96">
        <v>151</v>
      </c>
      <c r="L96" s="11">
        <v>0.62825231481481481</v>
      </c>
      <c r="M96">
        <f t="shared" si="5"/>
        <v>10</v>
      </c>
      <c r="N96">
        <f t="shared" si="6"/>
        <v>2</v>
      </c>
      <c r="O96">
        <f t="shared" si="7"/>
        <v>2024</v>
      </c>
      <c r="P96" s="4">
        <f t="shared" si="8"/>
        <v>45332</v>
      </c>
      <c r="Q96" t="s">
        <v>1139</v>
      </c>
      <c r="R96" t="s">
        <v>1135</v>
      </c>
      <c r="S96">
        <v>5</v>
      </c>
      <c r="T96" t="s">
        <v>1149</v>
      </c>
      <c r="U96" s="11" t="str">
        <f t="shared" si="9"/>
        <v>03:04:41 PM</v>
      </c>
      <c r="AC96" s="4">
        <v>45246</v>
      </c>
      <c r="AD96" s="25">
        <v>666.49</v>
      </c>
      <c r="BL96" s="2" t="s">
        <v>1246</v>
      </c>
      <c r="BM96" s="4">
        <v>45232</v>
      </c>
      <c r="BN96" s="25">
        <v>4524.33</v>
      </c>
    </row>
    <row r="97" spans="1:66" x14ac:dyDescent="0.35">
      <c r="A97">
        <v>2290</v>
      </c>
      <c r="B97" t="s">
        <v>8</v>
      </c>
      <c r="C97" s="1">
        <v>45211</v>
      </c>
      <c r="D97" t="s">
        <v>24</v>
      </c>
      <c r="E97" t="s">
        <v>28</v>
      </c>
      <c r="F97">
        <v>5</v>
      </c>
      <c r="G97">
        <v>386.78</v>
      </c>
      <c r="H97">
        <v>1933.9</v>
      </c>
      <c r="I97">
        <v>180.11</v>
      </c>
      <c r="J97">
        <v>1753.79</v>
      </c>
      <c r="K97">
        <v>23</v>
      </c>
      <c r="L97" s="13">
        <v>0.76203703703703707</v>
      </c>
      <c r="M97">
        <f t="shared" si="5"/>
        <v>12</v>
      </c>
      <c r="N97">
        <f t="shared" si="6"/>
        <v>10</v>
      </c>
      <c r="O97">
        <f t="shared" si="7"/>
        <v>2023</v>
      </c>
      <c r="P97" s="4">
        <f t="shared" si="8"/>
        <v>45211</v>
      </c>
      <c r="Q97" t="s">
        <v>1139</v>
      </c>
      <c r="R97" t="s">
        <v>1135</v>
      </c>
      <c r="S97">
        <v>2</v>
      </c>
      <c r="T97" t="s">
        <v>1148</v>
      </c>
      <c r="U97" s="11" t="str">
        <f t="shared" si="9"/>
        <v>06:17:20 PM</v>
      </c>
      <c r="AC97" s="4">
        <v>45247</v>
      </c>
      <c r="AD97" s="25">
        <v>13156.329999999998</v>
      </c>
      <c r="BL97" s="2" t="s">
        <v>1247</v>
      </c>
      <c r="BM97" s="4">
        <v>45233</v>
      </c>
      <c r="BN97" s="25">
        <v>5787.59</v>
      </c>
    </row>
    <row r="98" spans="1:66" x14ac:dyDescent="0.35">
      <c r="A98">
        <v>8962</v>
      </c>
      <c r="B98" t="s">
        <v>8</v>
      </c>
      <c r="C98" s="1">
        <v>45778</v>
      </c>
      <c r="D98" t="s">
        <v>16</v>
      </c>
      <c r="E98" t="s">
        <v>37</v>
      </c>
      <c r="F98">
        <v>1</v>
      </c>
      <c r="G98">
        <v>2182.9</v>
      </c>
      <c r="H98">
        <v>2182.9</v>
      </c>
      <c r="I98">
        <v>218.29</v>
      </c>
      <c r="J98">
        <v>1964.61</v>
      </c>
      <c r="K98">
        <v>293</v>
      </c>
      <c r="L98" s="13">
        <v>0.11243055555555556</v>
      </c>
      <c r="M98">
        <f t="shared" si="5"/>
        <v>1</v>
      </c>
      <c r="N98">
        <f t="shared" si="6"/>
        <v>5</v>
      </c>
      <c r="O98">
        <f t="shared" si="7"/>
        <v>2025</v>
      </c>
      <c r="P98" s="4">
        <f t="shared" si="8"/>
        <v>45778</v>
      </c>
      <c r="Q98" t="s">
        <v>1139</v>
      </c>
      <c r="R98" t="s">
        <v>1137</v>
      </c>
      <c r="S98">
        <v>1</v>
      </c>
      <c r="T98" t="s">
        <v>1149</v>
      </c>
      <c r="U98" s="11" t="str">
        <f t="shared" si="9"/>
        <v>02:41:54 AM</v>
      </c>
      <c r="AC98" s="4">
        <v>45248</v>
      </c>
      <c r="AD98" s="25">
        <v>22158.510000000002</v>
      </c>
      <c r="BL98" s="2" t="s">
        <v>1248</v>
      </c>
      <c r="BM98" s="4">
        <v>45234</v>
      </c>
      <c r="BN98" s="25">
        <v>3446.16</v>
      </c>
    </row>
    <row r="99" spans="1:66" x14ac:dyDescent="0.35">
      <c r="A99">
        <v>2133</v>
      </c>
      <c r="B99" t="s">
        <v>15</v>
      </c>
      <c r="C99" s="1">
        <v>45735</v>
      </c>
      <c r="D99" t="s">
        <v>34</v>
      </c>
      <c r="E99" t="s">
        <v>10</v>
      </c>
      <c r="F99">
        <v>2</v>
      </c>
      <c r="G99">
        <v>2406.17</v>
      </c>
      <c r="H99">
        <v>4812.34</v>
      </c>
      <c r="I99">
        <v>356.07</v>
      </c>
      <c r="J99">
        <v>4456.2700000000004</v>
      </c>
      <c r="K99">
        <v>129</v>
      </c>
      <c r="L99" s="13">
        <v>0.42930555555555555</v>
      </c>
      <c r="M99">
        <f t="shared" si="5"/>
        <v>19</v>
      </c>
      <c r="N99">
        <f t="shared" si="6"/>
        <v>3</v>
      </c>
      <c r="O99">
        <f t="shared" si="7"/>
        <v>2025</v>
      </c>
      <c r="P99" s="4">
        <f t="shared" si="8"/>
        <v>45735</v>
      </c>
      <c r="Q99" t="s">
        <v>1136</v>
      </c>
      <c r="R99" t="s">
        <v>1135</v>
      </c>
      <c r="S99">
        <v>2</v>
      </c>
      <c r="T99" t="s">
        <v>1145</v>
      </c>
      <c r="U99" s="11" t="str">
        <f t="shared" si="9"/>
        <v>10:18:12 AM</v>
      </c>
      <c r="AC99" s="4">
        <v>45249</v>
      </c>
      <c r="AD99" s="25">
        <v>1231.72</v>
      </c>
      <c r="BL99" s="2" t="s">
        <v>1249</v>
      </c>
      <c r="BM99" s="4">
        <v>45235</v>
      </c>
      <c r="BN99" s="25">
        <v>21091.129999999997</v>
      </c>
    </row>
    <row r="100" spans="1:66" x14ac:dyDescent="0.35">
      <c r="A100">
        <v>9727</v>
      </c>
      <c r="B100" t="s">
        <v>13</v>
      </c>
      <c r="C100" s="1">
        <v>45739</v>
      </c>
      <c r="D100" t="s">
        <v>34</v>
      </c>
      <c r="E100" t="s">
        <v>32</v>
      </c>
      <c r="F100">
        <v>5</v>
      </c>
      <c r="G100">
        <v>1596.92</v>
      </c>
      <c r="H100">
        <v>7984.6</v>
      </c>
      <c r="I100">
        <v>1596.92</v>
      </c>
      <c r="J100">
        <v>6387.68</v>
      </c>
      <c r="K100">
        <v>27</v>
      </c>
      <c r="L100" s="13">
        <v>0.73746527777777782</v>
      </c>
      <c r="M100">
        <f t="shared" si="5"/>
        <v>23</v>
      </c>
      <c r="N100">
        <f t="shared" si="6"/>
        <v>3</v>
      </c>
      <c r="O100">
        <f t="shared" si="7"/>
        <v>2025</v>
      </c>
      <c r="P100" s="4">
        <f t="shared" si="8"/>
        <v>45739</v>
      </c>
      <c r="Q100" t="s">
        <v>1139</v>
      </c>
      <c r="R100" t="s">
        <v>1135</v>
      </c>
      <c r="S100">
        <v>2</v>
      </c>
      <c r="T100" t="s">
        <v>1143</v>
      </c>
      <c r="U100" s="11" t="str">
        <f t="shared" si="9"/>
        <v>05:41:57 PM</v>
      </c>
      <c r="AC100" s="4">
        <v>45250</v>
      </c>
      <c r="AD100" s="25">
        <v>25462.739999999998</v>
      </c>
      <c r="BL100" s="2" t="s">
        <v>1250</v>
      </c>
      <c r="BM100" s="4">
        <v>45237</v>
      </c>
      <c r="BN100" s="25">
        <v>21653.870000000003</v>
      </c>
    </row>
    <row r="101" spans="1:66" x14ac:dyDescent="0.35">
      <c r="A101">
        <v>3060</v>
      </c>
      <c r="B101" t="s">
        <v>19</v>
      </c>
      <c r="C101" s="1">
        <v>45244</v>
      </c>
      <c r="D101" t="s">
        <v>4</v>
      </c>
      <c r="E101" t="s">
        <v>14</v>
      </c>
      <c r="F101">
        <v>1</v>
      </c>
      <c r="G101">
        <v>1425.11</v>
      </c>
      <c r="H101">
        <v>1425.11</v>
      </c>
      <c r="I101">
        <v>209.16</v>
      </c>
      <c r="J101">
        <v>1215.95</v>
      </c>
      <c r="K101">
        <v>213</v>
      </c>
      <c r="L101" s="13">
        <v>6.828703703703704E-3</v>
      </c>
      <c r="M101">
        <f t="shared" si="5"/>
        <v>14</v>
      </c>
      <c r="N101">
        <f t="shared" si="6"/>
        <v>11</v>
      </c>
      <c r="O101">
        <f t="shared" si="7"/>
        <v>2023</v>
      </c>
      <c r="P101" s="4">
        <f t="shared" si="8"/>
        <v>45244</v>
      </c>
      <c r="Q101" t="s">
        <v>1138</v>
      </c>
      <c r="R101" t="s">
        <v>1137</v>
      </c>
      <c r="S101">
        <v>2</v>
      </c>
      <c r="T101" t="s">
        <v>1145</v>
      </c>
      <c r="U101" s="11" t="str">
        <f t="shared" si="9"/>
        <v>12:09:50 AM</v>
      </c>
      <c r="AC101" s="4">
        <v>45251</v>
      </c>
      <c r="AD101" s="25">
        <v>23931.39</v>
      </c>
      <c r="BL101" s="2" t="s">
        <v>1251</v>
      </c>
      <c r="BM101" s="4">
        <v>45238</v>
      </c>
      <c r="BN101" s="25">
        <v>7353.7999999999993</v>
      </c>
    </row>
    <row r="102" spans="1:66" x14ac:dyDescent="0.35">
      <c r="A102">
        <v>8787</v>
      </c>
      <c r="B102" t="s">
        <v>15</v>
      </c>
      <c r="C102" s="1">
        <v>45572</v>
      </c>
      <c r="D102" t="s">
        <v>24</v>
      </c>
      <c r="E102" t="s">
        <v>5</v>
      </c>
      <c r="F102">
        <v>3</v>
      </c>
      <c r="G102">
        <v>1450.84</v>
      </c>
      <c r="H102">
        <v>4352.5200000000004</v>
      </c>
      <c r="I102">
        <v>870.67</v>
      </c>
      <c r="J102">
        <v>3481.85</v>
      </c>
      <c r="K102">
        <v>30</v>
      </c>
      <c r="L102" s="13">
        <v>0.17133101851851851</v>
      </c>
      <c r="M102">
        <f t="shared" si="5"/>
        <v>7</v>
      </c>
      <c r="N102">
        <f t="shared" si="6"/>
        <v>10</v>
      </c>
      <c r="O102">
        <f t="shared" si="7"/>
        <v>2024</v>
      </c>
      <c r="P102" s="4">
        <f t="shared" si="8"/>
        <v>45572</v>
      </c>
      <c r="Q102" t="s">
        <v>1134</v>
      </c>
      <c r="R102" t="s">
        <v>1135</v>
      </c>
      <c r="S102">
        <v>3</v>
      </c>
      <c r="T102" t="s">
        <v>1144</v>
      </c>
      <c r="U102" s="11" t="str">
        <f t="shared" si="9"/>
        <v>04:06:43 AM</v>
      </c>
      <c r="AC102" s="4">
        <v>45252</v>
      </c>
      <c r="AD102" s="25">
        <v>2476.7199999999998</v>
      </c>
      <c r="BL102" s="2" t="s">
        <v>1252</v>
      </c>
      <c r="BM102" s="4">
        <v>45239</v>
      </c>
      <c r="BN102" s="25">
        <v>15942.640000000001</v>
      </c>
    </row>
    <row r="103" spans="1:66" x14ac:dyDescent="0.35">
      <c r="A103">
        <v>3705</v>
      </c>
      <c r="B103" t="s">
        <v>31</v>
      </c>
      <c r="C103" s="1">
        <v>45350</v>
      </c>
      <c r="D103" t="s">
        <v>24</v>
      </c>
      <c r="E103" t="s">
        <v>32</v>
      </c>
      <c r="F103">
        <v>2</v>
      </c>
      <c r="G103">
        <v>659.85</v>
      </c>
      <c r="H103">
        <v>1319.7</v>
      </c>
      <c r="I103">
        <v>263.94</v>
      </c>
      <c r="J103">
        <v>1055.76</v>
      </c>
      <c r="K103">
        <v>282</v>
      </c>
      <c r="L103" s="13">
        <v>0.3740162037037037</v>
      </c>
      <c r="M103">
        <f t="shared" si="5"/>
        <v>28</v>
      </c>
      <c r="N103">
        <f t="shared" si="6"/>
        <v>2</v>
      </c>
      <c r="O103">
        <f t="shared" si="7"/>
        <v>2024</v>
      </c>
      <c r="P103" s="4">
        <f t="shared" si="8"/>
        <v>45350</v>
      </c>
      <c r="Q103" t="s">
        <v>1139</v>
      </c>
      <c r="R103" t="s">
        <v>1137</v>
      </c>
      <c r="S103">
        <v>5</v>
      </c>
      <c r="T103" t="s">
        <v>1146</v>
      </c>
      <c r="U103" s="11" t="str">
        <f t="shared" si="9"/>
        <v>08:58:35 AM</v>
      </c>
      <c r="AC103" s="4">
        <v>45253</v>
      </c>
      <c r="AD103" s="25">
        <v>17662.400000000001</v>
      </c>
      <c r="BL103" s="2" t="s">
        <v>1253</v>
      </c>
      <c r="BM103" s="4">
        <v>45240</v>
      </c>
      <c r="BN103" s="25">
        <v>3301.74</v>
      </c>
    </row>
    <row r="104" spans="1:66" x14ac:dyDescent="0.35">
      <c r="A104">
        <v>9645</v>
      </c>
      <c r="B104" t="s">
        <v>20</v>
      </c>
      <c r="C104" s="1">
        <v>45822</v>
      </c>
      <c r="D104" t="s">
        <v>9</v>
      </c>
      <c r="E104" t="s">
        <v>22</v>
      </c>
      <c r="F104">
        <v>5</v>
      </c>
      <c r="G104">
        <v>1213.46</v>
      </c>
      <c r="H104">
        <v>6067.3</v>
      </c>
      <c r="I104">
        <v>909.68</v>
      </c>
      <c r="J104">
        <v>5157.62</v>
      </c>
      <c r="K104">
        <v>16</v>
      </c>
      <c r="L104" s="11">
        <v>0.45579861111111108</v>
      </c>
      <c r="M104">
        <f t="shared" si="5"/>
        <v>14</v>
      </c>
      <c r="N104">
        <f t="shared" si="6"/>
        <v>6</v>
      </c>
      <c r="O104">
        <f t="shared" si="7"/>
        <v>2025</v>
      </c>
      <c r="P104" s="4">
        <f t="shared" si="8"/>
        <v>45822</v>
      </c>
      <c r="Q104" t="s">
        <v>1139</v>
      </c>
      <c r="R104" t="s">
        <v>1135</v>
      </c>
      <c r="S104">
        <v>4</v>
      </c>
      <c r="T104" t="s">
        <v>1146</v>
      </c>
      <c r="U104" s="11" t="str">
        <f t="shared" si="9"/>
        <v>10:56:21 AM</v>
      </c>
      <c r="AC104" s="4">
        <v>45254</v>
      </c>
      <c r="AD104" s="25">
        <v>8599.6299999999992</v>
      </c>
      <c r="BL104" s="2" t="s">
        <v>1254</v>
      </c>
      <c r="BM104" s="4">
        <v>45242</v>
      </c>
      <c r="BN104" s="25">
        <v>2976.38</v>
      </c>
    </row>
    <row r="105" spans="1:66" x14ac:dyDescent="0.35">
      <c r="A105">
        <v>7932</v>
      </c>
      <c r="B105" t="s">
        <v>19</v>
      </c>
      <c r="C105" s="1">
        <v>45309</v>
      </c>
      <c r="D105" t="s">
        <v>34</v>
      </c>
      <c r="E105" t="s">
        <v>32</v>
      </c>
      <c r="F105">
        <v>2</v>
      </c>
      <c r="G105">
        <v>2305.7399999999998</v>
      </c>
      <c r="H105">
        <v>4611.4799999999996</v>
      </c>
      <c r="I105">
        <v>461.48</v>
      </c>
      <c r="J105">
        <v>4150</v>
      </c>
      <c r="K105">
        <v>403</v>
      </c>
      <c r="L105" s="11">
        <v>0.54983796296296295</v>
      </c>
      <c r="M105">
        <f t="shared" si="5"/>
        <v>18</v>
      </c>
      <c r="N105">
        <f t="shared" si="6"/>
        <v>1</v>
      </c>
      <c r="O105">
        <f t="shared" si="7"/>
        <v>2024</v>
      </c>
      <c r="P105" s="4">
        <f t="shared" si="8"/>
        <v>45309</v>
      </c>
      <c r="Q105" t="s">
        <v>1136</v>
      </c>
      <c r="R105" t="s">
        <v>1137</v>
      </c>
      <c r="S105">
        <v>4</v>
      </c>
      <c r="T105" t="s">
        <v>1143</v>
      </c>
      <c r="U105" s="11" t="str">
        <f t="shared" si="9"/>
        <v>01:11:46 PM</v>
      </c>
      <c r="AC105" s="4">
        <v>45255</v>
      </c>
      <c r="AD105" s="25">
        <v>3344.07</v>
      </c>
      <c r="BL105" s="2" t="s">
        <v>1255</v>
      </c>
      <c r="BM105" s="4">
        <v>45243</v>
      </c>
      <c r="BN105" s="25">
        <v>21897.06</v>
      </c>
    </row>
    <row r="106" spans="1:66" x14ac:dyDescent="0.35">
      <c r="A106">
        <v>9835</v>
      </c>
      <c r="B106" t="s">
        <v>0</v>
      </c>
      <c r="C106" s="1">
        <v>45731</v>
      </c>
      <c r="D106" t="s">
        <v>27</v>
      </c>
      <c r="E106" t="s">
        <v>14</v>
      </c>
      <c r="F106">
        <v>2</v>
      </c>
      <c r="G106">
        <v>2268.39</v>
      </c>
      <c r="H106">
        <v>4536.78</v>
      </c>
      <c r="I106">
        <v>102.92</v>
      </c>
      <c r="J106">
        <v>4433.8599999999997</v>
      </c>
      <c r="K106">
        <v>423</v>
      </c>
      <c r="L106" s="11">
        <v>0.56756944444444446</v>
      </c>
      <c r="M106">
        <f t="shared" si="5"/>
        <v>15</v>
      </c>
      <c r="N106">
        <f t="shared" si="6"/>
        <v>3</v>
      </c>
      <c r="O106">
        <f t="shared" si="7"/>
        <v>2025</v>
      </c>
      <c r="P106" s="4">
        <f t="shared" si="8"/>
        <v>45731</v>
      </c>
      <c r="Q106" t="s">
        <v>1139</v>
      </c>
      <c r="R106" t="s">
        <v>1135</v>
      </c>
      <c r="S106">
        <v>3</v>
      </c>
      <c r="T106" t="s">
        <v>1147</v>
      </c>
      <c r="U106" s="11" t="str">
        <f t="shared" si="9"/>
        <v>01:37:18 PM</v>
      </c>
      <c r="AC106" s="4">
        <v>45258</v>
      </c>
      <c r="AD106" s="25">
        <v>22243.17</v>
      </c>
      <c r="BL106" s="2" t="s">
        <v>1256</v>
      </c>
      <c r="BM106" s="4">
        <v>45244</v>
      </c>
      <c r="BN106" s="25">
        <v>9509.3100000000013</v>
      </c>
    </row>
    <row r="107" spans="1:66" x14ac:dyDescent="0.35">
      <c r="A107">
        <v>4295</v>
      </c>
      <c r="B107" t="s">
        <v>19</v>
      </c>
      <c r="C107" s="1">
        <v>45698</v>
      </c>
      <c r="D107" t="s">
        <v>17</v>
      </c>
      <c r="E107" t="s">
        <v>26</v>
      </c>
      <c r="F107">
        <v>4</v>
      </c>
      <c r="G107">
        <v>381.8</v>
      </c>
      <c r="H107">
        <v>1527.2</v>
      </c>
      <c r="I107">
        <v>0</v>
      </c>
      <c r="J107">
        <v>1527.2</v>
      </c>
      <c r="K107">
        <v>352</v>
      </c>
      <c r="L107" s="11">
        <v>0.56740740740740736</v>
      </c>
      <c r="M107">
        <f t="shared" si="5"/>
        <v>10</v>
      </c>
      <c r="N107">
        <f t="shared" si="6"/>
        <v>2</v>
      </c>
      <c r="O107">
        <f t="shared" si="7"/>
        <v>2025</v>
      </c>
      <c r="P107" s="4">
        <f t="shared" si="8"/>
        <v>45698</v>
      </c>
      <c r="Q107" t="s">
        <v>1139</v>
      </c>
      <c r="R107" t="s">
        <v>1135</v>
      </c>
      <c r="S107">
        <v>2</v>
      </c>
      <c r="T107" t="s">
        <v>1148</v>
      </c>
      <c r="U107" s="11" t="str">
        <f t="shared" si="9"/>
        <v>01:37:04 PM</v>
      </c>
      <c r="AC107" s="4">
        <v>45259</v>
      </c>
      <c r="AD107" s="25">
        <v>8840.33</v>
      </c>
      <c r="BL107" s="2" t="s">
        <v>1257</v>
      </c>
      <c r="BM107" s="4">
        <v>45245</v>
      </c>
      <c r="BN107" s="25">
        <v>5658.11</v>
      </c>
    </row>
    <row r="108" spans="1:66" x14ac:dyDescent="0.35">
      <c r="A108">
        <v>6107</v>
      </c>
      <c r="B108" t="s">
        <v>13</v>
      </c>
      <c r="C108" s="1">
        <v>45454</v>
      </c>
      <c r="D108" t="s">
        <v>24</v>
      </c>
      <c r="E108" t="s">
        <v>36</v>
      </c>
      <c r="F108">
        <v>5</v>
      </c>
      <c r="G108">
        <v>1270.73</v>
      </c>
      <c r="H108">
        <v>6353.65</v>
      </c>
      <c r="I108">
        <v>635.78</v>
      </c>
      <c r="J108">
        <v>5717.87</v>
      </c>
      <c r="K108">
        <v>41</v>
      </c>
      <c r="L108" s="11">
        <v>0.39530092592592592</v>
      </c>
      <c r="M108">
        <f t="shared" si="5"/>
        <v>11</v>
      </c>
      <c r="N108">
        <f t="shared" si="6"/>
        <v>6</v>
      </c>
      <c r="O108">
        <f t="shared" si="7"/>
        <v>2024</v>
      </c>
      <c r="P108" s="4">
        <f t="shared" si="8"/>
        <v>45454</v>
      </c>
      <c r="Q108" t="s">
        <v>1139</v>
      </c>
      <c r="R108" t="s">
        <v>1137</v>
      </c>
      <c r="S108">
        <v>3</v>
      </c>
      <c r="T108" t="s">
        <v>1147</v>
      </c>
      <c r="U108" s="11" t="str">
        <f t="shared" si="9"/>
        <v>09:29:14 AM</v>
      </c>
      <c r="AC108" s="4">
        <v>45260</v>
      </c>
      <c r="AD108" s="25">
        <v>18865.900000000001</v>
      </c>
      <c r="BL108" s="2" t="s">
        <v>1258</v>
      </c>
      <c r="BM108" s="4">
        <v>45246</v>
      </c>
      <c r="BN108" s="25">
        <v>666.49</v>
      </c>
    </row>
    <row r="109" spans="1:66" x14ac:dyDescent="0.35">
      <c r="A109">
        <v>7118</v>
      </c>
      <c r="B109" t="s">
        <v>25</v>
      </c>
      <c r="C109" s="1">
        <v>45485</v>
      </c>
      <c r="D109" t="s">
        <v>17</v>
      </c>
      <c r="E109" t="s">
        <v>2</v>
      </c>
      <c r="F109">
        <v>1</v>
      </c>
      <c r="G109">
        <v>302.12</v>
      </c>
      <c r="H109">
        <v>302.12</v>
      </c>
      <c r="I109">
        <v>0</v>
      </c>
      <c r="J109">
        <v>302.12</v>
      </c>
      <c r="K109">
        <v>492</v>
      </c>
      <c r="L109" s="11">
        <v>0.50112268518518521</v>
      </c>
      <c r="M109">
        <f t="shared" si="5"/>
        <v>12</v>
      </c>
      <c r="N109">
        <f t="shared" si="6"/>
        <v>7</v>
      </c>
      <c r="O109">
        <f t="shared" si="7"/>
        <v>2024</v>
      </c>
      <c r="P109" s="4">
        <f t="shared" si="8"/>
        <v>45485</v>
      </c>
      <c r="Q109" t="s">
        <v>1136</v>
      </c>
      <c r="R109" t="s">
        <v>1135</v>
      </c>
      <c r="S109">
        <v>3</v>
      </c>
      <c r="T109" t="s">
        <v>1148</v>
      </c>
      <c r="U109" s="11" t="str">
        <f t="shared" si="9"/>
        <v>12:01:37 PM</v>
      </c>
      <c r="AC109" s="4">
        <v>45261</v>
      </c>
      <c r="AD109" s="25">
        <v>2569.6800000000003</v>
      </c>
      <c r="BL109" s="2" t="s">
        <v>1259</v>
      </c>
      <c r="BM109" s="4">
        <v>45247</v>
      </c>
      <c r="BN109" s="25">
        <v>13156.329999999998</v>
      </c>
    </row>
    <row r="110" spans="1:66" x14ac:dyDescent="0.35">
      <c r="A110">
        <v>9479</v>
      </c>
      <c r="B110" t="s">
        <v>19</v>
      </c>
      <c r="C110" s="1">
        <v>45495</v>
      </c>
      <c r="D110" t="s">
        <v>17</v>
      </c>
      <c r="E110" t="s">
        <v>29</v>
      </c>
      <c r="F110">
        <v>2</v>
      </c>
      <c r="G110">
        <v>1214.29</v>
      </c>
      <c r="H110">
        <v>2428.58</v>
      </c>
      <c r="I110">
        <v>364.37</v>
      </c>
      <c r="J110">
        <v>2064.21</v>
      </c>
      <c r="K110">
        <v>333</v>
      </c>
      <c r="L110" s="11">
        <v>0.27090277777777777</v>
      </c>
      <c r="M110">
        <f t="shared" si="5"/>
        <v>22</v>
      </c>
      <c r="N110">
        <f t="shared" si="6"/>
        <v>7</v>
      </c>
      <c r="O110">
        <f t="shared" si="7"/>
        <v>2024</v>
      </c>
      <c r="P110" s="4">
        <f t="shared" si="8"/>
        <v>45495</v>
      </c>
      <c r="Q110" t="s">
        <v>1139</v>
      </c>
      <c r="R110" t="s">
        <v>1137</v>
      </c>
      <c r="S110">
        <v>1</v>
      </c>
      <c r="T110" t="s">
        <v>1150</v>
      </c>
      <c r="U110" s="11" t="str">
        <f t="shared" si="9"/>
        <v>06:30:06 AM</v>
      </c>
      <c r="AC110" s="4">
        <v>45262</v>
      </c>
      <c r="AD110" s="25">
        <v>5236.4699999999993</v>
      </c>
      <c r="BL110" s="2" t="s">
        <v>1260</v>
      </c>
      <c r="BM110" s="4">
        <v>45248</v>
      </c>
      <c r="BN110" s="25">
        <v>22158.510000000002</v>
      </c>
    </row>
    <row r="111" spans="1:66" x14ac:dyDescent="0.35">
      <c r="A111">
        <v>2982</v>
      </c>
      <c r="B111" t="s">
        <v>8</v>
      </c>
      <c r="C111" s="1">
        <v>45337</v>
      </c>
      <c r="D111" t="s">
        <v>17</v>
      </c>
      <c r="E111" t="s">
        <v>5</v>
      </c>
      <c r="F111">
        <v>4</v>
      </c>
      <c r="G111">
        <v>2414.4699999999998</v>
      </c>
      <c r="H111">
        <v>9657.8799999999992</v>
      </c>
      <c r="I111">
        <v>966.12</v>
      </c>
      <c r="J111">
        <v>8691.76</v>
      </c>
      <c r="K111">
        <v>240</v>
      </c>
      <c r="L111" s="11">
        <v>0.28996527777777775</v>
      </c>
      <c r="M111">
        <f t="shared" si="5"/>
        <v>15</v>
      </c>
      <c r="N111">
        <f t="shared" si="6"/>
        <v>2</v>
      </c>
      <c r="O111">
        <f t="shared" si="7"/>
        <v>2024</v>
      </c>
      <c r="P111" s="4">
        <f t="shared" si="8"/>
        <v>45337</v>
      </c>
      <c r="Q111" t="s">
        <v>1134</v>
      </c>
      <c r="R111" t="s">
        <v>1135</v>
      </c>
      <c r="S111">
        <v>5</v>
      </c>
      <c r="T111" t="s">
        <v>1144</v>
      </c>
      <c r="U111" s="11" t="str">
        <f t="shared" si="9"/>
        <v>06:57:33 AM</v>
      </c>
      <c r="AC111" s="4">
        <v>45263</v>
      </c>
      <c r="AD111" s="25">
        <v>13508.25</v>
      </c>
      <c r="BL111" s="2" t="s">
        <v>1261</v>
      </c>
      <c r="BM111" s="4">
        <v>45249</v>
      </c>
      <c r="BN111" s="25">
        <v>1231.72</v>
      </c>
    </row>
    <row r="112" spans="1:66" x14ac:dyDescent="0.35">
      <c r="A112">
        <v>4681</v>
      </c>
      <c r="B112" t="s">
        <v>25</v>
      </c>
      <c r="C112" s="1">
        <v>45194</v>
      </c>
      <c r="D112" t="s">
        <v>11</v>
      </c>
      <c r="E112" t="s">
        <v>38</v>
      </c>
      <c r="F112">
        <v>2</v>
      </c>
      <c r="G112">
        <v>875.65</v>
      </c>
      <c r="H112">
        <v>1751.3</v>
      </c>
      <c r="I112">
        <v>263.11</v>
      </c>
      <c r="J112">
        <v>1488.19</v>
      </c>
      <c r="K112">
        <v>355</v>
      </c>
      <c r="L112" s="11">
        <v>0.45832175925925928</v>
      </c>
      <c r="M112">
        <f t="shared" si="5"/>
        <v>25</v>
      </c>
      <c r="N112">
        <f t="shared" si="6"/>
        <v>9</v>
      </c>
      <c r="O112">
        <f t="shared" si="7"/>
        <v>2023</v>
      </c>
      <c r="P112" s="4">
        <f t="shared" si="8"/>
        <v>45194</v>
      </c>
      <c r="Q112" t="s">
        <v>1136</v>
      </c>
      <c r="R112" t="s">
        <v>1137</v>
      </c>
      <c r="S112">
        <v>4</v>
      </c>
      <c r="T112" t="s">
        <v>1145</v>
      </c>
      <c r="U112" s="11" t="str">
        <f t="shared" si="9"/>
        <v>10:59:59 AM</v>
      </c>
      <c r="AC112" s="4">
        <v>45264</v>
      </c>
      <c r="AD112" s="25">
        <v>9804.7899999999991</v>
      </c>
      <c r="BL112" s="2" t="s">
        <v>1262</v>
      </c>
      <c r="BM112" s="4">
        <v>45250</v>
      </c>
      <c r="BN112" s="25">
        <v>25462.739999999998</v>
      </c>
    </row>
    <row r="113" spans="1:66" x14ac:dyDescent="0.35">
      <c r="A113">
        <v>6539</v>
      </c>
      <c r="B113" t="s">
        <v>13</v>
      </c>
      <c r="C113" s="1">
        <v>45161</v>
      </c>
      <c r="D113" t="s">
        <v>27</v>
      </c>
      <c r="E113" t="s">
        <v>29</v>
      </c>
      <c r="F113">
        <v>4</v>
      </c>
      <c r="G113">
        <v>293.82</v>
      </c>
      <c r="H113">
        <v>1175.28</v>
      </c>
      <c r="I113">
        <v>405.04</v>
      </c>
      <c r="J113">
        <v>770.24</v>
      </c>
      <c r="K113">
        <v>129</v>
      </c>
      <c r="L113" s="11">
        <v>0.48020833333333335</v>
      </c>
      <c r="M113">
        <f t="shared" si="5"/>
        <v>23</v>
      </c>
      <c r="N113">
        <f t="shared" si="6"/>
        <v>8</v>
      </c>
      <c r="O113">
        <f t="shared" si="7"/>
        <v>2023</v>
      </c>
      <c r="P113" s="4">
        <f t="shared" si="8"/>
        <v>45161</v>
      </c>
      <c r="Q113" t="s">
        <v>1134</v>
      </c>
      <c r="R113" t="s">
        <v>1137</v>
      </c>
      <c r="S113">
        <v>2</v>
      </c>
      <c r="T113" t="s">
        <v>1146</v>
      </c>
      <c r="U113" s="11" t="str">
        <f t="shared" si="9"/>
        <v>11:31:30 AM</v>
      </c>
      <c r="AC113" s="4">
        <v>45265</v>
      </c>
      <c r="AD113" s="25">
        <v>13701.64</v>
      </c>
      <c r="BL113" s="2" t="s">
        <v>1263</v>
      </c>
      <c r="BM113" s="4">
        <v>45251</v>
      </c>
      <c r="BN113" s="25">
        <v>23931.39</v>
      </c>
    </row>
    <row r="114" spans="1:66" x14ac:dyDescent="0.35">
      <c r="A114">
        <v>4770</v>
      </c>
      <c r="B114" t="s">
        <v>13</v>
      </c>
      <c r="C114" s="1">
        <v>45602</v>
      </c>
      <c r="D114" t="s">
        <v>27</v>
      </c>
      <c r="E114" t="s">
        <v>28</v>
      </c>
      <c r="F114">
        <v>5</v>
      </c>
      <c r="G114">
        <v>1194.3699999999999</v>
      </c>
      <c r="H114">
        <v>5971.85</v>
      </c>
      <c r="I114">
        <v>203.35</v>
      </c>
      <c r="J114">
        <v>5768.5</v>
      </c>
      <c r="K114">
        <v>27</v>
      </c>
      <c r="L114" s="11">
        <v>0.6214467592592593</v>
      </c>
      <c r="M114">
        <f t="shared" si="5"/>
        <v>6</v>
      </c>
      <c r="N114">
        <f t="shared" si="6"/>
        <v>11</v>
      </c>
      <c r="O114">
        <f t="shared" si="7"/>
        <v>2024</v>
      </c>
      <c r="P114" s="4">
        <f t="shared" si="8"/>
        <v>45602</v>
      </c>
      <c r="Q114" t="s">
        <v>1136</v>
      </c>
      <c r="R114" t="s">
        <v>1137</v>
      </c>
      <c r="S114">
        <v>4</v>
      </c>
      <c r="T114" t="s">
        <v>1149</v>
      </c>
      <c r="U114" s="11" t="str">
        <f t="shared" si="9"/>
        <v>02:54:53 PM</v>
      </c>
      <c r="AC114" s="4">
        <v>45266</v>
      </c>
      <c r="AD114" s="25">
        <v>11295.470000000001</v>
      </c>
      <c r="BL114" s="2" t="s">
        <v>1264</v>
      </c>
      <c r="BM114" s="4">
        <v>45252</v>
      </c>
      <c r="BN114" s="25">
        <v>2476.7199999999998</v>
      </c>
    </row>
    <row r="115" spans="1:66" x14ac:dyDescent="0.35">
      <c r="A115">
        <v>4608</v>
      </c>
      <c r="B115" t="s">
        <v>15</v>
      </c>
      <c r="C115" s="1">
        <v>45150</v>
      </c>
      <c r="D115" t="s">
        <v>16</v>
      </c>
      <c r="E115" t="s">
        <v>22</v>
      </c>
      <c r="F115">
        <v>1</v>
      </c>
      <c r="G115">
        <v>571.87</v>
      </c>
      <c r="H115">
        <v>571.87</v>
      </c>
      <c r="I115">
        <v>85.49</v>
      </c>
      <c r="J115">
        <v>486.38</v>
      </c>
      <c r="K115">
        <v>281</v>
      </c>
      <c r="L115" s="11">
        <v>0.3542939814814815</v>
      </c>
      <c r="M115">
        <f t="shared" si="5"/>
        <v>12</v>
      </c>
      <c r="N115">
        <f t="shared" si="6"/>
        <v>8</v>
      </c>
      <c r="O115">
        <f t="shared" si="7"/>
        <v>2023</v>
      </c>
      <c r="P115" s="4">
        <f t="shared" si="8"/>
        <v>45150</v>
      </c>
      <c r="Q115" t="s">
        <v>1139</v>
      </c>
      <c r="R115" t="s">
        <v>1137</v>
      </c>
      <c r="S115">
        <v>4</v>
      </c>
      <c r="T115" t="s">
        <v>1141</v>
      </c>
      <c r="U115" s="11" t="str">
        <f t="shared" si="9"/>
        <v>08:30:11 AM</v>
      </c>
      <c r="AC115" s="4">
        <v>45267</v>
      </c>
      <c r="AD115" s="25">
        <v>9379</v>
      </c>
      <c r="BL115" s="2" t="s">
        <v>1265</v>
      </c>
      <c r="BM115" s="4">
        <v>45253</v>
      </c>
      <c r="BN115" s="25">
        <v>17662.400000000001</v>
      </c>
    </row>
    <row r="116" spans="1:66" x14ac:dyDescent="0.35">
      <c r="A116">
        <v>2163</v>
      </c>
      <c r="B116" t="s">
        <v>15</v>
      </c>
      <c r="C116" s="1">
        <v>45694</v>
      </c>
      <c r="D116" t="s">
        <v>34</v>
      </c>
      <c r="E116" t="s">
        <v>38</v>
      </c>
      <c r="F116">
        <v>1</v>
      </c>
      <c r="G116">
        <v>2424.4299999999998</v>
      </c>
      <c r="H116">
        <v>2424.4299999999998</v>
      </c>
      <c r="I116">
        <v>0</v>
      </c>
      <c r="J116">
        <v>2424.4299999999998</v>
      </c>
      <c r="K116">
        <v>311</v>
      </c>
      <c r="L116" s="11">
        <v>0.23185185185185186</v>
      </c>
      <c r="M116">
        <f t="shared" si="5"/>
        <v>6</v>
      </c>
      <c r="N116">
        <f t="shared" si="6"/>
        <v>2</v>
      </c>
      <c r="O116">
        <f t="shared" si="7"/>
        <v>2025</v>
      </c>
      <c r="P116" s="4">
        <f t="shared" si="8"/>
        <v>45694</v>
      </c>
      <c r="Q116" t="s">
        <v>1134</v>
      </c>
      <c r="R116" t="s">
        <v>1135</v>
      </c>
      <c r="S116">
        <v>5</v>
      </c>
      <c r="T116" t="s">
        <v>1142</v>
      </c>
      <c r="U116" s="11" t="str">
        <f t="shared" si="9"/>
        <v>05:33:52 AM</v>
      </c>
      <c r="AC116" s="4">
        <v>45268</v>
      </c>
      <c r="AD116" s="25">
        <v>690.56</v>
      </c>
      <c r="BL116" s="2" t="s">
        <v>1266</v>
      </c>
      <c r="BM116" s="4">
        <v>45254</v>
      </c>
      <c r="BN116" s="25">
        <v>8599.6299999999992</v>
      </c>
    </row>
    <row r="117" spans="1:66" x14ac:dyDescent="0.35">
      <c r="A117">
        <v>1964</v>
      </c>
      <c r="B117" t="s">
        <v>8</v>
      </c>
      <c r="C117" s="1">
        <v>45322</v>
      </c>
      <c r="D117" t="s">
        <v>24</v>
      </c>
      <c r="E117" t="s">
        <v>7</v>
      </c>
      <c r="F117">
        <v>1</v>
      </c>
      <c r="G117">
        <v>1411.83</v>
      </c>
      <c r="H117">
        <v>1411.83</v>
      </c>
      <c r="I117">
        <v>236.55</v>
      </c>
      <c r="J117">
        <v>1175.28</v>
      </c>
      <c r="K117">
        <v>47</v>
      </c>
      <c r="L117" s="11">
        <v>0.68078703703703702</v>
      </c>
      <c r="M117">
        <f t="shared" si="5"/>
        <v>31</v>
      </c>
      <c r="N117">
        <f t="shared" si="6"/>
        <v>1</v>
      </c>
      <c r="O117">
        <f t="shared" si="7"/>
        <v>2024</v>
      </c>
      <c r="P117" s="4">
        <f t="shared" si="8"/>
        <v>45322</v>
      </c>
      <c r="Q117" t="s">
        <v>1136</v>
      </c>
      <c r="R117" t="s">
        <v>1135</v>
      </c>
      <c r="S117">
        <v>4</v>
      </c>
      <c r="T117" t="s">
        <v>1141</v>
      </c>
      <c r="U117" s="11" t="str">
        <f t="shared" si="9"/>
        <v>04:20:20 PM</v>
      </c>
      <c r="AC117" s="4">
        <v>45269</v>
      </c>
      <c r="AD117" s="25">
        <v>4098.54</v>
      </c>
      <c r="BL117" s="2" t="s">
        <v>1267</v>
      </c>
      <c r="BM117" s="4">
        <v>45255</v>
      </c>
      <c r="BN117" s="25">
        <v>3344.07</v>
      </c>
    </row>
    <row r="118" spans="1:66" x14ac:dyDescent="0.35">
      <c r="A118">
        <v>2104</v>
      </c>
      <c r="B118" t="s">
        <v>0</v>
      </c>
      <c r="C118" s="1">
        <v>45848</v>
      </c>
      <c r="D118" t="s">
        <v>16</v>
      </c>
      <c r="E118" t="s">
        <v>30</v>
      </c>
      <c r="F118">
        <v>4</v>
      </c>
      <c r="G118">
        <v>2327.3200000000002</v>
      </c>
      <c r="H118">
        <v>9309.2800000000007</v>
      </c>
      <c r="I118">
        <v>931.26</v>
      </c>
      <c r="J118">
        <v>8378.02</v>
      </c>
      <c r="K118">
        <v>149</v>
      </c>
      <c r="L118" s="11">
        <v>0.54979166666666668</v>
      </c>
      <c r="M118">
        <f t="shared" si="5"/>
        <v>10</v>
      </c>
      <c r="N118">
        <f t="shared" si="6"/>
        <v>7</v>
      </c>
      <c r="O118">
        <f t="shared" si="7"/>
        <v>2025</v>
      </c>
      <c r="P118" s="4">
        <f t="shared" si="8"/>
        <v>45848</v>
      </c>
      <c r="Q118" t="s">
        <v>1138</v>
      </c>
      <c r="R118" t="s">
        <v>1137</v>
      </c>
      <c r="S118">
        <v>4</v>
      </c>
      <c r="T118" t="s">
        <v>1145</v>
      </c>
      <c r="U118" s="11" t="str">
        <f t="shared" si="9"/>
        <v>01:11:42 PM</v>
      </c>
      <c r="AC118" s="4">
        <v>45270</v>
      </c>
      <c r="AD118" s="25">
        <v>6493.92</v>
      </c>
      <c r="BL118" s="2" t="s">
        <v>1268</v>
      </c>
      <c r="BM118" s="4">
        <v>45258</v>
      </c>
      <c r="BN118" s="25">
        <v>22243.17</v>
      </c>
    </row>
    <row r="119" spans="1:66" x14ac:dyDescent="0.35">
      <c r="A119">
        <v>1514</v>
      </c>
      <c r="B119" t="s">
        <v>15</v>
      </c>
      <c r="C119" s="1">
        <v>45812</v>
      </c>
      <c r="D119" t="s">
        <v>34</v>
      </c>
      <c r="E119" t="s">
        <v>14</v>
      </c>
      <c r="F119">
        <v>4</v>
      </c>
      <c r="G119">
        <v>1409.34</v>
      </c>
      <c r="H119">
        <v>5637.36</v>
      </c>
      <c r="I119">
        <v>251.49</v>
      </c>
      <c r="J119">
        <v>5385.87</v>
      </c>
      <c r="K119">
        <v>196</v>
      </c>
      <c r="L119" s="11">
        <v>0.71233796296296292</v>
      </c>
      <c r="M119">
        <f t="shared" si="5"/>
        <v>4</v>
      </c>
      <c r="N119">
        <f t="shared" si="6"/>
        <v>6</v>
      </c>
      <c r="O119">
        <f t="shared" si="7"/>
        <v>2025</v>
      </c>
      <c r="P119" s="4">
        <f t="shared" si="8"/>
        <v>45812</v>
      </c>
      <c r="Q119" t="s">
        <v>1139</v>
      </c>
      <c r="R119" t="s">
        <v>1137</v>
      </c>
      <c r="S119">
        <v>3</v>
      </c>
      <c r="T119" t="s">
        <v>1145</v>
      </c>
      <c r="U119" s="11" t="str">
        <f t="shared" si="9"/>
        <v>05:05:46 PM</v>
      </c>
      <c r="AC119" s="4">
        <v>45271</v>
      </c>
      <c r="AD119" s="25">
        <v>5440.65</v>
      </c>
      <c r="BL119" s="2" t="s">
        <v>1269</v>
      </c>
      <c r="BM119" s="4">
        <v>45259</v>
      </c>
      <c r="BN119" s="25">
        <v>8840.33</v>
      </c>
    </row>
    <row r="120" spans="1:66" x14ac:dyDescent="0.35">
      <c r="A120">
        <v>6413</v>
      </c>
      <c r="B120" t="s">
        <v>8</v>
      </c>
      <c r="C120" s="1">
        <v>45200</v>
      </c>
      <c r="D120" t="s">
        <v>4</v>
      </c>
      <c r="E120" t="s">
        <v>2</v>
      </c>
      <c r="F120">
        <v>4</v>
      </c>
      <c r="G120">
        <v>900.55</v>
      </c>
      <c r="H120">
        <v>3602.2</v>
      </c>
      <c r="I120">
        <v>176.79</v>
      </c>
      <c r="J120">
        <v>3425.41</v>
      </c>
      <c r="K120">
        <v>403</v>
      </c>
      <c r="L120" s="11">
        <v>0.90211805555555558</v>
      </c>
      <c r="M120">
        <f t="shared" si="5"/>
        <v>1</v>
      </c>
      <c r="N120">
        <f t="shared" si="6"/>
        <v>10</v>
      </c>
      <c r="O120">
        <f t="shared" si="7"/>
        <v>2023</v>
      </c>
      <c r="P120" s="4">
        <f t="shared" si="8"/>
        <v>45200</v>
      </c>
      <c r="Q120" t="s">
        <v>1136</v>
      </c>
      <c r="R120" t="s">
        <v>1137</v>
      </c>
      <c r="S120">
        <v>5</v>
      </c>
      <c r="T120" t="s">
        <v>1148</v>
      </c>
      <c r="U120" s="11" t="str">
        <f t="shared" si="9"/>
        <v>09:39:03 PM</v>
      </c>
      <c r="AC120" s="4">
        <v>45272</v>
      </c>
      <c r="AD120" s="25">
        <v>7867.57</v>
      </c>
      <c r="BL120" s="2" t="s">
        <v>1270</v>
      </c>
      <c r="BM120" s="4">
        <v>45260</v>
      </c>
      <c r="BN120" s="25">
        <v>18865.900000000001</v>
      </c>
    </row>
    <row r="121" spans="1:66" x14ac:dyDescent="0.35">
      <c r="A121">
        <v>9423</v>
      </c>
      <c r="B121" t="s">
        <v>19</v>
      </c>
      <c r="C121" s="1">
        <v>45329</v>
      </c>
      <c r="D121" t="s">
        <v>17</v>
      </c>
      <c r="E121" t="s">
        <v>37</v>
      </c>
      <c r="F121">
        <v>2</v>
      </c>
      <c r="G121">
        <v>1157.02</v>
      </c>
      <c r="H121">
        <v>2314.04</v>
      </c>
      <c r="I121">
        <v>346.94</v>
      </c>
      <c r="J121">
        <v>1967.1</v>
      </c>
      <c r="K121">
        <v>247</v>
      </c>
      <c r="L121" s="11">
        <v>0.8140856481481481</v>
      </c>
      <c r="M121">
        <f t="shared" si="5"/>
        <v>7</v>
      </c>
      <c r="N121">
        <f t="shared" si="6"/>
        <v>2</v>
      </c>
      <c r="O121">
        <f t="shared" si="7"/>
        <v>2024</v>
      </c>
      <c r="P121" s="4">
        <f t="shared" si="8"/>
        <v>45329</v>
      </c>
      <c r="Q121" t="s">
        <v>1138</v>
      </c>
      <c r="R121" t="s">
        <v>1135</v>
      </c>
      <c r="S121">
        <v>1</v>
      </c>
      <c r="T121" t="s">
        <v>1147</v>
      </c>
      <c r="U121" s="11" t="str">
        <f t="shared" si="9"/>
        <v>07:32:17 PM</v>
      </c>
      <c r="AC121" s="4">
        <v>45273</v>
      </c>
      <c r="AD121" s="25">
        <v>8897.6</v>
      </c>
      <c r="BL121" s="2" t="s">
        <v>1271</v>
      </c>
      <c r="BM121" s="4">
        <v>45261</v>
      </c>
      <c r="BN121" s="25">
        <v>2569.6800000000003</v>
      </c>
    </row>
    <row r="122" spans="1:66" x14ac:dyDescent="0.35">
      <c r="A122">
        <v>5562</v>
      </c>
      <c r="B122" t="s">
        <v>3</v>
      </c>
      <c r="C122" s="1">
        <v>45664</v>
      </c>
      <c r="D122" t="s">
        <v>27</v>
      </c>
      <c r="E122" t="s">
        <v>21</v>
      </c>
      <c r="F122">
        <v>4</v>
      </c>
      <c r="G122">
        <v>2327.3200000000002</v>
      </c>
      <c r="H122">
        <v>9309.2800000000007</v>
      </c>
      <c r="I122">
        <v>0</v>
      </c>
      <c r="J122">
        <v>9309.2800000000007</v>
      </c>
      <c r="K122">
        <v>445</v>
      </c>
      <c r="L122" s="11">
        <v>0.14997685185185186</v>
      </c>
      <c r="M122">
        <f t="shared" si="5"/>
        <v>7</v>
      </c>
      <c r="N122">
        <f t="shared" si="6"/>
        <v>1</v>
      </c>
      <c r="O122">
        <f t="shared" si="7"/>
        <v>2025</v>
      </c>
      <c r="P122" s="4">
        <f t="shared" si="8"/>
        <v>45664</v>
      </c>
      <c r="Q122" t="s">
        <v>1136</v>
      </c>
      <c r="R122" t="s">
        <v>1135</v>
      </c>
      <c r="S122">
        <v>2</v>
      </c>
      <c r="T122" t="s">
        <v>1141</v>
      </c>
      <c r="U122" s="11" t="str">
        <f t="shared" si="9"/>
        <v>03:35:58 AM</v>
      </c>
      <c r="AC122" s="4">
        <v>45274</v>
      </c>
      <c r="AD122" s="25">
        <v>23308.890000000003</v>
      </c>
      <c r="BL122" s="2" t="s">
        <v>1272</v>
      </c>
      <c r="BM122" s="4">
        <v>45262</v>
      </c>
      <c r="BN122" s="25">
        <v>5236.4699999999993</v>
      </c>
    </row>
    <row r="123" spans="1:66" x14ac:dyDescent="0.35">
      <c r="A123">
        <v>8953</v>
      </c>
      <c r="B123" t="s">
        <v>31</v>
      </c>
      <c r="C123" s="1">
        <v>45311</v>
      </c>
      <c r="D123" t="s">
        <v>17</v>
      </c>
      <c r="E123" t="s">
        <v>21</v>
      </c>
      <c r="F123">
        <v>2</v>
      </c>
      <c r="G123">
        <v>2142.23</v>
      </c>
      <c r="H123">
        <v>4284.46</v>
      </c>
      <c r="I123">
        <v>642.41999999999996</v>
      </c>
      <c r="J123">
        <v>3642.04</v>
      </c>
      <c r="K123">
        <v>210</v>
      </c>
      <c r="L123" s="11">
        <v>0.36118055555555556</v>
      </c>
      <c r="M123">
        <f t="shared" si="5"/>
        <v>20</v>
      </c>
      <c r="N123">
        <f t="shared" si="6"/>
        <v>1</v>
      </c>
      <c r="O123">
        <f t="shared" si="7"/>
        <v>2024</v>
      </c>
      <c r="P123" s="4">
        <f t="shared" si="8"/>
        <v>45311</v>
      </c>
      <c r="Q123" t="s">
        <v>1138</v>
      </c>
      <c r="R123" t="s">
        <v>1135</v>
      </c>
      <c r="S123">
        <v>4</v>
      </c>
      <c r="T123" t="s">
        <v>1148</v>
      </c>
      <c r="U123" s="11" t="str">
        <f t="shared" si="9"/>
        <v>08:40:06 AM</v>
      </c>
      <c r="AC123" s="4">
        <v>45275</v>
      </c>
      <c r="AD123" s="25">
        <v>17519.64</v>
      </c>
      <c r="BL123" s="2" t="s">
        <v>1273</v>
      </c>
      <c r="BM123" s="4">
        <v>45263</v>
      </c>
      <c r="BN123" s="25">
        <v>13508.25</v>
      </c>
    </row>
    <row r="124" spans="1:66" x14ac:dyDescent="0.35">
      <c r="A124">
        <v>9834</v>
      </c>
      <c r="B124" t="s">
        <v>15</v>
      </c>
      <c r="C124" s="1">
        <v>45247</v>
      </c>
      <c r="D124" t="s">
        <v>9</v>
      </c>
      <c r="E124" t="s">
        <v>21</v>
      </c>
      <c r="F124">
        <v>2</v>
      </c>
      <c r="G124">
        <v>1274.05</v>
      </c>
      <c r="H124">
        <v>2548.1</v>
      </c>
      <c r="I124">
        <v>403.38</v>
      </c>
      <c r="J124">
        <v>2144.7199999999998</v>
      </c>
      <c r="K124">
        <v>18</v>
      </c>
      <c r="L124" s="11">
        <v>0.9543518518518519</v>
      </c>
      <c r="M124">
        <f t="shared" si="5"/>
        <v>17</v>
      </c>
      <c r="N124">
        <f t="shared" si="6"/>
        <v>11</v>
      </c>
      <c r="O124">
        <f t="shared" si="7"/>
        <v>2023</v>
      </c>
      <c r="P124" s="4">
        <f t="shared" si="8"/>
        <v>45247</v>
      </c>
      <c r="Q124" t="s">
        <v>1139</v>
      </c>
      <c r="R124" t="s">
        <v>1135</v>
      </c>
      <c r="S124">
        <v>2</v>
      </c>
      <c r="T124" t="s">
        <v>1148</v>
      </c>
      <c r="U124" s="11" t="str">
        <f t="shared" si="9"/>
        <v>10:54:16 PM</v>
      </c>
      <c r="AC124" s="4">
        <v>45276</v>
      </c>
      <c r="AD124" s="25">
        <v>13166.29</v>
      </c>
      <c r="BL124" s="2" t="s">
        <v>1274</v>
      </c>
      <c r="BM124" s="4">
        <v>45264</v>
      </c>
      <c r="BN124" s="25">
        <v>9804.7899999999991</v>
      </c>
    </row>
    <row r="125" spans="1:66" x14ac:dyDescent="0.35">
      <c r="A125">
        <v>8744</v>
      </c>
      <c r="B125" t="s">
        <v>25</v>
      </c>
      <c r="C125" s="1">
        <v>45333</v>
      </c>
      <c r="D125" t="s">
        <v>4</v>
      </c>
      <c r="E125" t="s">
        <v>22</v>
      </c>
      <c r="F125">
        <v>1</v>
      </c>
      <c r="G125">
        <v>1347.92</v>
      </c>
      <c r="H125">
        <v>1347.92</v>
      </c>
      <c r="I125">
        <v>0</v>
      </c>
      <c r="J125">
        <v>1347.92</v>
      </c>
      <c r="K125">
        <v>233</v>
      </c>
      <c r="L125" s="11">
        <v>2.8449074074074075E-2</v>
      </c>
      <c r="M125">
        <f t="shared" si="5"/>
        <v>11</v>
      </c>
      <c r="N125">
        <f t="shared" si="6"/>
        <v>2</v>
      </c>
      <c r="O125">
        <f t="shared" si="7"/>
        <v>2024</v>
      </c>
      <c r="P125" s="4">
        <f t="shared" si="8"/>
        <v>45333</v>
      </c>
      <c r="Q125" t="s">
        <v>1134</v>
      </c>
      <c r="R125" t="s">
        <v>1137</v>
      </c>
      <c r="S125">
        <v>1</v>
      </c>
      <c r="T125" t="s">
        <v>1147</v>
      </c>
      <c r="U125" s="11" t="str">
        <f t="shared" si="9"/>
        <v>12:40:58 AM</v>
      </c>
      <c r="AC125" s="4">
        <v>45277</v>
      </c>
      <c r="AD125" s="25">
        <v>9709.34</v>
      </c>
      <c r="BL125" s="2" t="s">
        <v>1275</v>
      </c>
      <c r="BM125" s="4">
        <v>45265</v>
      </c>
      <c r="BN125" s="25">
        <v>13701.64</v>
      </c>
    </row>
    <row r="126" spans="1:66" x14ac:dyDescent="0.35">
      <c r="A126">
        <v>8749</v>
      </c>
      <c r="B126" t="s">
        <v>8</v>
      </c>
      <c r="C126" s="1">
        <v>45772</v>
      </c>
      <c r="D126" t="s">
        <v>9</v>
      </c>
      <c r="E126" t="s">
        <v>30</v>
      </c>
      <c r="F126">
        <v>1</v>
      </c>
      <c r="G126">
        <v>1212.6300000000001</v>
      </c>
      <c r="H126">
        <v>1212.6300000000001</v>
      </c>
      <c r="I126">
        <v>181.77</v>
      </c>
      <c r="J126">
        <v>1030.8599999999999</v>
      </c>
      <c r="K126">
        <v>496</v>
      </c>
      <c r="L126" s="11">
        <v>0.5145601851851852</v>
      </c>
      <c r="M126">
        <f t="shared" si="5"/>
        <v>25</v>
      </c>
      <c r="N126">
        <f t="shared" si="6"/>
        <v>4</v>
      </c>
      <c r="O126">
        <f t="shared" si="7"/>
        <v>2025</v>
      </c>
      <c r="P126" s="4">
        <f t="shared" si="8"/>
        <v>45772</v>
      </c>
      <c r="Q126" t="s">
        <v>1138</v>
      </c>
      <c r="R126" t="s">
        <v>1137</v>
      </c>
      <c r="S126">
        <v>2</v>
      </c>
      <c r="T126" t="s">
        <v>1149</v>
      </c>
      <c r="U126" s="11" t="str">
        <f t="shared" si="9"/>
        <v>12:20:58 PM</v>
      </c>
      <c r="AC126" s="4">
        <v>45280</v>
      </c>
      <c r="AD126" s="25">
        <v>6970.34</v>
      </c>
      <c r="BL126" s="2" t="s">
        <v>1276</v>
      </c>
      <c r="BM126" s="4">
        <v>45266</v>
      </c>
      <c r="BN126" s="25">
        <v>11295.470000000001</v>
      </c>
    </row>
    <row r="127" spans="1:66" x14ac:dyDescent="0.35">
      <c r="A127">
        <v>7669</v>
      </c>
      <c r="B127" t="s">
        <v>13</v>
      </c>
      <c r="C127" s="1">
        <v>45292</v>
      </c>
      <c r="D127" t="s">
        <v>16</v>
      </c>
      <c r="E127" t="s">
        <v>32</v>
      </c>
      <c r="F127">
        <v>3</v>
      </c>
      <c r="G127">
        <v>2133.9299999999998</v>
      </c>
      <c r="H127">
        <v>6401.79</v>
      </c>
      <c r="I127">
        <v>960.31</v>
      </c>
      <c r="J127">
        <v>5441.48</v>
      </c>
      <c r="K127">
        <v>439</v>
      </c>
      <c r="L127" s="11">
        <v>0.97496527777777775</v>
      </c>
      <c r="M127">
        <f t="shared" si="5"/>
        <v>1</v>
      </c>
      <c r="N127">
        <f t="shared" si="6"/>
        <v>1</v>
      </c>
      <c r="O127">
        <f t="shared" si="7"/>
        <v>2024</v>
      </c>
      <c r="P127" s="4">
        <f t="shared" si="8"/>
        <v>45292</v>
      </c>
      <c r="Q127" t="s">
        <v>1136</v>
      </c>
      <c r="R127" t="s">
        <v>1137</v>
      </c>
      <c r="S127">
        <v>1</v>
      </c>
      <c r="T127" t="s">
        <v>1146</v>
      </c>
      <c r="U127" s="11" t="str">
        <f t="shared" si="9"/>
        <v>11:23:57 PM</v>
      </c>
      <c r="AC127" s="4">
        <v>45281</v>
      </c>
      <c r="AD127" s="25">
        <v>14801.39</v>
      </c>
      <c r="BL127" s="2" t="s">
        <v>1277</v>
      </c>
      <c r="BM127" s="4">
        <v>45267</v>
      </c>
      <c r="BN127" s="25">
        <v>9379</v>
      </c>
    </row>
    <row r="128" spans="1:66" x14ac:dyDescent="0.35">
      <c r="A128">
        <v>2545</v>
      </c>
      <c r="B128" t="s">
        <v>15</v>
      </c>
      <c r="C128" s="1">
        <v>45220</v>
      </c>
      <c r="D128" t="s">
        <v>27</v>
      </c>
      <c r="E128" t="s">
        <v>29</v>
      </c>
      <c r="F128">
        <v>5</v>
      </c>
      <c r="G128">
        <v>246.51</v>
      </c>
      <c r="H128">
        <v>1232.55</v>
      </c>
      <c r="I128">
        <v>246.51</v>
      </c>
      <c r="J128">
        <v>986.04</v>
      </c>
      <c r="K128">
        <v>323</v>
      </c>
      <c r="L128" s="11">
        <v>0.77314814814814814</v>
      </c>
      <c r="M128">
        <f t="shared" si="5"/>
        <v>21</v>
      </c>
      <c r="N128">
        <f t="shared" si="6"/>
        <v>10</v>
      </c>
      <c r="O128">
        <f t="shared" si="7"/>
        <v>2023</v>
      </c>
      <c r="P128" s="4">
        <f t="shared" si="8"/>
        <v>45220</v>
      </c>
      <c r="Q128" t="s">
        <v>1139</v>
      </c>
      <c r="R128" t="s">
        <v>1135</v>
      </c>
      <c r="S128">
        <v>3</v>
      </c>
      <c r="T128" t="s">
        <v>1143</v>
      </c>
      <c r="U128" s="11" t="str">
        <f t="shared" si="9"/>
        <v>06:33:20 PM</v>
      </c>
      <c r="AC128" s="4">
        <v>45282</v>
      </c>
      <c r="AD128" s="25">
        <v>7395.2999999999993</v>
      </c>
      <c r="BL128" s="2" t="s">
        <v>1278</v>
      </c>
      <c r="BM128" s="4">
        <v>45268</v>
      </c>
      <c r="BN128" s="25">
        <v>690.56</v>
      </c>
    </row>
    <row r="129" spans="1:66" x14ac:dyDescent="0.35">
      <c r="A129">
        <v>8062</v>
      </c>
      <c r="B129" t="s">
        <v>0</v>
      </c>
      <c r="C129" s="1">
        <v>45420</v>
      </c>
      <c r="D129" t="s">
        <v>9</v>
      </c>
      <c r="E129" t="s">
        <v>38</v>
      </c>
      <c r="F129">
        <v>1</v>
      </c>
      <c r="G129">
        <v>1150.3800000000001</v>
      </c>
      <c r="H129">
        <v>1150.3800000000001</v>
      </c>
      <c r="I129">
        <v>97.94</v>
      </c>
      <c r="J129">
        <v>1052.44</v>
      </c>
      <c r="K129">
        <v>355</v>
      </c>
      <c r="L129" s="11">
        <v>0.16690972222222222</v>
      </c>
      <c r="M129">
        <f t="shared" si="5"/>
        <v>8</v>
      </c>
      <c r="N129">
        <f t="shared" si="6"/>
        <v>5</v>
      </c>
      <c r="O129">
        <f t="shared" si="7"/>
        <v>2024</v>
      </c>
      <c r="P129" s="4">
        <f t="shared" si="8"/>
        <v>45420</v>
      </c>
      <c r="Q129" t="s">
        <v>1138</v>
      </c>
      <c r="R129" t="s">
        <v>1135</v>
      </c>
      <c r="S129">
        <v>4</v>
      </c>
      <c r="T129" t="s">
        <v>1146</v>
      </c>
      <c r="U129" s="11" t="str">
        <f t="shared" si="9"/>
        <v>04:00:21 AM</v>
      </c>
      <c r="AC129" s="4">
        <v>45283</v>
      </c>
      <c r="AD129" s="25">
        <v>3021.2</v>
      </c>
      <c r="BL129" s="2" t="s">
        <v>1279</v>
      </c>
      <c r="BM129" s="4">
        <v>45269</v>
      </c>
      <c r="BN129" s="25">
        <v>4098.54</v>
      </c>
    </row>
    <row r="130" spans="1:66" x14ac:dyDescent="0.35">
      <c r="A130">
        <v>7939</v>
      </c>
      <c r="B130" t="s">
        <v>20</v>
      </c>
      <c r="C130" s="1">
        <v>45464</v>
      </c>
      <c r="D130" t="s">
        <v>24</v>
      </c>
      <c r="E130" t="s">
        <v>12</v>
      </c>
      <c r="F130">
        <v>3</v>
      </c>
      <c r="G130">
        <v>1118.8399999999999</v>
      </c>
      <c r="H130">
        <v>3356.52</v>
      </c>
      <c r="I130">
        <v>309.58999999999997</v>
      </c>
      <c r="J130">
        <v>3046.93</v>
      </c>
      <c r="K130">
        <v>125</v>
      </c>
      <c r="L130" s="11">
        <v>0.54987268518518517</v>
      </c>
      <c r="M130">
        <f t="shared" ref="M130:M193" si="10">DAY(C130)</f>
        <v>21</v>
      </c>
      <c r="N130">
        <f t="shared" ref="N130:N193" si="11">MONTH(C130)</f>
        <v>6</v>
      </c>
      <c r="O130">
        <f t="shared" ref="O130:O193" si="12">YEAR(C130)</f>
        <v>2024</v>
      </c>
      <c r="P130" s="4">
        <f t="shared" si="8"/>
        <v>45464</v>
      </c>
      <c r="Q130" t="s">
        <v>1136</v>
      </c>
      <c r="R130" t="s">
        <v>1135</v>
      </c>
      <c r="S130">
        <v>1</v>
      </c>
      <c r="T130" t="s">
        <v>1142</v>
      </c>
      <c r="U130" s="11" t="str">
        <f t="shared" si="9"/>
        <v>01:11:49 PM</v>
      </c>
      <c r="AC130" s="4">
        <v>45284</v>
      </c>
      <c r="AD130" s="25">
        <v>11663.99</v>
      </c>
      <c r="BL130" s="2" t="s">
        <v>1280</v>
      </c>
      <c r="BM130" s="4">
        <v>45270</v>
      </c>
      <c r="BN130" s="25">
        <v>6493.92</v>
      </c>
    </row>
    <row r="131" spans="1:66" x14ac:dyDescent="0.35">
      <c r="A131">
        <v>8651</v>
      </c>
      <c r="B131" t="s">
        <v>8</v>
      </c>
      <c r="C131" s="1">
        <v>45815</v>
      </c>
      <c r="D131" t="s">
        <v>23</v>
      </c>
      <c r="E131" t="s">
        <v>18</v>
      </c>
      <c r="F131">
        <v>1</v>
      </c>
      <c r="G131">
        <v>1549.61</v>
      </c>
      <c r="H131">
        <v>1549.61</v>
      </c>
      <c r="I131">
        <v>155.21</v>
      </c>
      <c r="J131">
        <v>1394.4</v>
      </c>
      <c r="K131">
        <v>195</v>
      </c>
      <c r="L131" s="11">
        <v>0.45849537037037036</v>
      </c>
      <c r="M131">
        <f t="shared" si="10"/>
        <v>7</v>
      </c>
      <c r="N131">
        <f t="shared" si="11"/>
        <v>6</v>
      </c>
      <c r="O131">
        <f t="shared" si="12"/>
        <v>2025</v>
      </c>
      <c r="P131" s="4">
        <f t="shared" ref="P131:P194" si="13">DATE(O131,N131,M131)</f>
        <v>45815</v>
      </c>
      <c r="Q131" t="s">
        <v>1136</v>
      </c>
      <c r="R131" t="s">
        <v>1137</v>
      </c>
      <c r="S131">
        <v>2</v>
      </c>
      <c r="T131" t="s">
        <v>1141</v>
      </c>
      <c r="U131" s="11" t="str">
        <f t="shared" ref="U131:U168" si="14">TEXT(L131,"hh:mm:ss AM/PM")</f>
        <v>11:00:14 AM</v>
      </c>
      <c r="AC131" s="4">
        <v>45285</v>
      </c>
      <c r="AD131" s="25">
        <v>3198.8199999999997</v>
      </c>
      <c r="BL131" s="2" t="s">
        <v>1281</v>
      </c>
      <c r="BM131" s="4">
        <v>45271</v>
      </c>
      <c r="BN131" s="25">
        <v>5440.65</v>
      </c>
    </row>
    <row r="132" spans="1:66" x14ac:dyDescent="0.35">
      <c r="A132">
        <v>1887</v>
      </c>
      <c r="B132" t="s">
        <v>8</v>
      </c>
      <c r="C132" s="1">
        <v>45668</v>
      </c>
      <c r="D132" t="s">
        <v>6</v>
      </c>
      <c r="E132" t="s">
        <v>22</v>
      </c>
      <c r="F132">
        <v>3</v>
      </c>
      <c r="G132">
        <v>1188.56</v>
      </c>
      <c r="H132">
        <v>3565.68</v>
      </c>
      <c r="I132">
        <v>356.9</v>
      </c>
      <c r="J132">
        <v>3208.78</v>
      </c>
      <c r="K132">
        <v>341</v>
      </c>
      <c r="L132" s="11">
        <v>0.46414351851851854</v>
      </c>
      <c r="M132">
        <f t="shared" si="10"/>
        <v>11</v>
      </c>
      <c r="N132">
        <f t="shared" si="11"/>
        <v>1</v>
      </c>
      <c r="O132">
        <f t="shared" si="12"/>
        <v>2025</v>
      </c>
      <c r="P132" s="4">
        <f t="shared" si="13"/>
        <v>45668</v>
      </c>
      <c r="Q132" t="s">
        <v>1136</v>
      </c>
      <c r="R132" t="s">
        <v>1137</v>
      </c>
      <c r="S132">
        <v>4</v>
      </c>
      <c r="T132" t="s">
        <v>1146</v>
      </c>
      <c r="U132" s="11" t="str">
        <f t="shared" si="14"/>
        <v>11:08:22 AM</v>
      </c>
      <c r="AC132" s="4">
        <v>45286</v>
      </c>
      <c r="AD132" s="25">
        <v>8026.93</v>
      </c>
      <c r="BL132" s="2" t="s">
        <v>1282</v>
      </c>
      <c r="BM132" s="4">
        <v>45272</v>
      </c>
      <c r="BN132" s="25">
        <v>7867.57</v>
      </c>
    </row>
    <row r="133" spans="1:66" x14ac:dyDescent="0.35">
      <c r="A133">
        <v>2612</v>
      </c>
      <c r="B133" t="s">
        <v>19</v>
      </c>
      <c r="C133" s="1">
        <v>45192</v>
      </c>
      <c r="D133" t="s">
        <v>16</v>
      </c>
      <c r="E133" t="s">
        <v>7</v>
      </c>
      <c r="F133">
        <v>2</v>
      </c>
      <c r="G133">
        <v>259.79000000000002</v>
      </c>
      <c r="H133">
        <v>519.58000000000004</v>
      </c>
      <c r="I133">
        <v>182.6</v>
      </c>
      <c r="J133">
        <v>336.98</v>
      </c>
      <c r="K133">
        <v>483</v>
      </c>
      <c r="L133" s="11">
        <v>0.23575231481481482</v>
      </c>
      <c r="M133">
        <f t="shared" si="10"/>
        <v>23</v>
      </c>
      <c r="N133">
        <f t="shared" si="11"/>
        <v>9</v>
      </c>
      <c r="O133">
        <f t="shared" si="12"/>
        <v>2023</v>
      </c>
      <c r="P133" s="4">
        <f t="shared" si="13"/>
        <v>45192</v>
      </c>
      <c r="Q133" t="s">
        <v>1138</v>
      </c>
      <c r="R133" t="s">
        <v>1135</v>
      </c>
      <c r="S133">
        <v>3</v>
      </c>
      <c r="T133" t="s">
        <v>1143</v>
      </c>
      <c r="U133" s="11" t="str">
        <f t="shared" si="14"/>
        <v>05:39:29 AM</v>
      </c>
      <c r="AC133" s="4">
        <v>45287</v>
      </c>
      <c r="AD133" s="25">
        <v>6760.35</v>
      </c>
      <c r="BL133" s="2" t="s">
        <v>1283</v>
      </c>
      <c r="BM133" s="4">
        <v>45273</v>
      </c>
      <c r="BN133" s="25">
        <v>8897.6</v>
      </c>
    </row>
    <row r="134" spans="1:66" x14ac:dyDescent="0.35">
      <c r="A134">
        <v>7596</v>
      </c>
      <c r="B134" t="s">
        <v>13</v>
      </c>
      <c r="C134" s="1">
        <v>45710</v>
      </c>
      <c r="D134" t="s">
        <v>24</v>
      </c>
      <c r="E134" t="s">
        <v>22</v>
      </c>
      <c r="F134">
        <v>3</v>
      </c>
      <c r="G134">
        <v>561.91</v>
      </c>
      <c r="H134">
        <v>1685.73</v>
      </c>
      <c r="I134">
        <v>161.85</v>
      </c>
      <c r="J134">
        <v>1523.88</v>
      </c>
      <c r="K134">
        <v>196</v>
      </c>
      <c r="L134" s="11">
        <v>0.50884259259259257</v>
      </c>
      <c r="M134">
        <f t="shared" si="10"/>
        <v>22</v>
      </c>
      <c r="N134">
        <f t="shared" si="11"/>
        <v>2</v>
      </c>
      <c r="O134">
        <f t="shared" si="12"/>
        <v>2025</v>
      </c>
      <c r="P134" s="4">
        <f t="shared" si="13"/>
        <v>45710</v>
      </c>
      <c r="Q134" t="s">
        <v>1138</v>
      </c>
      <c r="R134" t="s">
        <v>1137</v>
      </c>
      <c r="S134">
        <v>4</v>
      </c>
      <c r="T134" t="s">
        <v>1150</v>
      </c>
      <c r="U134" s="11" t="str">
        <f t="shared" si="14"/>
        <v>12:12:44 PM</v>
      </c>
      <c r="AC134" s="4">
        <v>45288</v>
      </c>
      <c r="AD134" s="25">
        <v>2219.42</v>
      </c>
      <c r="BL134" s="2" t="s">
        <v>1284</v>
      </c>
      <c r="BM134" s="4">
        <v>45274</v>
      </c>
      <c r="BN134" s="25">
        <v>23308.890000000003</v>
      </c>
    </row>
    <row r="135" spans="1:66" x14ac:dyDescent="0.35">
      <c r="A135">
        <v>6559</v>
      </c>
      <c r="B135" t="s">
        <v>25</v>
      </c>
      <c r="C135" s="1">
        <v>45766</v>
      </c>
      <c r="D135" t="s">
        <v>17</v>
      </c>
      <c r="E135" t="s">
        <v>26</v>
      </c>
      <c r="F135">
        <v>3</v>
      </c>
      <c r="G135">
        <v>135.29</v>
      </c>
      <c r="H135">
        <v>405.87</v>
      </c>
      <c r="I135">
        <v>60.59</v>
      </c>
      <c r="J135">
        <v>345.28</v>
      </c>
      <c r="K135">
        <v>424</v>
      </c>
      <c r="L135" s="11">
        <v>0.54343750000000002</v>
      </c>
      <c r="M135">
        <f t="shared" si="10"/>
        <v>19</v>
      </c>
      <c r="N135">
        <f t="shared" si="11"/>
        <v>4</v>
      </c>
      <c r="O135">
        <f t="shared" si="12"/>
        <v>2025</v>
      </c>
      <c r="P135" s="4">
        <f t="shared" si="13"/>
        <v>45766</v>
      </c>
      <c r="Q135" t="s">
        <v>1138</v>
      </c>
      <c r="R135" t="s">
        <v>1135</v>
      </c>
      <c r="S135">
        <v>1</v>
      </c>
      <c r="T135" t="s">
        <v>1141</v>
      </c>
      <c r="U135" s="11" t="str">
        <f t="shared" si="14"/>
        <v>01:02:33 PM</v>
      </c>
      <c r="AC135" s="4">
        <v>45289</v>
      </c>
      <c r="AD135" s="25">
        <v>2173.77</v>
      </c>
      <c r="BL135" s="2" t="s">
        <v>1285</v>
      </c>
      <c r="BM135" s="4">
        <v>45275</v>
      </c>
      <c r="BN135" s="25">
        <v>17519.64</v>
      </c>
    </row>
    <row r="136" spans="1:66" x14ac:dyDescent="0.35">
      <c r="A136">
        <v>2790</v>
      </c>
      <c r="B136" t="s">
        <v>20</v>
      </c>
      <c r="C136" s="1">
        <v>45338</v>
      </c>
      <c r="D136" t="s">
        <v>17</v>
      </c>
      <c r="E136" t="s">
        <v>29</v>
      </c>
      <c r="F136">
        <v>5</v>
      </c>
      <c r="G136">
        <v>1875.8</v>
      </c>
      <c r="H136">
        <v>9379</v>
      </c>
      <c r="I136">
        <v>1875.8</v>
      </c>
      <c r="J136">
        <v>7503.2</v>
      </c>
      <c r="K136">
        <v>426</v>
      </c>
      <c r="L136" s="11">
        <v>0.62990740740740736</v>
      </c>
      <c r="M136">
        <f t="shared" si="10"/>
        <v>16</v>
      </c>
      <c r="N136">
        <f t="shared" si="11"/>
        <v>2</v>
      </c>
      <c r="O136">
        <f t="shared" si="12"/>
        <v>2024</v>
      </c>
      <c r="P136" s="4">
        <f t="shared" si="13"/>
        <v>45338</v>
      </c>
      <c r="Q136" t="s">
        <v>1134</v>
      </c>
      <c r="R136" t="s">
        <v>1135</v>
      </c>
      <c r="S136">
        <v>3</v>
      </c>
      <c r="T136" t="s">
        <v>1143</v>
      </c>
      <c r="U136" s="11" t="str">
        <f t="shared" si="14"/>
        <v>03:07:04 PM</v>
      </c>
      <c r="AC136" s="4">
        <v>45290</v>
      </c>
      <c r="AD136" s="25">
        <v>4220.55</v>
      </c>
      <c r="BL136" s="2" t="s">
        <v>1286</v>
      </c>
      <c r="BM136" s="4">
        <v>45276</v>
      </c>
      <c r="BN136" s="25">
        <v>13166.29</v>
      </c>
    </row>
    <row r="137" spans="1:66" x14ac:dyDescent="0.35">
      <c r="A137">
        <v>4139</v>
      </c>
      <c r="B137" t="s">
        <v>25</v>
      </c>
      <c r="C137" s="1">
        <v>45292</v>
      </c>
      <c r="D137" t="s">
        <v>6</v>
      </c>
      <c r="E137" t="s">
        <v>33</v>
      </c>
      <c r="F137">
        <v>5</v>
      </c>
      <c r="G137">
        <v>685.58</v>
      </c>
      <c r="H137">
        <v>3427.9</v>
      </c>
      <c r="I137">
        <v>0</v>
      </c>
      <c r="J137">
        <v>3427.9</v>
      </c>
      <c r="K137">
        <v>386</v>
      </c>
      <c r="L137" s="11">
        <v>3.7708333333333337E-2</v>
      </c>
      <c r="M137">
        <f t="shared" si="10"/>
        <v>1</v>
      </c>
      <c r="N137">
        <f t="shared" si="11"/>
        <v>1</v>
      </c>
      <c r="O137">
        <f t="shared" si="12"/>
        <v>2024</v>
      </c>
      <c r="P137" s="4">
        <f t="shared" si="13"/>
        <v>45292</v>
      </c>
      <c r="Q137" t="s">
        <v>1138</v>
      </c>
      <c r="R137" t="s">
        <v>1137</v>
      </c>
      <c r="S137">
        <v>2</v>
      </c>
      <c r="T137" t="s">
        <v>1148</v>
      </c>
      <c r="U137" s="11" t="str">
        <f t="shared" si="14"/>
        <v>12:54:18 AM</v>
      </c>
      <c r="AC137" s="4">
        <v>45291</v>
      </c>
      <c r="AD137" s="25">
        <v>6924.69</v>
      </c>
      <c r="BL137" s="2" t="s">
        <v>1287</v>
      </c>
      <c r="BM137" s="4">
        <v>45277</v>
      </c>
      <c r="BN137" s="25">
        <v>9709.34</v>
      </c>
    </row>
    <row r="138" spans="1:66" x14ac:dyDescent="0.35">
      <c r="A138">
        <v>9786</v>
      </c>
      <c r="B138" t="s">
        <v>0</v>
      </c>
      <c r="C138" s="1">
        <v>45493</v>
      </c>
      <c r="D138" t="s">
        <v>16</v>
      </c>
      <c r="E138" t="s">
        <v>29</v>
      </c>
      <c r="F138">
        <v>3</v>
      </c>
      <c r="G138">
        <v>1980.38</v>
      </c>
      <c r="H138">
        <v>5941.14</v>
      </c>
      <c r="I138">
        <v>0</v>
      </c>
      <c r="J138">
        <v>5941.14</v>
      </c>
      <c r="K138">
        <v>17</v>
      </c>
      <c r="L138" s="11">
        <v>0.17653935185185185</v>
      </c>
      <c r="M138">
        <f t="shared" si="10"/>
        <v>20</v>
      </c>
      <c r="N138">
        <f t="shared" si="11"/>
        <v>7</v>
      </c>
      <c r="O138">
        <f t="shared" si="12"/>
        <v>2024</v>
      </c>
      <c r="P138" s="4">
        <f t="shared" si="13"/>
        <v>45493</v>
      </c>
      <c r="Q138" t="s">
        <v>1138</v>
      </c>
      <c r="R138" t="s">
        <v>1135</v>
      </c>
      <c r="S138">
        <v>3</v>
      </c>
      <c r="T138" t="s">
        <v>1145</v>
      </c>
      <c r="U138" s="11" t="str">
        <f t="shared" si="14"/>
        <v>04:14:13 AM</v>
      </c>
      <c r="AC138" s="4">
        <v>45292</v>
      </c>
      <c r="AD138" s="25">
        <v>10396.58</v>
      </c>
      <c r="BL138" s="2" t="s">
        <v>1288</v>
      </c>
      <c r="BM138" s="4">
        <v>45280</v>
      </c>
      <c r="BN138" s="25">
        <v>6970.34</v>
      </c>
    </row>
    <row r="139" spans="1:66" x14ac:dyDescent="0.35">
      <c r="A139">
        <v>3296</v>
      </c>
      <c r="B139" t="s">
        <v>8</v>
      </c>
      <c r="C139" s="1">
        <v>45472</v>
      </c>
      <c r="D139" t="s">
        <v>4</v>
      </c>
      <c r="E139" t="s">
        <v>26</v>
      </c>
      <c r="F139">
        <v>3</v>
      </c>
      <c r="G139">
        <v>1881.61</v>
      </c>
      <c r="H139">
        <v>5644.83</v>
      </c>
      <c r="I139">
        <v>1128.8</v>
      </c>
      <c r="J139">
        <v>4516.03</v>
      </c>
      <c r="K139">
        <v>89</v>
      </c>
      <c r="L139" s="11">
        <v>3.0277777777777778E-2</v>
      </c>
      <c r="M139">
        <f t="shared" si="10"/>
        <v>29</v>
      </c>
      <c r="N139">
        <f t="shared" si="11"/>
        <v>6</v>
      </c>
      <c r="O139">
        <f t="shared" si="12"/>
        <v>2024</v>
      </c>
      <c r="P139" s="4">
        <f t="shared" si="13"/>
        <v>45472</v>
      </c>
      <c r="Q139" t="s">
        <v>1138</v>
      </c>
      <c r="R139" t="s">
        <v>1137</v>
      </c>
      <c r="S139">
        <v>3</v>
      </c>
      <c r="T139" t="s">
        <v>1149</v>
      </c>
      <c r="U139" s="11" t="str">
        <f t="shared" si="14"/>
        <v>12:43:36 AM</v>
      </c>
      <c r="AC139" s="4">
        <v>45293</v>
      </c>
      <c r="AD139" s="25">
        <v>5162.6000000000004</v>
      </c>
      <c r="BL139" s="2" t="s">
        <v>1289</v>
      </c>
      <c r="BM139" s="4">
        <v>45281</v>
      </c>
      <c r="BN139" s="25">
        <v>14801.39</v>
      </c>
    </row>
    <row r="140" spans="1:66" x14ac:dyDescent="0.35">
      <c r="A140">
        <v>4006</v>
      </c>
      <c r="B140" t="s">
        <v>3</v>
      </c>
      <c r="C140" s="1">
        <v>45361</v>
      </c>
      <c r="D140" t="s">
        <v>11</v>
      </c>
      <c r="E140" t="s">
        <v>36</v>
      </c>
      <c r="F140">
        <v>5</v>
      </c>
      <c r="G140">
        <v>2280.84</v>
      </c>
      <c r="H140">
        <v>11404.2</v>
      </c>
      <c r="I140">
        <v>1710.63</v>
      </c>
      <c r="J140">
        <v>9693.57</v>
      </c>
      <c r="K140">
        <v>425</v>
      </c>
      <c r="L140" s="11">
        <v>0.40438657407407408</v>
      </c>
      <c r="M140">
        <f t="shared" si="10"/>
        <v>10</v>
      </c>
      <c r="N140">
        <f t="shared" si="11"/>
        <v>3</v>
      </c>
      <c r="O140">
        <f t="shared" si="12"/>
        <v>2024</v>
      </c>
      <c r="P140" s="4">
        <f t="shared" si="13"/>
        <v>45361</v>
      </c>
      <c r="Q140" t="s">
        <v>1134</v>
      </c>
      <c r="R140" t="s">
        <v>1135</v>
      </c>
      <c r="S140">
        <v>5</v>
      </c>
      <c r="T140" t="s">
        <v>1142</v>
      </c>
      <c r="U140" s="11" t="str">
        <f t="shared" si="14"/>
        <v>09:42:19 AM</v>
      </c>
      <c r="AC140" s="4">
        <v>45294</v>
      </c>
      <c r="AD140" s="25">
        <v>14693.490000000002</v>
      </c>
      <c r="BL140" s="2" t="s">
        <v>1290</v>
      </c>
      <c r="BM140" s="4">
        <v>45282</v>
      </c>
      <c r="BN140" s="25">
        <v>7395.2999999999993</v>
      </c>
    </row>
    <row r="141" spans="1:66" x14ac:dyDescent="0.35">
      <c r="A141">
        <v>8579</v>
      </c>
      <c r="B141" t="s">
        <v>15</v>
      </c>
      <c r="C141" s="1">
        <v>45339</v>
      </c>
      <c r="D141" t="s">
        <v>24</v>
      </c>
      <c r="E141" t="s">
        <v>10</v>
      </c>
      <c r="F141">
        <v>1</v>
      </c>
      <c r="G141">
        <v>1209.31</v>
      </c>
      <c r="H141">
        <v>1209.31</v>
      </c>
      <c r="I141">
        <v>241.53</v>
      </c>
      <c r="J141">
        <v>967.78</v>
      </c>
      <c r="K141">
        <v>38</v>
      </c>
      <c r="L141" s="11">
        <v>0.58840277777777783</v>
      </c>
      <c r="M141">
        <f t="shared" si="10"/>
        <v>17</v>
      </c>
      <c r="N141">
        <f t="shared" si="11"/>
        <v>2</v>
      </c>
      <c r="O141">
        <f t="shared" si="12"/>
        <v>2024</v>
      </c>
      <c r="P141" s="4">
        <f t="shared" si="13"/>
        <v>45339</v>
      </c>
      <c r="Q141" t="s">
        <v>1138</v>
      </c>
      <c r="R141" t="s">
        <v>1137</v>
      </c>
      <c r="S141">
        <v>3</v>
      </c>
      <c r="T141" t="s">
        <v>1143</v>
      </c>
      <c r="U141" s="11" t="str">
        <f t="shared" si="14"/>
        <v>02:07:18 PM</v>
      </c>
      <c r="AC141" s="4">
        <v>45295</v>
      </c>
      <c r="AD141" s="25">
        <v>4773.33</v>
      </c>
      <c r="BL141" s="2" t="s">
        <v>1291</v>
      </c>
      <c r="BM141" s="4">
        <v>45283</v>
      </c>
      <c r="BN141" s="25">
        <v>3021.2</v>
      </c>
    </row>
    <row r="142" spans="1:66" x14ac:dyDescent="0.35">
      <c r="A142">
        <v>2235</v>
      </c>
      <c r="B142" t="s">
        <v>13</v>
      </c>
      <c r="C142" s="1">
        <v>45489</v>
      </c>
      <c r="D142" t="s">
        <v>27</v>
      </c>
      <c r="E142" t="s">
        <v>12</v>
      </c>
      <c r="F142">
        <v>1</v>
      </c>
      <c r="G142">
        <v>1985.36</v>
      </c>
      <c r="H142">
        <v>1985.36</v>
      </c>
      <c r="I142">
        <v>123.67</v>
      </c>
      <c r="J142">
        <v>1861.69</v>
      </c>
      <c r="K142">
        <v>7</v>
      </c>
      <c r="L142" s="11">
        <v>0.32846064814814813</v>
      </c>
      <c r="M142">
        <f t="shared" si="10"/>
        <v>16</v>
      </c>
      <c r="N142">
        <f t="shared" si="11"/>
        <v>7</v>
      </c>
      <c r="O142">
        <f t="shared" si="12"/>
        <v>2024</v>
      </c>
      <c r="P142" s="4">
        <f t="shared" si="13"/>
        <v>45489</v>
      </c>
      <c r="Q142" t="s">
        <v>1136</v>
      </c>
      <c r="R142" t="s">
        <v>1137</v>
      </c>
      <c r="S142">
        <v>3</v>
      </c>
      <c r="T142" t="s">
        <v>1146</v>
      </c>
      <c r="U142" s="11" t="str">
        <f t="shared" si="14"/>
        <v>07:52:59 AM</v>
      </c>
      <c r="AC142" s="4">
        <v>45297</v>
      </c>
      <c r="AD142" s="25">
        <v>1419.3</v>
      </c>
      <c r="BL142" s="2" t="s">
        <v>1292</v>
      </c>
      <c r="BM142" s="4">
        <v>45284</v>
      </c>
      <c r="BN142" s="25">
        <v>11663.99</v>
      </c>
    </row>
    <row r="143" spans="1:66" x14ac:dyDescent="0.35">
      <c r="A143">
        <v>2604</v>
      </c>
      <c r="B143" t="s">
        <v>25</v>
      </c>
      <c r="C143" s="1">
        <v>45184</v>
      </c>
      <c r="D143" t="s">
        <v>16</v>
      </c>
      <c r="E143" t="s">
        <v>2</v>
      </c>
      <c r="F143">
        <v>5</v>
      </c>
      <c r="G143">
        <v>999.32</v>
      </c>
      <c r="H143">
        <v>4996.6000000000004</v>
      </c>
      <c r="I143">
        <v>307.10000000000002</v>
      </c>
      <c r="J143">
        <v>4689.5</v>
      </c>
      <c r="K143">
        <v>326</v>
      </c>
      <c r="L143" s="11">
        <v>0.24526620370370369</v>
      </c>
      <c r="M143">
        <f t="shared" si="10"/>
        <v>15</v>
      </c>
      <c r="N143">
        <f t="shared" si="11"/>
        <v>9</v>
      </c>
      <c r="O143">
        <f t="shared" si="12"/>
        <v>2023</v>
      </c>
      <c r="P143" s="4">
        <f t="shared" si="13"/>
        <v>45184</v>
      </c>
      <c r="Q143" t="s">
        <v>1138</v>
      </c>
      <c r="R143" t="s">
        <v>1137</v>
      </c>
      <c r="S143">
        <v>4</v>
      </c>
      <c r="T143" t="s">
        <v>1145</v>
      </c>
      <c r="U143" s="11" t="str">
        <f t="shared" si="14"/>
        <v>05:53:11 AM</v>
      </c>
      <c r="AC143" s="4">
        <v>45298</v>
      </c>
      <c r="AD143" s="25">
        <v>1636.7600000000002</v>
      </c>
      <c r="BL143" s="2" t="s">
        <v>1293</v>
      </c>
      <c r="BM143" s="4">
        <v>45285</v>
      </c>
      <c r="BN143" s="25">
        <v>3198.8199999999997</v>
      </c>
    </row>
    <row r="144" spans="1:66" x14ac:dyDescent="0.35">
      <c r="A144">
        <v>9856</v>
      </c>
      <c r="B144" t="s">
        <v>15</v>
      </c>
      <c r="C144" s="1">
        <v>45794</v>
      </c>
      <c r="D144" t="s">
        <v>1</v>
      </c>
      <c r="E144" t="s">
        <v>7</v>
      </c>
      <c r="F144">
        <v>3</v>
      </c>
      <c r="G144">
        <v>2284.9899999999998</v>
      </c>
      <c r="H144">
        <v>6854.97</v>
      </c>
      <c r="I144">
        <v>0</v>
      </c>
      <c r="J144">
        <v>6854.97</v>
      </c>
      <c r="K144">
        <v>113</v>
      </c>
      <c r="L144" s="11">
        <v>0.96666666666666667</v>
      </c>
      <c r="M144">
        <f t="shared" si="10"/>
        <v>17</v>
      </c>
      <c r="N144">
        <f t="shared" si="11"/>
        <v>5</v>
      </c>
      <c r="O144">
        <f t="shared" si="12"/>
        <v>2025</v>
      </c>
      <c r="P144" s="4">
        <f t="shared" si="13"/>
        <v>45794</v>
      </c>
      <c r="Q144" t="s">
        <v>1136</v>
      </c>
      <c r="R144" t="s">
        <v>1135</v>
      </c>
      <c r="S144">
        <v>2</v>
      </c>
      <c r="T144" t="s">
        <v>1146</v>
      </c>
      <c r="U144" s="11" t="str">
        <f t="shared" si="14"/>
        <v>11:12:00 PM</v>
      </c>
      <c r="AC144" s="4">
        <v>45299</v>
      </c>
      <c r="AD144" s="25">
        <v>763.6</v>
      </c>
      <c r="BL144" s="2" t="s">
        <v>1294</v>
      </c>
      <c r="BM144" s="4">
        <v>45286</v>
      </c>
      <c r="BN144" s="25">
        <v>8026.93</v>
      </c>
    </row>
    <row r="145" spans="1:66" x14ac:dyDescent="0.35">
      <c r="A145">
        <v>1241</v>
      </c>
      <c r="B145" t="s">
        <v>15</v>
      </c>
      <c r="C145" s="1">
        <v>45217</v>
      </c>
      <c r="D145" t="s">
        <v>24</v>
      </c>
      <c r="E145" t="s">
        <v>5</v>
      </c>
      <c r="F145">
        <v>1</v>
      </c>
      <c r="G145">
        <v>418.32</v>
      </c>
      <c r="H145">
        <v>418.32</v>
      </c>
      <c r="I145">
        <v>63.08</v>
      </c>
      <c r="J145">
        <v>355.24</v>
      </c>
      <c r="K145">
        <v>484</v>
      </c>
      <c r="L145" s="11">
        <v>8.6539351851851853E-2</v>
      </c>
      <c r="M145">
        <f t="shared" si="10"/>
        <v>18</v>
      </c>
      <c r="N145">
        <f t="shared" si="11"/>
        <v>10</v>
      </c>
      <c r="O145">
        <f t="shared" si="12"/>
        <v>2023</v>
      </c>
      <c r="P145" s="4">
        <f t="shared" si="13"/>
        <v>45217</v>
      </c>
      <c r="Q145" t="s">
        <v>1136</v>
      </c>
      <c r="R145" t="s">
        <v>1135</v>
      </c>
      <c r="S145">
        <v>4</v>
      </c>
      <c r="T145" t="s">
        <v>1141</v>
      </c>
      <c r="U145" s="11" t="str">
        <f t="shared" si="14"/>
        <v>02:04:37 AM</v>
      </c>
      <c r="AC145" s="4">
        <v>45300</v>
      </c>
      <c r="AD145" s="25">
        <v>2502.4499999999998</v>
      </c>
      <c r="BL145" s="2" t="s">
        <v>1295</v>
      </c>
      <c r="BM145" s="4">
        <v>45287</v>
      </c>
      <c r="BN145" s="25">
        <v>6760.35</v>
      </c>
    </row>
    <row r="146" spans="1:66" x14ac:dyDescent="0.35">
      <c r="A146">
        <v>4872</v>
      </c>
      <c r="B146" t="s">
        <v>15</v>
      </c>
      <c r="C146" s="1">
        <v>45274</v>
      </c>
      <c r="D146" t="s">
        <v>4</v>
      </c>
      <c r="E146" t="s">
        <v>38</v>
      </c>
      <c r="F146">
        <v>2</v>
      </c>
      <c r="G146">
        <v>2217.7600000000002</v>
      </c>
      <c r="H146">
        <v>4435.5200000000004</v>
      </c>
      <c r="I146">
        <v>443.22</v>
      </c>
      <c r="J146">
        <v>3992.3</v>
      </c>
      <c r="K146">
        <v>69</v>
      </c>
      <c r="L146" s="11">
        <v>0.57859953703703704</v>
      </c>
      <c r="M146">
        <f t="shared" si="10"/>
        <v>14</v>
      </c>
      <c r="N146">
        <f t="shared" si="11"/>
        <v>12</v>
      </c>
      <c r="O146">
        <f t="shared" si="12"/>
        <v>2023</v>
      </c>
      <c r="P146" s="4">
        <f t="shared" si="13"/>
        <v>45274</v>
      </c>
      <c r="Q146" t="s">
        <v>1136</v>
      </c>
      <c r="R146" t="s">
        <v>1137</v>
      </c>
      <c r="S146">
        <v>4</v>
      </c>
      <c r="T146" t="s">
        <v>1143</v>
      </c>
      <c r="U146" s="11" t="str">
        <f t="shared" si="14"/>
        <v>01:53:11 PM</v>
      </c>
      <c r="AC146" s="4">
        <v>45301</v>
      </c>
      <c r="AD146" s="25">
        <v>8611.25</v>
      </c>
      <c r="BL146" s="2" t="s">
        <v>1296</v>
      </c>
      <c r="BM146" s="4">
        <v>45288</v>
      </c>
      <c r="BN146" s="25">
        <v>2219.42</v>
      </c>
    </row>
    <row r="147" spans="1:66" x14ac:dyDescent="0.35">
      <c r="A147">
        <v>7658</v>
      </c>
      <c r="B147" t="s">
        <v>25</v>
      </c>
      <c r="C147" s="1">
        <v>45522</v>
      </c>
      <c r="D147" t="s">
        <v>16</v>
      </c>
      <c r="E147" t="s">
        <v>7</v>
      </c>
      <c r="F147">
        <v>4</v>
      </c>
      <c r="G147">
        <v>1495.66</v>
      </c>
      <c r="H147">
        <v>5982.64</v>
      </c>
      <c r="I147">
        <v>598.42999999999995</v>
      </c>
      <c r="J147">
        <v>5384.21</v>
      </c>
      <c r="K147">
        <v>372</v>
      </c>
      <c r="L147" s="11">
        <v>0.45285879629629627</v>
      </c>
      <c r="M147">
        <f t="shared" si="10"/>
        <v>18</v>
      </c>
      <c r="N147">
        <f t="shared" si="11"/>
        <v>8</v>
      </c>
      <c r="O147">
        <f t="shared" si="12"/>
        <v>2024</v>
      </c>
      <c r="P147" s="4">
        <f t="shared" si="13"/>
        <v>45522</v>
      </c>
      <c r="Q147" t="s">
        <v>1134</v>
      </c>
      <c r="R147" t="s">
        <v>1137</v>
      </c>
      <c r="S147">
        <v>1</v>
      </c>
      <c r="T147" t="s">
        <v>1146</v>
      </c>
      <c r="U147" s="11" t="str">
        <f t="shared" si="14"/>
        <v>10:52:07 AM</v>
      </c>
      <c r="AC147" s="4">
        <v>45302</v>
      </c>
      <c r="AD147" s="25">
        <v>3239.49</v>
      </c>
      <c r="BL147" s="2" t="s">
        <v>1297</v>
      </c>
      <c r="BM147" s="4">
        <v>45289</v>
      </c>
      <c r="BN147" s="25">
        <v>2173.77</v>
      </c>
    </row>
    <row r="148" spans="1:66" x14ac:dyDescent="0.35">
      <c r="A148">
        <v>8886</v>
      </c>
      <c r="B148" t="s">
        <v>0</v>
      </c>
      <c r="C148" s="1">
        <v>45311</v>
      </c>
      <c r="D148" t="s">
        <v>34</v>
      </c>
      <c r="E148" t="s">
        <v>5</v>
      </c>
      <c r="F148">
        <v>3</v>
      </c>
      <c r="G148">
        <v>161.02000000000001</v>
      </c>
      <c r="H148">
        <v>483.06</v>
      </c>
      <c r="I148">
        <v>48.14</v>
      </c>
      <c r="J148">
        <v>434.92</v>
      </c>
      <c r="K148">
        <v>189</v>
      </c>
      <c r="L148" s="11">
        <v>0.44543981481481482</v>
      </c>
      <c r="M148">
        <f t="shared" si="10"/>
        <v>20</v>
      </c>
      <c r="N148">
        <f t="shared" si="11"/>
        <v>1</v>
      </c>
      <c r="O148">
        <f t="shared" si="12"/>
        <v>2024</v>
      </c>
      <c r="P148" s="4">
        <f t="shared" si="13"/>
        <v>45311</v>
      </c>
      <c r="Q148" t="s">
        <v>1134</v>
      </c>
      <c r="R148" t="s">
        <v>1135</v>
      </c>
      <c r="S148">
        <v>4</v>
      </c>
      <c r="T148" t="s">
        <v>1147</v>
      </c>
      <c r="U148" s="11" t="str">
        <f t="shared" si="14"/>
        <v>10:41:26 AM</v>
      </c>
      <c r="AC148" s="4">
        <v>45303</v>
      </c>
      <c r="AD148" s="25">
        <v>11785.17</v>
      </c>
      <c r="BL148" s="2" t="s">
        <v>1298</v>
      </c>
      <c r="BM148" s="4">
        <v>45290</v>
      </c>
      <c r="BN148" s="25">
        <v>4220.55</v>
      </c>
    </row>
    <row r="149" spans="1:66" x14ac:dyDescent="0.35">
      <c r="A149">
        <v>7570</v>
      </c>
      <c r="B149" t="s">
        <v>15</v>
      </c>
      <c r="C149" s="1">
        <v>45845</v>
      </c>
      <c r="D149" t="s">
        <v>6</v>
      </c>
      <c r="E149" t="s">
        <v>12</v>
      </c>
      <c r="F149">
        <v>1</v>
      </c>
      <c r="G149">
        <v>2443.52</v>
      </c>
      <c r="H149">
        <v>2443.52</v>
      </c>
      <c r="I149">
        <v>214.97</v>
      </c>
      <c r="J149">
        <v>2228.5500000000002</v>
      </c>
      <c r="K149">
        <v>188</v>
      </c>
      <c r="L149" s="11">
        <v>0.13599537037037038</v>
      </c>
      <c r="M149">
        <f t="shared" si="10"/>
        <v>7</v>
      </c>
      <c r="N149">
        <f t="shared" si="11"/>
        <v>7</v>
      </c>
      <c r="O149">
        <f t="shared" si="12"/>
        <v>2025</v>
      </c>
      <c r="P149" s="4">
        <f t="shared" si="13"/>
        <v>45845</v>
      </c>
      <c r="Q149" t="s">
        <v>1134</v>
      </c>
      <c r="R149" t="s">
        <v>1135</v>
      </c>
      <c r="S149">
        <v>5</v>
      </c>
      <c r="T149" t="s">
        <v>1144</v>
      </c>
      <c r="U149" s="11" t="str">
        <f t="shared" si="14"/>
        <v>03:15:50 AM</v>
      </c>
      <c r="AC149" s="4">
        <v>45304</v>
      </c>
      <c r="AD149" s="25">
        <v>6926.35</v>
      </c>
      <c r="BL149" s="2" t="s">
        <v>1299</v>
      </c>
      <c r="BM149" s="4">
        <v>45291</v>
      </c>
      <c r="BN149" s="25">
        <v>6924.69</v>
      </c>
    </row>
    <row r="150" spans="1:66" x14ac:dyDescent="0.35">
      <c r="A150">
        <v>1960</v>
      </c>
      <c r="B150" t="s">
        <v>31</v>
      </c>
      <c r="C150" s="1">
        <v>45272</v>
      </c>
      <c r="D150" t="s">
        <v>4</v>
      </c>
      <c r="E150" t="s">
        <v>22</v>
      </c>
      <c r="F150">
        <v>1</v>
      </c>
      <c r="G150">
        <v>1677.43</v>
      </c>
      <c r="H150">
        <v>1677.43</v>
      </c>
      <c r="I150">
        <v>344.45</v>
      </c>
      <c r="J150">
        <v>1332.98</v>
      </c>
      <c r="K150">
        <v>328</v>
      </c>
      <c r="L150" s="11">
        <v>0.98805555555555558</v>
      </c>
      <c r="M150">
        <f t="shared" si="10"/>
        <v>12</v>
      </c>
      <c r="N150">
        <f t="shared" si="11"/>
        <v>12</v>
      </c>
      <c r="O150">
        <f t="shared" si="12"/>
        <v>2023</v>
      </c>
      <c r="P150" s="4">
        <f t="shared" si="13"/>
        <v>45272</v>
      </c>
      <c r="Q150" t="s">
        <v>1138</v>
      </c>
      <c r="R150" t="s">
        <v>1135</v>
      </c>
      <c r="S150">
        <v>5</v>
      </c>
      <c r="T150" t="s">
        <v>1145</v>
      </c>
      <c r="U150" s="11" t="str">
        <f t="shared" si="14"/>
        <v>11:42:48 PM</v>
      </c>
      <c r="AC150" s="4">
        <v>45305</v>
      </c>
      <c r="AD150" s="25">
        <v>1221.76</v>
      </c>
      <c r="BL150" s="2" t="s">
        <v>1300</v>
      </c>
      <c r="BM150" s="4">
        <v>45292</v>
      </c>
      <c r="BN150" s="25">
        <v>10396.58</v>
      </c>
    </row>
    <row r="151" spans="1:66" x14ac:dyDescent="0.35">
      <c r="A151">
        <v>7209</v>
      </c>
      <c r="B151" t="s">
        <v>31</v>
      </c>
      <c r="C151" s="1">
        <v>45146</v>
      </c>
      <c r="D151" t="s">
        <v>23</v>
      </c>
      <c r="E151" t="s">
        <v>33</v>
      </c>
      <c r="F151">
        <v>1</v>
      </c>
      <c r="G151">
        <v>2079.15</v>
      </c>
      <c r="H151">
        <v>2079.15</v>
      </c>
      <c r="I151">
        <v>154.38</v>
      </c>
      <c r="J151">
        <v>1924.77</v>
      </c>
      <c r="K151">
        <v>283</v>
      </c>
      <c r="L151" s="11">
        <v>2.1307870370370369E-2</v>
      </c>
      <c r="M151">
        <f t="shared" si="10"/>
        <v>8</v>
      </c>
      <c r="N151">
        <f t="shared" si="11"/>
        <v>8</v>
      </c>
      <c r="O151">
        <f t="shared" si="12"/>
        <v>2023</v>
      </c>
      <c r="P151" s="4">
        <f t="shared" si="13"/>
        <v>45146</v>
      </c>
      <c r="Q151" t="s">
        <v>1136</v>
      </c>
      <c r="R151" t="s">
        <v>1137</v>
      </c>
      <c r="S151">
        <v>1</v>
      </c>
      <c r="T151" t="s">
        <v>1150</v>
      </c>
      <c r="U151" s="11" t="str">
        <f t="shared" si="14"/>
        <v>12:30:41 AM</v>
      </c>
      <c r="AC151" s="4">
        <v>45308</v>
      </c>
      <c r="AD151" s="25">
        <v>8148.1100000000006</v>
      </c>
      <c r="BL151" s="2" t="s">
        <v>1301</v>
      </c>
      <c r="BM151" s="4">
        <v>45293</v>
      </c>
      <c r="BN151" s="25">
        <v>5162.6000000000004</v>
      </c>
    </row>
    <row r="152" spans="1:66" x14ac:dyDescent="0.35">
      <c r="A152">
        <v>7396</v>
      </c>
      <c r="B152" t="s">
        <v>31</v>
      </c>
      <c r="C152" s="1">
        <v>45350</v>
      </c>
      <c r="D152" t="s">
        <v>11</v>
      </c>
      <c r="E152" t="s">
        <v>30</v>
      </c>
      <c r="F152">
        <v>5</v>
      </c>
      <c r="G152">
        <v>88.81</v>
      </c>
      <c r="H152">
        <v>444.05</v>
      </c>
      <c r="I152">
        <v>88.81</v>
      </c>
      <c r="J152">
        <v>355.24</v>
      </c>
      <c r="K152">
        <v>439</v>
      </c>
      <c r="L152" s="11">
        <v>0.34476851851851853</v>
      </c>
      <c r="M152">
        <f t="shared" si="10"/>
        <v>28</v>
      </c>
      <c r="N152">
        <f t="shared" si="11"/>
        <v>2</v>
      </c>
      <c r="O152">
        <f t="shared" si="12"/>
        <v>2024</v>
      </c>
      <c r="P152" s="4">
        <f t="shared" si="13"/>
        <v>45350</v>
      </c>
      <c r="Q152" t="s">
        <v>1134</v>
      </c>
      <c r="R152" t="s">
        <v>1135</v>
      </c>
      <c r="S152">
        <v>2</v>
      </c>
      <c r="T152" t="s">
        <v>1145</v>
      </c>
      <c r="U152" s="11" t="str">
        <f t="shared" si="14"/>
        <v>08:16:28 AM</v>
      </c>
      <c r="AC152" s="4">
        <v>45309</v>
      </c>
      <c r="AD152" s="25">
        <v>7943.1</v>
      </c>
      <c r="BL152" s="2" t="s">
        <v>1302</v>
      </c>
      <c r="BM152" s="4">
        <v>45294</v>
      </c>
      <c r="BN152" s="25">
        <v>14693.490000000002</v>
      </c>
    </row>
    <row r="153" spans="1:66" x14ac:dyDescent="0.35">
      <c r="A153">
        <v>8454</v>
      </c>
      <c r="B153" t="s">
        <v>3</v>
      </c>
      <c r="C153" s="1">
        <v>45366</v>
      </c>
      <c r="D153" t="s">
        <v>24</v>
      </c>
      <c r="E153" t="s">
        <v>18</v>
      </c>
      <c r="F153">
        <v>1</v>
      </c>
      <c r="G153">
        <v>1673.28</v>
      </c>
      <c r="H153">
        <v>1673.28</v>
      </c>
      <c r="I153">
        <v>201.69</v>
      </c>
      <c r="J153">
        <v>1471.59</v>
      </c>
      <c r="K153">
        <v>13</v>
      </c>
      <c r="L153" s="11">
        <v>0.23679398148148148</v>
      </c>
      <c r="M153">
        <f t="shared" si="10"/>
        <v>15</v>
      </c>
      <c r="N153">
        <f t="shared" si="11"/>
        <v>3</v>
      </c>
      <c r="O153">
        <f t="shared" si="12"/>
        <v>2024</v>
      </c>
      <c r="P153" s="4">
        <f t="shared" si="13"/>
        <v>45366</v>
      </c>
      <c r="Q153" t="s">
        <v>1134</v>
      </c>
      <c r="R153" t="s">
        <v>1135</v>
      </c>
      <c r="S153">
        <v>2</v>
      </c>
      <c r="T153" t="s">
        <v>1146</v>
      </c>
      <c r="U153" s="11" t="str">
        <f t="shared" si="14"/>
        <v>05:40:59 AM</v>
      </c>
      <c r="AC153" s="4">
        <v>45310</v>
      </c>
      <c r="AD153" s="25">
        <v>14761.55</v>
      </c>
      <c r="BL153" s="2" t="s">
        <v>1303</v>
      </c>
      <c r="BM153" s="4">
        <v>45295</v>
      </c>
      <c r="BN153" s="25">
        <v>4773.33</v>
      </c>
    </row>
    <row r="154" spans="1:66" x14ac:dyDescent="0.35">
      <c r="A154">
        <v>7930</v>
      </c>
      <c r="B154" t="s">
        <v>31</v>
      </c>
      <c r="C154" s="1">
        <v>45686</v>
      </c>
      <c r="D154" t="s">
        <v>17</v>
      </c>
      <c r="E154" t="s">
        <v>10</v>
      </c>
      <c r="F154">
        <v>1</v>
      </c>
      <c r="G154">
        <v>501.32</v>
      </c>
      <c r="H154">
        <v>501.32</v>
      </c>
      <c r="I154">
        <v>0</v>
      </c>
      <c r="J154">
        <v>501.32</v>
      </c>
      <c r="K154">
        <v>26</v>
      </c>
      <c r="L154" s="11">
        <v>0.60136574074074078</v>
      </c>
      <c r="M154">
        <f t="shared" si="10"/>
        <v>29</v>
      </c>
      <c r="N154">
        <f t="shared" si="11"/>
        <v>1</v>
      </c>
      <c r="O154">
        <f t="shared" si="12"/>
        <v>2025</v>
      </c>
      <c r="P154" s="4">
        <f t="shared" si="13"/>
        <v>45686</v>
      </c>
      <c r="Q154" t="s">
        <v>1138</v>
      </c>
      <c r="R154" t="s">
        <v>1137</v>
      </c>
      <c r="S154">
        <v>4</v>
      </c>
      <c r="T154" t="s">
        <v>1146</v>
      </c>
      <c r="U154" s="11" t="str">
        <f t="shared" si="14"/>
        <v>02:25:58 PM</v>
      </c>
      <c r="AC154" s="4">
        <v>45311</v>
      </c>
      <c r="AD154" s="25">
        <v>21995.83</v>
      </c>
      <c r="BL154" s="2" t="s">
        <v>1304</v>
      </c>
      <c r="BM154" s="4">
        <v>45297</v>
      </c>
      <c r="BN154" s="25">
        <v>1419.3</v>
      </c>
    </row>
    <row r="155" spans="1:66" x14ac:dyDescent="0.35">
      <c r="A155">
        <v>8973</v>
      </c>
      <c r="B155" t="s">
        <v>13</v>
      </c>
      <c r="C155" s="1">
        <v>45265</v>
      </c>
      <c r="D155" t="s">
        <v>27</v>
      </c>
      <c r="E155" t="s">
        <v>38</v>
      </c>
      <c r="F155">
        <v>1</v>
      </c>
      <c r="G155">
        <v>1228.4000000000001</v>
      </c>
      <c r="H155">
        <v>1228.4000000000001</v>
      </c>
      <c r="I155">
        <v>279.70999999999998</v>
      </c>
      <c r="J155">
        <v>948.69</v>
      </c>
      <c r="K155">
        <v>398</v>
      </c>
      <c r="L155" s="11">
        <v>0.78439814814814812</v>
      </c>
      <c r="M155">
        <f t="shared" si="10"/>
        <v>5</v>
      </c>
      <c r="N155">
        <f t="shared" si="11"/>
        <v>12</v>
      </c>
      <c r="O155">
        <f t="shared" si="12"/>
        <v>2023</v>
      </c>
      <c r="P155" s="4">
        <f t="shared" si="13"/>
        <v>45265</v>
      </c>
      <c r="Q155" t="s">
        <v>1134</v>
      </c>
      <c r="R155" t="s">
        <v>1135</v>
      </c>
      <c r="S155">
        <v>4</v>
      </c>
      <c r="T155" t="s">
        <v>1142</v>
      </c>
      <c r="U155" s="11" t="str">
        <f t="shared" si="14"/>
        <v>06:49:32 PM</v>
      </c>
      <c r="AC155" s="4">
        <v>45312</v>
      </c>
      <c r="AD155" s="25">
        <v>9094.31</v>
      </c>
      <c r="BL155" s="2" t="s">
        <v>1305</v>
      </c>
      <c r="BM155" s="4">
        <v>45298</v>
      </c>
      <c r="BN155" s="25">
        <v>1636.7600000000002</v>
      </c>
    </row>
    <row r="156" spans="1:66" x14ac:dyDescent="0.35">
      <c r="A156">
        <v>4111</v>
      </c>
      <c r="B156" t="s">
        <v>15</v>
      </c>
      <c r="C156" s="1">
        <v>45375</v>
      </c>
      <c r="D156" t="s">
        <v>27</v>
      </c>
      <c r="E156" t="s">
        <v>14</v>
      </c>
      <c r="F156">
        <v>5</v>
      </c>
      <c r="G156">
        <v>186.75</v>
      </c>
      <c r="H156">
        <v>933.75</v>
      </c>
      <c r="I156">
        <v>92.96</v>
      </c>
      <c r="J156">
        <v>840.79</v>
      </c>
      <c r="K156">
        <v>401</v>
      </c>
      <c r="L156" s="11">
        <v>5.8784722222222224E-2</v>
      </c>
      <c r="M156">
        <f t="shared" si="10"/>
        <v>24</v>
      </c>
      <c r="N156">
        <f t="shared" si="11"/>
        <v>3</v>
      </c>
      <c r="O156">
        <f t="shared" si="12"/>
        <v>2024</v>
      </c>
      <c r="P156" s="4">
        <f t="shared" si="13"/>
        <v>45375</v>
      </c>
      <c r="Q156" t="s">
        <v>1138</v>
      </c>
      <c r="R156" t="s">
        <v>1135</v>
      </c>
      <c r="S156">
        <v>4</v>
      </c>
      <c r="T156" t="s">
        <v>1147</v>
      </c>
      <c r="U156" s="11" t="str">
        <f t="shared" si="14"/>
        <v>01:24:39 AM</v>
      </c>
      <c r="AC156" s="4">
        <v>45313</v>
      </c>
      <c r="AD156" s="25">
        <v>4563.34</v>
      </c>
      <c r="BL156" s="2" t="s">
        <v>1306</v>
      </c>
      <c r="BM156" s="4">
        <v>45299</v>
      </c>
      <c r="BN156" s="25">
        <v>763.6</v>
      </c>
    </row>
    <row r="157" spans="1:66" x14ac:dyDescent="0.35">
      <c r="A157">
        <v>4566</v>
      </c>
      <c r="B157" t="s">
        <v>20</v>
      </c>
      <c r="C157" s="1">
        <v>45190</v>
      </c>
      <c r="D157" t="s">
        <v>1</v>
      </c>
      <c r="E157" t="s">
        <v>37</v>
      </c>
      <c r="F157">
        <v>4</v>
      </c>
      <c r="G157">
        <v>1108.05</v>
      </c>
      <c r="H157">
        <v>4432.2</v>
      </c>
      <c r="I157">
        <v>0</v>
      </c>
      <c r="J157">
        <v>4432.2</v>
      </c>
      <c r="K157">
        <v>55</v>
      </c>
      <c r="L157" s="11">
        <v>0.4646527777777778</v>
      </c>
      <c r="M157">
        <f t="shared" si="10"/>
        <v>21</v>
      </c>
      <c r="N157">
        <f t="shared" si="11"/>
        <v>9</v>
      </c>
      <c r="O157">
        <f t="shared" si="12"/>
        <v>2023</v>
      </c>
      <c r="P157" s="4">
        <f t="shared" si="13"/>
        <v>45190</v>
      </c>
      <c r="Q157" t="s">
        <v>1139</v>
      </c>
      <c r="R157" t="s">
        <v>1135</v>
      </c>
      <c r="S157">
        <v>2</v>
      </c>
      <c r="T157" t="s">
        <v>1150</v>
      </c>
      <c r="U157" s="11" t="str">
        <f t="shared" si="14"/>
        <v>11:09:06 AM</v>
      </c>
      <c r="AC157" s="4">
        <v>45314</v>
      </c>
      <c r="AD157" s="25">
        <v>6670.71</v>
      </c>
      <c r="BL157" s="2" t="s">
        <v>1307</v>
      </c>
      <c r="BM157" s="4">
        <v>45300</v>
      </c>
      <c r="BN157" s="25">
        <v>2502.4499999999998</v>
      </c>
    </row>
    <row r="158" spans="1:66" x14ac:dyDescent="0.35">
      <c r="A158">
        <v>9883</v>
      </c>
      <c r="B158" t="s">
        <v>15</v>
      </c>
      <c r="C158" s="1">
        <v>45192</v>
      </c>
      <c r="D158" t="s">
        <v>4</v>
      </c>
      <c r="E158" t="s">
        <v>32</v>
      </c>
      <c r="F158">
        <v>3</v>
      </c>
      <c r="G158">
        <v>1546.29</v>
      </c>
      <c r="H158">
        <v>4638.87</v>
      </c>
      <c r="I158">
        <v>695.54</v>
      </c>
      <c r="J158">
        <v>3943.33</v>
      </c>
      <c r="K158">
        <v>33</v>
      </c>
      <c r="L158" s="11">
        <v>0.69232638888888887</v>
      </c>
      <c r="M158">
        <f t="shared" si="10"/>
        <v>23</v>
      </c>
      <c r="N158">
        <f t="shared" si="11"/>
        <v>9</v>
      </c>
      <c r="O158">
        <f t="shared" si="12"/>
        <v>2023</v>
      </c>
      <c r="P158" s="4">
        <f t="shared" si="13"/>
        <v>45192</v>
      </c>
      <c r="Q158" t="s">
        <v>1134</v>
      </c>
      <c r="R158" t="s">
        <v>1137</v>
      </c>
      <c r="S158">
        <v>3</v>
      </c>
      <c r="T158" t="s">
        <v>1149</v>
      </c>
      <c r="U158" s="11" t="str">
        <f t="shared" si="14"/>
        <v>04:36:57 PM</v>
      </c>
      <c r="AC158" s="4">
        <v>45315</v>
      </c>
      <c r="AD158" s="25">
        <v>2974.72</v>
      </c>
      <c r="BL158" s="2" t="s">
        <v>1308</v>
      </c>
      <c r="BM158" s="4">
        <v>45301</v>
      </c>
      <c r="BN158" s="25">
        <v>8611.25</v>
      </c>
    </row>
    <row r="159" spans="1:66" x14ac:dyDescent="0.35">
      <c r="A159">
        <v>6138</v>
      </c>
      <c r="B159" t="s">
        <v>3</v>
      </c>
      <c r="C159" s="1">
        <v>45189</v>
      </c>
      <c r="D159" t="s">
        <v>11</v>
      </c>
      <c r="E159" t="s">
        <v>21</v>
      </c>
      <c r="F159">
        <v>5</v>
      </c>
      <c r="G159">
        <v>1359.54</v>
      </c>
      <c r="H159">
        <v>6797.7</v>
      </c>
      <c r="I159">
        <v>346.11</v>
      </c>
      <c r="J159">
        <v>6451.59</v>
      </c>
      <c r="K159">
        <v>232</v>
      </c>
      <c r="L159" s="11">
        <v>0.13576388888888888</v>
      </c>
      <c r="M159">
        <f t="shared" si="10"/>
        <v>20</v>
      </c>
      <c r="N159">
        <f t="shared" si="11"/>
        <v>9</v>
      </c>
      <c r="O159">
        <f t="shared" si="12"/>
        <v>2023</v>
      </c>
      <c r="P159" s="4">
        <f t="shared" si="13"/>
        <v>45189</v>
      </c>
      <c r="Q159" t="s">
        <v>1139</v>
      </c>
      <c r="R159" t="s">
        <v>1137</v>
      </c>
      <c r="S159">
        <v>5</v>
      </c>
      <c r="T159" t="s">
        <v>1142</v>
      </c>
      <c r="U159" s="11" t="str">
        <f t="shared" si="14"/>
        <v>03:15:30 AM</v>
      </c>
      <c r="AC159" s="4">
        <v>45316</v>
      </c>
      <c r="AD159" s="25">
        <v>2232.6999999999998</v>
      </c>
      <c r="BL159" s="2" t="s">
        <v>1309</v>
      </c>
      <c r="BM159" s="4">
        <v>45302</v>
      </c>
      <c r="BN159" s="25">
        <v>3239.49</v>
      </c>
    </row>
    <row r="160" spans="1:66" x14ac:dyDescent="0.35">
      <c r="A160">
        <v>1821</v>
      </c>
      <c r="B160" t="s">
        <v>0</v>
      </c>
      <c r="C160" s="1">
        <v>45598</v>
      </c>
      <c r="D160" t="s">
        <v>16</v>
      </c>
      <c r="E160" t="s">
        <v>7</v>
      </c>
      <c r="F160">
        <v>2</v>
      </c>
      <c r="G160">
        <v>1117.18</v>
      </c>
      <c r="H160">
        <v>2234.36</v>
      </c>
      <c r="I160">
        <v>223.27</v>
      </c>
      <c r="J160">
        <v>2011.09</v>
      </c>
      <c r="K160">
        <v>454</v>
      </c>
      <c r="L160" s="11">
        <v>0.80795138888888884</v>
      </c>
      <c r="M160">
        <f t="shared" si="10"/>
        <v>2</v>
      </c>
      <c r="N160">
        <f t="shared" si="11"/>
        <v>11</v>
      </c>
      <c r="O160">
        <f t="shared" si="12"/>
        <v>2024</v>
      </c>
      <c r="P160" s="4">
        <f t="shared" si="13"/>
        <v>45598</v>
      </c>
      <c r="Q160" t="s">
        <v>1138</v>
      </c>
      <c r="R160" t="s">
        <v>1137</v>
      </c>
      <c r="S160">
        <v>3</v>
      </c>
      <c r="T160" t="s">
        <v>1141</v>
      </c>
      <c r="U160" s="11" t="str">
        <f t="shared" si="14"/>
        <v>07:23:27 PM</v>
      </c>
      <c r="AC160" s="4">
        <v>45317</v>
      </c>
      <c r="AD160" s="25">
        <v>21404.04</v>
      </c>
      <c r="BL160" s="2" t="s">
        <v>1310</v>
      </c>
      <c r="BM160" s="4">
        <v>45303</v>
      </c>
      <c r="BN160" s="25">
        <v>11785.17</v>
      </c>
    </row>
    <row r="161" spans="1:66" x14ac:dyDescent="0.35">
      <c r="A161">
        <v>8811</v>
      </c>
      <c r="B161" t="s">
        <v>25</v>
      </c>
      <c r="C161" s="1">
        <v>45535</v>
      </c>
      <c r="D161" t="s">
        <v>34</v>
      </c>
      <c r="E161" t="s">
        <v>21</v>
      </c>
      <c r="F161">
        <v>4</v>
      </c>
      <c r="G161">
        <v>1838.45</v>
      </c>
      <c r="H161">
        <v>7353.8</v>
      </c>
      <c r="I161">
        <v>1103.07</v>
      </c>
      <c r="J161">
        <v>6250.73</v>
      </c>
      <c r="K161">
        <v>160</v>
      </c>
      <c r="L161" s="11">
        <v>6.5150462962962966E-2</v>
      </c>
      <c r="M161">
        <f t="shared" si="10"/>
        <v>31</v>
      </c>
      <c r="N161">
        <f t="shared" si="11"/>
        <v>8</v>
      </c>
      <c r="O161">
        <f t="shared" si="12"/>
        <v>2024</v>
      </c>
      <c r="P161" s="4">
        <f t="shared" si="13"/>
        <v>45535</v>
      </c>
      <c r="Q161" t="s">
        <v>1136</v>
      </c>
      <c r="R161" t="s">
        <v>1137</v>
      </c>
      <c r="S161">
        <v>3</v>
      </c>
      <c r="T161" t="s">
        <v>1150</v>
      </c>
      <c r="U161" s="11" t="str">
        <f t="shared" si="14"/>
        <v>01:33:49 AM</v>
      </c>
      <c r="AC161" s="4">
        <v>45318</v>
      </c>
      <c r="AD161" s="25">
        <v>1824.34</v>
      </c>
      <c r="BL161" s="2" t="s">
        <v>1311</v>
      </c>
      <c r="BM161" s="4">
        <v>45304</v>
      </c>
      <c r="BN161" s="25">
        <v>6926.35</v>
      </c>
    </row>
    <row r="162" spans="1:66" x14ac:dyDescent="0.35">
      <c r="A162">
        <v>9701</v>
      </c>
      <c r="B162" t="s">
        <v>19</v>
      </c>
      <c r="C162" s="1">
        <v>45267</v>
      </c>
      <c r="D162" t="s">
        <v>11</v>
      </c>
      <c r="E162" t="s">
        <v>30</v>
      </c>
      <c r="F162">
        <v>4</v>
      </c>
      <c r="G162">
        <v>244.02</v>
      </c>
      <c r="H162">
        <v>976.08</v>
      </c>
      <c r="I162">
        <v>226.59</v>
      </c>
      <c r="J162">
        <v>749.49</v>
      </c>
      <c r="K162">
        <v>425</v>
      </c>
      <c r="L162" s="11">
        <v>0.81211805555555561</v>
      </c>
      <c r="M162">
        <f t="shared" si="10"/>
        <v>7</v>
      </c>
      <c r="N162">
        <f t="shared" si="11"/>
        <v>12</v>
      </c>
      <c r="O162">
        <f t="shared" si="12"/>
        <v>2023</v>
      </c>
      <c r="P162" s="4">
        <f t="shared" si="13"/>
        <v>45267</v>
      </c>
      <c r="Q162" t="s">
        <v>1134</v>
      </c>
      <c r="R162" t="s">
        <v>1137</v>
      </c>
      <c r="S162">
        <v>2</v>
      </c>
      <c r="T162" t="s">
        <v>1143</v>
      </c>
      <c r="U162" s="11" t="str">
        <f t="shared" si="14"/>
        <v>07:29:27 PM</v>
      </c>
      <c r="AC162" s="4">
        <v>45319</v>
      </c>
      <c r="AD162" s="25">
        <v>19729.099999999999</v>
      </c>
      <c r="BL162" s="2" t="s">
        <v>1312</v>
      </c>
      <c r="BM162" s="4">
        <v>45305</v>
      </c>
      <c r="BN162" s="25">
        <v>1221.76</v>
      </c>
    </row>
    <row r="163" spans="1:66" x14ac:dyDescent="0.35">
      <c r="A163">
        <v>1931</v>
      </c>
      <c r="B163" t="s">
        <v>25</v>
      </c>
      <c r="C163" s="1">
        <v>45539</v>
      </c>
      <c r="D163" t="s">
        <v>23</v>
      </c>
      <c r="E163" t="s">
        <v>7</v>
      </c>
      <c r="F163">
        <v>1</v>
      </c>
      <c r="G163">
        <v>1494</v>
      </c>
      <c r="H163">
        <v>1494</v>
      </c>
      <c r="I163">
        <v>0</v>
      </c>
      <c r="J163">
        <v>1494</v>
      </c>
      <c r="K163">
        <v>287</v>
      </c>
      <c r="L163" s="11">
        <v>0.23984953703703704</v>
      </c>
      <c r="M163">
        <f t="shared" si="10"/>
        <v>4</v>
      </c>
      <c r="N163">
        <f t="shared" si="11"/>
        <v>9</v>
      </c>
      <c r="O163">
        <f t="shared" si="12"/>
        <v>2024</v>
      </c>
      <c r="P163" s="4">
        <f t="shared" si="13"/>
        <v>45539</v>
      </c>
      <c r="Q163" t="s">
        <v>1138</v>
      </c>
      <c r="R163" t="s">
        <v>1137</v>
      </c>
      <c r="S163">
        <v>3</v>
      </c>
      <c r="T163" t="s">
        <v>1144</v>
      </c>
      <c r="U163" s="11" t="str">
        <f t="shared" si="14"/>
        <v>05:45:23 AM</v>
      </c>
      <c r="AC163" s="4">
        <v>45320</v>
      </c>
      <c r="AD163" s="25">
        <v>316.23</v>
      </c>
      <c r="BL163" s="2" t="s">
        <v>1313</v>
      </c>
      <c r="BM163" s="4">
        <v>45308</v>
      </c>
      <c r="BN163" s="25">
        <v>8148.1100000000006</v>
      </c>
    </row>
    <row r="164" spans="1:66" x14ac:dyDescent="0.35">
      <c r="A164">
        <v>2312</v>
      </c>
      <c r="B164" t="s">
        <v>0</v>
      </c>
      <c r="C164" s="1">
        <v>45806</v>
      </c>
      <c r="D164" t="s">
        <v>9</v>
      </c>
      <c r="E164" t="s">
        <v>12</v>
      </c>
      <c r="F164">
        <v>4</v>
      </c>
      <c r="G164">
        <v>2171.2800000000002</v>
      </c>
      <c r="H164">
        <v>8685.1200000000008</v>
      </c>
      <c r="I164">
        <v>1303.0999999999999</v>
      </c>
      <c r="J164">
        <v>7382.02</v>
      </c>
      <c r="K164">
        <v>369</v>
      </c>
      <c r="L164" s="11">
        <v>0.10635416666666667</v>
      </c>
      <c r="M164">
        <f t="shared" si="10"/>
        <v>29</v>
      </c>
      <c r="N164">
        <f t="shared" si="11"/>
        <v>5</v>
      </c>
      <c r="O164">
        <f t="shared" si="12"/>
        <v>2025</v>
      </c>
      <c r="P164" s="4">
        <f t="shared" si="13"/>
        <v>45806</v>
      </c>
      <c r="Q164" t="s">
        <v>1136</v>
      </c>
      <c r="R164" t="s">
        <v>1137</v>
      </c>
      <c r="S164">
        <v>1</v>
      </c>
      <c r="T164" t="s">
        <v>1142</v>
      </c>
      <c r="U164" s="11" t="str">
        <f t="shared" si="14"/>
        <v>02:33:09 AM</v>
      </c>
      <c r="AC164" s="4">
        <v>45321</v>
      </c>
      <c r="AD164" s="25">
        <v>7038.4</v>
      </c>
      <c r="BL164" s="2" t="s">
        <v>1314</v>
      </c>
      <c r="BM164" s="4">
        <v>45309</v>
      </c>
      <c r="BN164" s="25">
        <v>7943.1</v>
      </c>
    </row>
    <row r="165" spans="1:66" x14ac:dyDescent="0.35">
      <c r="A165">
        <v>4044</v>
      </c>
      <c r="B165" t="s">
        <v>19</v>
      </c>
      <c r="C165" s="1">
        <v>45198</v>
      </c>
      <c r="D165" t="s">
        <v>11</v>
      </c>
      <c r="E165" t="s">
        <v>38</v>
      </c>
      <c r="F165">
        <v>5</v>
      </c>
      <c r="G165">
        <v>1303.0999999999999</v>
      </c>
      <c r="H165">
        <v>6515.5</v>
      </c>
      <c r="I165">
        <v>1303.0999999999999</v>
      </c>
      <c r="J165">
        <v>5212.3999999999996</v>
      </c>
      <c r="K165">
        <v>79</v>
      </c>
      <c r="L165" s="11">
        <v>0.72624999999999995</v>
      </c>
      <c r="M165">
        <f t="shared" si="10"/>
        <v>29</v>
      </c>
      <c r="N165">
        <f t="shared" si="11"/>
        <v>9</v>
      </c>
      <c r="O165">
        <f t="shared" si="12"/>
        <v>2023</v>
      </c>
      <c r="P165" s="4">
        <f t="shared" si="13"/>
        <v>45198</v>
      </c>
      <c r="Q165" t="s">
        <v>1136</v>
      </c>
      <c r="R165" t="s">
        <v>1135</v>
      </c>
      <c r="S165">
        <v>4</v>
      </c>
      <c r="T165" t="s">
        <v>1144</v>
      </c>
      <c r="U165" s="11" t="str">
        <f t="shared" si="14"/>
        <v>05:25:48 PM</v>
      </c>
      <c r="AC165" s="4">
        <v>45322</v>
      </c>
      <c r="AD165" s="25">
        <v>23561.21</v>
      </c>
      <c r="BL165" s="2" t="s">
        <v>1315</v>
      </c>
      <c r="BM165" s="4">
        <v>45310</v>
      </c>
      <c r="BN165" s="25">
        <v>14761.55</v>
      </c>
    </row>
    <row r="166" spans="1:66" x14ac:dyDescent="0.35">
      <c r="A166">
        <v>2113</v>
      </c>
      <c r="B166" t="s">
        <v>0</v>
      </c>
      <c r="C166" s="1">
        <v>45669</v>
      </c>
      <c r="D166" t="s">
        <v>11</v>
      </c>
      <c r="E166" t="s">
        <v>7</v>
      </c>
      <c r="F166">
        <v>3</v>
      </c>
      <c r="G166">
        <v>358.56</v>
      </c>
      <c r="H166">
        <v>1075.68</v>
      </c>
      <c r="I166">
        <v>107.9</v>
      </c>
      <c r="J166">
        <v>967.78</v>
      </c>
      <c r="K166">
        <v>142</v>
      </c>
      <c r="L166" s="11">
        <v>0.48297453703703702</v>
      </c>
      <c r="M166">
        <f t="shared" si="10"/>
        <v>12</v>
      </c>
      <c r="N166">
        <f t="shared" si="11"/>
        <v>1</v>
      </c>
      <c r="O166">
        <f t="shared" si="12"/>
        <v>2025</v>
      </c>
      <c r="P166" s="4">
        <f t="shared" si="13"/>
        <v>45669</v>
      </c>
      <c r="Q166" t="s">
        <v>1139</v>
      </c>
      <c r="R166" t="s">
        <v>1135</v>
      </c>
      <c r="S166">
        <v>1</v>
      </c>
      <c r="T166" t="s">
        <v>1147</v>
      </c>
      <c r="U166" s="11" t="str">
        <f t="shared" si="14"/>
        <v>11:35:29 AM</v>
      </c>
      <c r="AC166" s="4">
        <v>45323</v>
      </c>
      <c r="AD166" s="25">
        <v>4047.9100000000003</v>
      </c>
      <c r="BL166" s="2" t="s">
        <v>1316</v>
      </c>
      <c r="BM166" s="4">
        <v>45311</v>
      </c>
      <c r="BN166" s="25">
        <v>21995.83</v>
      </c>
    </row>
    <row r="167" spans="1:66" x14ac:dyDescent="0.35">
      <c r="A167">
        <v>4853</v>
      </c>
      <c r="B167" t="s">
        <v>3</v>
      </c>
      <c r="C167" s="1">
        <v>45458</v>
      </c>
      <c r="D167" t="s">
        <v>17</v>
      </c>
      <c r="E167" t="s">
        <v>7</v>
      </c>
      <c r="F167">
        <v>1</v>
      </c>
      <c r="G167">
        <v>1547.95</v>
      </c>
      <c r="H167">
        <v>1547.95</v>
      </c>
      <c r="I167">
        <v>142.76</v>
      </c>
      <c r="J167">
        <v>1405.19</v>
      </c>
      <c r="K167">
        <v>336</v>
      </c>
      <c r="L167" s="11">
        <v>0.8740162037037037</v>
      </c>
      <c r="M167">
        <f t="shared" si="10"/>
        <v>15</v>
      </c>
      <c r="N167">
        <f t="shared" si="11"/>
        <v>6</v>
      </c>
      <c r="O167">
        <f t="shared" si="12"/>
        <v>2024</v>
      </c>
      <c r="P167" s="4">
        <f t="shared" si="13"/>
        <v>45458</v>
      </c>
      <c r="Q167" t="s">
        <v>1138</v>
      </c>
      <c r="R167" t="s">
        <v>1137</v>
      </c>
      <c r="S167">
        <v>5</v>
      </c>
      <c r="T167" t="s">
        <v>1141</v>
      </c>
      <c r="U167" s="11" t="str">
        <f t="shared" si="14"/>
        <v>08:58:35 PM</v>
      </c>
      <c r="AC167" s="4">
        <v>45324</v>
      </c>
      <c r="AD167" s="25">
        <v>8874.36</v>
      </c>
      <c r="BL167" s="2" t="s">
        <v>1317</v>
      </c>
      <c r="BM167" s="4">
        <v>45312</v>
      </c>
      <c r="BN167" s="25">
        <v>9094.31</v>
      </c>
    </row>
    <row r="168" spans="1:66" x14ac:dyDescent="0.35">
      <c r="A168">
        <v>2964</v>
      </c>
      <c r="B168" t="s">
        <v>19</v>
      </c>
      <c r="C168" s="1">
        <v>45836</v>
      </c>
      <c r="D168" t="s">
        <v>11</v>
      </c>
      <c r="E168" t="s">
        <v>12</v>
      </c>
      <c r="F168">
        <v>1</v>
      </c>
      <c r="G168">
        <v>518.75</v>
      </c>
      <c r="H168">
        <v>518.75</v>
      </c>
      <c r="I168">
        <v>130.31</v>
      </c>
      <c r="J168">
        <v>388.44</v>
      </c>
      <c r="K168">
        <v>73</v>
      </c>
      <c r="L168" s="11">
        <v>0.41641203703703705</v>
      </c>
      <c r="M168">
        <f t="shared" si="10"/>
        <v>28</v>
      </c>
      <c r="N168">
        <f t="shared" si="11"/>
        <v>6</v>
      </c>
      <c r="O168">
        <f t="shared" si="12"/>
        <v>2025</v>
      </c>
      <c r="P168" s="4">
        <f t="shared" si="13"/>
        <v>45836</v>
      </c>
      <c r="Q168" t="s">
        <v>1136</v>
      </c>
      <c r="R168" t="s">
        <v>1135</v>
      </c>
      <c r="S168">
        <v>4</v>
      </c>
      <c r="T168" t="s">
        <v>1141</v>
      </c>
      <c r="U168" s="11" t="str">
        <f t="shared" si="14"/>
        <v>09:59:38 AM</v>
      </c>
      <c r="AC168" s="4">
        <v>45325</v>
      </c>
      <c r="AD168" s="25">
        <v>6252.39</v>
      </c>
      <c r="BL168" s="2" t="s">
        <v>1318</v>
      </c>
      <c r="BM168" s="4">
        <v>45313</v>
      </c>
      <c r="BN168" s="25">
        <v>4563.34</v>
      </c>
    </row>
    <row r="169" spans="1:66" x14ac:dyDescent="0.35">
      <c r="A169">
        <v>5033</v>
      </c>
      <c r="B169" t="s">
        <v>20</v>
      </c>
      <c r="C169" s="1">
        <v>45594</v>
      </c>
      <c r="D169" t="s">
        <v>4</v>
      </c>
      <c r="E169" t="s">
        <v>36</v>
      </c>
      <c r="F169">
        <v>2</v>
      </c>
      <c r="G169">
        <v>987.7</v>
      </c>
      <c r="H169">
        <v>1975.4</v>
      </c>
      <c r="I169">
        <v>395.08</v>
      </c>
      <c r="J169">
        <v>1580.32</v>
      </c>
      <c r="K169">
        <v>232</v>
      </c>
      <c r="L169" s="11">
        <v>7.7812500000000007E-2</v>
      </c>
      <c r="M169">
        <f t="shared" si="10"/>
        <v>29</v>
      </c>
      <c r="N169">
        <f t="shared" si="11"/>
        <v>10</v>
      </c>
      <c r="O169">
        <f t="shared" si="12"/>
        <v>2024</v>
      </c>
      <c r="P169" s="4">
        <f t="shared" si="13"/>
        <v>45594</v>
      </c>
      <c r="Q169" t="s">
        <v>1134</v>
      </c>
      <c r="R169" t="s">
        <v>1135</v>
      </c>
      <c r="S169">
        <v>3</v>
      </c>
      <c r="T169" t="s">
        <v>1149</v>
      </c>
      <c r="U169" s="11" t="str">
        <f>TEXT(L169,"hh:mm:ss AM/PM")</f>
        <v>01:52:03 AM</v>
      </c>
      <c r="AC169" s="4">
        <v>45326</v>
      </c>
      <c r="AD169" s="25">
        <v>4506.07</v>
      </c>
      <c r="BL169" s="2" t="s">
        <v>1319</v>
      </c>
      <c r="BM169" s="4">
        <v>45314</v>
      </c>
      <c r="BN169" s="25">
        <v>6670.71</v>
      </c>
    </row>
    <row r="170" spans="1:66" x14ac:dyDescent="0.35">
      <c r="A170">
        <v>1651</v>
      </c>
      <c r="B170" t="s">
        <v>25</v>
      </c>
      <c r="C170" s="1">
        <v>45626</v>
      </c>
      <c r="D170" t="s">
        <v>24</v>
      </c>
      <c r="E170" t="s">
        <v>10</v>
      </c>
      <c r="F170">
        <v>5</v>
      </c>
      <c r="G170">
        <v>1517.24</v>
      </c>
      <c r="H170">
        <v>7586.2</v>
      </c>
      <c r="I170">
        <v>1517.24</v>
      </c>
      <c r="J170">
        <v>6068.96</v>
      </c>
      <c r="K170">
        <v>452</v>
      </c>
      <c r="L170" s="11">
        <v>0.43190972222222224</v>
      </c>
      <c r="M170">
        <f t="shared" si="10"/>
        <v>30</v>
      </c>
      <c r="N170">
        <f t="shared" si="11"/>
        <v>11</v>
      </c>
      <c r="O170">
        <f t="shared" si="12"/>
        <v>2024</v>
      </c>
      <c r="P170" s="4">
        <f t="shared" si="13"/>
        <v>45626</v>
      </c>
      <c r="Q170" t="s">
        <v>1134</v>
      </c>
      <c r="R170" t="s">
        <v>1137</v>
      </c>
      <c r="S170">
        <v>5</v>
      </c>
      <c r="T170" t="s">
        <v>1141</v>
      </c>
      <c r="U170" s="11" t="str">
        <f t="shared" ref="U170:U233" si="15">TEXT(L170,"hh:mm:ss AM/PM")</f>
        <v>10:21:57 AM</v>
      </c>
      <c r="AC170" s="4">
        <v>45327</v>
      </c>
      <c r="AD170" s="25">
        <v>10432.27</v>
      </c>
      <c r="BL170" s="2" t="s">
        <v>1320</v>
      </c>
      <c r="BM170" s="4">
        <v>45315</v>
      </c>
      <c r="BN170" s="25">
        <v>2974.72</v>
      </c>
    </row>
    <row r="171" spans="1:66" x14ac:dyDescent="0.35">
      <c r="A171">
        <v>2343</v>
      </c>
      <c r="B171" t="s">
        <v>8</v>
      </c>
      <c r="C171" s="1">
        <v>45470</v>
      </c>
      <c r="D171" t="s">
        <v>17</v>
      </c>
      <c r="E171" t="s">
        <v>29</v>
      </c>
      <c r="F171">
        <v>1</v>
      </c>
      <c r="G171">
        <v>737.04</v>
      </c>
      <c r="H171">
        <v>737.04</v>
      </c>
      <c r="I171">
        <v>73.87</v>
      </c>
      <c r="J171">
        <v>663.17</v>
      </c>
      <c r="K171">
        <v>338</v>
      </c>
      <c r="L171" s="11">
        <v>0.31091435185185184</v>
      </c>
      <c r="M171">
        <f t="shared" si="10"/>
        <v>27</v>
      </c>
      <c r="N171">
        <f t="shared" si="11"/>
        <v>6</v>
      </c>
      <c r="O171">
        <f t="shared" si="12"/>
        <v>2024</v>
      </c>
      <c r="P171" s="4">
        <f t="shared" si="13"/>
        <v>45470</v>
      </c>
      <c r="Q171" t="s">
        <v>1139</v>
      </c>
      <c r="R171" t="s">
        <v>1135</v>
      </c>
      <c r="S171">
        <v>4</v>
      </c>
      <c r="T171" t="s">
        <v>1146</v>
      </c>
      <c r="U171" s="11" t="str">
        <f t="shared" si="15"/>
        <v>07:27:43 AM</v>
      </c>
      <c r="AC171" s="4">
        <v>45328</v>
      </c>
      <c r="AD171" s="25">
        <v>5410.77</v>
      </c>
      <c r="BL171" s="2" t="s">
        <v>1321</v>
      </c>
      <c r="BM171" s="4">
        <v>45316</v>
      </c>
      <c r="BN171" s="25">
        <v>2232.6999999999998</v>
      </c>
    </row>
    <row r="172" spans="1:66" x14ac:dyDescent="0.35">
      <c r="A172">
        <v>9565</v>
      </c>
      <c r="B172" t="s">
        <v>15</v>
      </c>
      <c r="C172" s="1">
        <v>45390</v>
      </c>
      <c r="D172" t="s">
        <v>9</v>
      </c>
      <c r="E172" t="s">
        <v>2</v>
      </c>
      <c r="F172">
        <v>2</v>
      </c>
      <c r="G172">
        <v>1899.04</v>
      </c>
      <c r="H172">
        <v>3798.08</v>
      </c>
      <c r="I172">
        <v>380.14</v>
      </c>
      <c r="J172">
        <v>3417.94</v>
      </c>
      <c r="K172">
        <v>58</v>
      </c>
      <c r="L172" s="11">
        <v>0.31387731481481479</v>
      </c>
      <c r="M172">
        <f t="shared" si="10"/>
        <v>8</v>
      </c>
      <c r="N172">
        <f t="shared" si="11"/>
        <v>4</v>
      </c>
      <c r="O172">
        <f t="shared" si="12"/>
        <v>2024</v>
      </c>
      <c r="P172" s="4">
        <f t="shared" si="13"/>
        <v>45390</v>
      </c>
      <c r="Q172" t="s">
        <v>1136</v>
      </c>
      <c r="R172" t="s">
        <v>1135</v>
      </c>
      <c r="S172">
        <v>3</v>
      </c>
      <c r="T172" t="s">
        <v>1145</v>
      </c>
      <c r="U172" s="11" t="str">
        <f t="shared" si="15"/>
        <v>07:31:59 AM</v>
      </c>
      <c r="AC172" s="4">
        <v>45329</v>
      </c>
      <c r="AD172" s="25">
        <v>14234.5</v>
      </c>
      <c r="BL172" s="2" t="s">
        <v>1322</v>
      </c>
      <c r="BM172" s="4">
        <v>45317</v>
      </c>
      <c r="BN172" s="25">
        <v>21404.04</v>
      </c>
    </row>
    <row r="173" spans="1:66" x14ac:dyDescent="0.35">
      <c r="A173">
        <v>5272</v>
      </c>
      <c r="B173" t="s">
        <v>0</v>
      </c>
      <c r="C173" s="1">
        <v>45303</v>
      </c>
      <c r="D173" t="s">
        <v>24</v>
      </c>
      <c r="E173" t="s">
        <v>37</v>
      </c>
      <c r="F173">
        <v>5</v>
      </c>
      <c r="G173">
        <v>1688.22</v>
      </c>
      <c r="H173">
        <v>8441.1</v>
      </c>
      <c r="I173">
        <v>844.11</v>
      </c>
      <c r="J173">
        <v>7596.99</v>
      </c>
      <c r="K173">
        <v>23</v>
      </c>
      <c r="L173" s="11">
        <v>0.4384837962962963</v>
      </c>
      <c r="M173">
        <f t="shared" si="10"/>
        <v>12</v>
      </c>
      <c r="N173">
        <f t="shared" si="11"/>
        <v>1</v>
      </c>
      <c r="O173">
        <f t="shared" si="12"/>
        <v>2024</v>
      </c>
      <c r="P173" s="4">
        <f t="shared" si="13"/>
        <v>45303</v>
      </c>
      <c r="Q173" t="s">
        <v>1138</v>
      </c>
      <c r="R173" t="s">
        <v>1135</v>
      </c>
      <c r="S173">
        <v>1</v>
      </c>
      <c r="T173" t="s">
        <v>1145</v>
      </c>
      <c r="U173" s="11" t="str">
        <f t="shared" si="15"/>
        <v>10:31:25 AM</v>
      </c>
      <c r="AC173" s="4">
        <v>45330</v>
      </c>
      <c r="AD173" s="25">
        <v>28926.329999999998</v>
      </c>
      <c r="BL173" s="2" t="s">
        <v>1323</v>
      </c>
      <c r="BM173" s="4">
        <v>45318</v>
      </c>
      <c r="BN173" s="25">
        <v>1824.34</v>
      </c>
    </row>
    <row r="174" spans="1:66" x14ac:dyDescent="0.35">
      <c r="A174">
        <v>6147</v>
      </c>
      <c r="B174" t="s">
        <v>20</v>
      </c>
      <c r="C174" s="1">
        <v>45330</v>
      </c>
      <c r="D174" t="s">
        <v>1</v>
      </c>
      <c r="E174" t="s">
        <v>33</v>
      </c>
      <c r="F174">
        <v>3</v>
      </c>
      <c r="G174">
        <v>2357.1999999999998</v>
      </c>
      <c r="H174">
        <v>7071.6</v>
      </c>
      <c r="I174">
        <v>1060.74</v>
      </c>
      <c r="J174">
        <v>6010.86</v>
      </c>
      <c r="K174">
        <v>392</v>
      </c>
      <c r="L174" s="11">
        <v>0.46259259259259261</v>
      </c>
      <c r="M174">
        <f t="shared" si="10"/>
        <v>8</v>
      </c>
      <c r="N174">
        <f t="shared" si="11"/>
        <v>2</v>
      </c>
      <c r="O174">
        <f t="shared" si="12"/>
        <v>2024</v>
      </c>
      <c r="P174" s="4">
        <f t="shared" si="13"/>
        <v>45330</v>
      </c>
      <c r="Q174" t="s">
        <v>1134</v>
      </c>
      <c r="R174" t="s">
        <v>1135</v>
      </c>
      <c r="S174">
        <v>4</v>
      </c>
      <c r="T174" t="s">
        <v>1149</v>
      </c>
      <c r="U174" s="11" t="str">
        <f t="shared" si="15"/>
        <v>11:06:08 AM</v>
      </c>
      <c r="AC174" s="4">
        <v>45331</v>
      </c>
      <c r="AD174" s="25">
        <v>5451.4400000000005</v>
      </c>
      <c r="BL174" s="2" t="s">
        <v>1324</v>
      </c>
      <c r="BM174" s="4">
        <v>45319</v>
      </c>
      <c r="BN174" s="25">
        <v>19729.099999999999</v>
      </c>
    </row>
    <row r="175" spans="1:66" x14ac:dyDescent="0.35">
      <c r="A175">
        <v>5351</v>
      </c>
      <c r="B175" t="s">
        <v>19</v>
      </c>
      <c r="C175" s="1">
        <v>45452</v>
      </c>
      <c r="D175" t="s">
        <v>11</v>
      </c>
      <c r="E175" t="s">
        <v>38</v>
      </c>
      <c r="F175">
        <v>1</v>
      </c>
      <c r="G175">
        <v>1279.03</v>
      </c>
      <c r="H175">
        <v>1279.03</v>
      </c>
      <c r="I175">
        <v>255.64</v>
      </c>
      <c r="J175">
        <v>1023.39</v>
      </c>
      <c r="K175">
        <v>220</v>
      </c>
      <c r="L175" s="11">
        <v>0.12255787037037037</v>
      </c>
      <c r="M175">
        <f t="shared" si="10"/>
        <v>9</v>
      </c>
      <c r="N175">
        <f t="shared" si="11"/>
        <v>6</v>
      </c>
      <c r="O175">
        <f t="shared" si="12"/>
        <v>2024</v>
      </c>
      <c r="P175" s="4">
        <f t="shared" si="13"/>
        <v>45452</v>
      </c>
      <c r="Q175" t="s">
        <v>1136</v>
      </c>
      <c r="R175" t="s">
        <v>1135</v>
      </c>
      <c r="S175">
        <v>3</v>
      </c>
      <c r="T175" t="s">
        <v>1146</v>
      </c>
      <c r="U175" s="11" t="str">
        <f t="shared" si="15"/>
        <v>02:56:29 AM</v>
      </c>
      <c r="AC175" s="4">
        <v>45332</v>
      </c>
      <c r="AD175" s="25">
        <v>3915.94</v>
      </c>
      <c r="BL175" s="2" t="s">
        <v>1325</v>
      </c>
      <c r="BM175" s="4">
        <v>45320</v>
      </c>
      <c r="BN175" s="25">
        <v>316.23</v>
      </c>
    </row>
    <row r="176" spans="1:66" x14ac:dyDescent="0.35">
      <c r="A176">
        <v>3144</v>
      </c>
      <c r="B176" t="s">
        <v>13</v>
      </c>
      <c r="C176" s="1">
        <v>45666</v>
      </c>
      <c r="D176" t="s">
        <v>27</v>
      </c>
      <c r="E176" t="s">
        <v>14</v>
      </c>
      <c r="F176">
        <v>5</v>
      </c>
      <c r="G176">
        <v>1426.77</v>
      </c>
      <c r="H176">
        <v>7133.85</v>
      </c>
      <c r="I176">
        <v>214.97</v>
      </c>
      <c r="J176">
        <v>6918.88</v>
      </c>
      <c r="K176">
        <v>342</v>
      </c>
      <c r="L176" s="11">
        <v>0.28031250000000002</v>
      </c>
      <c r="M176">
        <f t="shared" si="10"/>
        <v>9</v>
      </c>
      <c r="N176">
        <f t="shared" si="11"/>
        <v>1</v>
      </c>
      <c r="O176">
        <f t="shared" si="12"/>
        <v>2025</v>
      </c>
      <c r="P176" s="4">
        <f t="shared" si="13"/>
        <v>45666</v>
      </c>
      <c r="Q176" t="s">
        <v>1136</v>
      </c>
      <c r="R176" t="s">
        <v>1137</v>
      </c>
      <c r="S176">
        <v>1</v>
      </c>
      <c r="T176" t="s">
        <v>1145</v>
      </c>
      <c r="U176" s="11" t="str">
        <f t="shared" si="15"/>
        <v>06:43:39 AM</v>
      </c>
      <c r="AC176" s="4">
        <v>45333</v>
      </c>
      <c r="AD176" s="25">
        <v>10084.5</v>
      </c>
      <c r="BL176" s="2" t="s">
        <v>1326</v>
      </c>
      <c r="BM176" s="4">
        <v>45321</v>
      </c>
      <c r="BN176" s="25">
        <v>7038.4</v>
      </c>
    </row>
    <row r="177" spans="1:66" x14ac:dyDescent="0.35">
      <c r="A177">
        <v>5915</v>
      </c>
      <c r="B177" t="s">
        <v>20</v>
      </c>
      <c r="C177" s="1">
        <v>45500</v>
      </c>
      <c r="D177" t="s">
        <v>9</v>
      </c>
      <c r="E177" t="s">
        <v>28</v>
      </c>
      <c r="F177">
        <v>4</v>
      </c>
      <c r="G177">
        <v>2299.1</v>
      </c>
      <c r="H177">
        <v>9196.4</v>
      </c>
      <c r="I177">
        <v>225.76</v>
      </c>
      <c r="J177">
        <v>8970.64</v>
      </c>
      <c r="K177">
        <v>441</v>
      </c>
      <c r="L177" s="11">
        <v>0.89627314814814818</v>
      </c>
      <c r="M177">
        <f t="shared" si="10"/>
        <v>27</v>
      </c>
      <c r="N177">
        <f t="shared" si="11"/>
        <v>7</v>
      </c>
      <c r="O177">
        <f t="shared" si="12"/>
        <v>2024</v>
      </c>
      <c r="P177" s="4">
        <f t="shared" si="13"/>
        <v>45500</v>
      </c>
      <c r="Q177" t="s">
        <v>1139</v>
      </c>
      <c r="R177" t="s">
        <v>1137</v>
      </c>
      <c r="S177">
        <v>5</v>
      </c>
      <c r="T177" t="s">
        <v>1143</v>
      </c>
      <c r="U177" s="11" t="str">
        <f t="shared" si="15"/>
        <v>09:30:38 PM</v>
      </c>
      <c r="AC177" s="4">
        <v>45334</v>
      </c>
      <c r="AD177" s="25">
        <v>26848.84</v>
      </c>
      <c r="BL177" s="2" t="s">
        <v>1327</v>
      </c>
      <c r="BM177" s="4">
        <v>45322</v>
      </c>
      <c r="BN177" s="25">
        <v>23561.21</v>
      </c>
    </row>
    <row r="178" spans="1:66" x14ac:dyDescent="0.35">
      <c r="A178">
        <v>6180</v>
      </c>
      <c r="B178" t="s">
        <v>13</v>
      </c>
      <c r="C178" s="1">
        <v>45866</v>
      </c>
      <c r="D178" t="s">
        <v>16</v>
      </c>
      <c r="E178" t="s">
        <v>5</v>
      </c>
      <c r="F178">
        <v>3</v>
      </c>
      <c r="G178">
        <v>359.39</v>
      </c>
      <c r="H178">
        <v>1078.17</v>
      </c>
      <c r="I178">
        <v>215.8</v>
      </c>
      <c r="J178">
        <v>862.37</v>
      </c>
      <c r="K178">
        <v>10</v>
      </c>
      <c r="L178" s="11">
        <v>0.12243055555555556</v>
      </c>
      <c r="M178">
        <f t="shared" si="10"/>
        <v>28</v>
      </c>
      <c r="N178">
        <f t="shared" si="11"/>
        <v>7</v>
      </c>
      <c r="O178">
        <f t="shared" si="12"/>
        <v>2025</v>
      </c>
      <c r="P178" s="4">
        <f t="shared" si="13"/>
        <v>45866</v>
      </c>
      <c r="Q178" t="s">
        <v>1134</v>
      </c>
      <c r="R178" t="s">
        <v>1137</v>
      </c>
      <c r="S178">
        <v>5</v>
      </c>
      <c r="T178" t="s">
        <v>1146</v>
      </c>
      <c r="U178" s="11" t="str">
        <f t="shared" si="15"/>
        <v>02:56:18 AM</v>
      </c>
      <c r="AC178" s="4">
        <v>45335</v>
      </c>
      <c r="AD178" s="25">
        <v>6976.1500000000005</v>
      </c>
      <c r="BL178" s="2" t="s">
        <v>1328</v>
      </c>
      <c r="BM178" s="4">
        <v>45323</v>
      </c>
      <c r="BN178" s="25">
        <v>4047.9100000000003</v>
      </c>
    </row>
    <row r="179" spans="1:66" x14ac:dyDescent="0.35">
      <c r="A179">
        <v>2188</v>
      </c>
      <c r="B179" t="s">
        <v>15</v>
      </c>
      <c r="C179" s="1">
        <v>45152</v>
      </c>
      <c r="D179" t="s">
        <v>11</v>
      </c>
      <c r="E179" t="s">
        <v>32</v>
      </c>
      <c r="F179">
        <v>4</v>
      </c>
      <c r="G179">
        <v>2114.84</v>
      </c>
      <c r="H179">
        <v>8459.36</v>
      </c>
      <c r="I179">
        <v>215.8</v>
      </c>
      <c r="J179">
        <v>8243.56</v>
      </c>
      <c r="K179">
        <v>124</v>
      </c>
      <c r="L179" s="11">
        <v>0.82496527777777773</v>
      </c>
      <c r="M179">
        <f t="shared" si="10"/>
        <v>14</v>
      </c>
      <c r="N179">
        <f t="shared" si="11"/>
        <v>8</v>
      </c>
      <c r="O179">
        <f t="shared" si="12"/>
        <v>2023</v>
      </c>
      <c r="P179" s="4">
        <f t="shared" si="13"/>
        <v>45152</v>
      </c>
      <c r="Q179" t="s">
        <v>1134</v>
      </c>
      <c r="R179" t="s">
        <v>1135</v>
      </c>
      <c r="S179">
        <v>5</v>
      </c>
      <c r="T179" t="s">
        <v>1147</v>
      </c>
      <c r="U179" s="11" t="str">
        <f t="shared" si="15"/>
        <v>07:47:57 PM</v>
      </c>
      <c r="AC179" s="4">
        <v>45336</v>
      </c>
      <c r="AD179" s="25">
        <v>5217.38</v>
      </c>
      <c r="BL179" s="2" t="s">
        <v>1329</v>
      </c>
      <c r="BM179" s="4">
        <v>45324</v>
      </c>
      <c r="BN179" s="25">
        <v>8874.36</v>
      </c>
    </row>
    <row r="180" spans="1:66" x14ac:dyDescent="0.35">
      <c r="A180">
        <v>8508</v>
      </c>
      <c r="B180" t="s">
        <v>0</v>
      </c>
      <c r="C180" s="1">
        <v>45627</v>
      </c>
      <c r="D180" t="s">
        <v>9</v>
      </c>
      <c r="E180" t="s">
        <v>26</v>
      </c>
      <c r="F180">
        <v>3</v>
      </c>
      <c r="G180">
        <v>615.86</v>
      </c>
      <c r="H180">
        <v>1847.58</v>
      </c>
      <c r="I180">
        <v>252.32</v>
      </c>
      <c r="J180">
        <v>1595.26</v>
      </c>
      <c r="K180">
        <v>398</v>
      </c>
      <c r="L180" s="11">
        <v>0.23366898148148149</v>
      </c>
      <c r="M180">
        <f t="shared" si="10"/>
        <v>1</v>
      </c>
      <c r="N180">
        <f t="shared" si="11"/>
        <v>12</v>
      </c>
      <c r="O180">
        <f t="shared" si="12"/>
        <v>2024</v>
      </c>
      <c r="P180" s="4">
        <f t="shared" si="13"/>
        <v>45627</v>
      </c>
      <c r="Q180" t="s">
        <v>1138</v>
      </c>
      <c r="R180" t="s">
        <v>1137</v>
      </c>
      <c r="S180">
        <v>5</v>
      </c>
      <c r="T180" t="s">
        <v>1148</v>
      </c>
      <c r="U180" s="11" t="str">
        <f t="shared" si="15"/>
        <v>05:36:29 AM</v>
      </c>
      <c r="AC180" s="4">
        <v>45337</v>
      </c>
      <c r="AD180" s="25">
        <v>27877.21</v>
      </c>
      <c r="BL180" s="2" t="s">
        <v>1330</v>
      </c>
      <c r="BM180" s="4">
        <v>45325</v>
      </c>
      <c r="BN180" s="25">
        <v>6252.39</v>
      </c>
    </row>
    <row r="181" spans="1:66" x14ac:dyDescent="0.35">
      <c r="A181">
        <v>2638</v>
      </c>
      <c r="B181" t="s">
        <v>0</v>
      </c>
      <c r="C181" s="1">
        <v>45201</v>
      </c>
      <c r="D181" t="s">
        <v>27</v>
      </c>
      <c r="E181" t="s">
        <v>36</v>
      </c>
      <c r="F181">
        <v>2</v>
      </c>
      <c r="G181">
        <v>2262.58</v>
      </c>
      <c r="H181">
        <v>4525.16</v>
      </c>
      <c r="I181">
        <v>0</v>
      </c>
      <c r="J181">
        <v>4525.16</v>
      </c>
      <c r="K181">
        <v>178</v>
      </c>
      <c r="L181" s="11">
        <v>0.73075231481481484</v>
      </c>
      <c r="M181">
        <f t="shared" si="10"/>
        <v>2</v>
      </c>
      <c r="N181">
        <f t="shared" si="11"/>
        <v>10</v>
      </c>
      <c r="O181">
        <f t="shared" si="12"/>
        <v>2023</v>
      </c>
      <c r="P181" s="4">
        <f t="shared" si="13"/>
        <v>45201</v>
      </c>
      <c r="Q181" t="s">
        <v>1134</v>
      </c>
      <c r="R181" t="s">
        <v>1135</v>
      </c>
      <c r="S181">
        <v>2</v>
      </c>
      <c r="T181" t="s">
        <v>1144</v>
      </c>
      <c r="U181" s="11" t="str">
        <f t="shared" si="15"/>
        <v>05:32:17 PM</v>
      </c>
      <c r="AC181" s="4">
        <v>45338</v>
      </c>
      <c r="AD181" s="25">
        <v>8539.0399999999991</v>
      </c>
      <c r="BL181" s="2" t="s">
        <v>1331</v>
      </c>
      <c r="BM181" s="4">
        <v>45326</v>
      </c>
      <c r="BN181" s="25">
        <v>4506.07</v>
      </c>
    </row>
    <row r="182" spans="1:66" x14ac:dyDescent="0.35">
      <c r="A182">
        <v>9808</v>
      </c>
      <c r="B182" t="s">
        <v>8</v>
      </c>
      <c r="C182" s="1">
        <v>45310</v>
      </c>
      <c r="D182" t="s">
        <v>6</v>
      </c>
      <c r="E182" t="s">
        <v>38</v>
      </c>
      <c r="F182">
        <v>2</v>
      </c>
      <c r="G182">
        <v>698.03</v>
      </c>
      <c r="H182">
        <v>1396.06</v>
      </c>
      <c r="I182">
        <v>0</v>
      </c>
      <c r="J182">
        <v>1396.06</v>
      </c>
      <c r="K182">
        <v>88</v>
      </c>
      <c r="L182" s="11">
        <v>0.60621527777777773</v>
      </c>
      <c r="M182">
        <f t="shared" si="10"/>
        <v>19</v>
      </c>
      <c r="N182">
        <f t="shared" si="11"/>
        <v>1</v>
      </c>
      <c r="O182">
        <f t="shared" si="12"/>
        <v>2024</v>
      </c>
      <c r="P182" s="4">
        <f t="shared" si="13"/>
        <v>45310</v>
      </c>
      <c r="Q182" t="s">
        <v>1138</v>
      </c>
      <c r="R182" t="s">
        <v>1135</v>
      </c>
      <c r="S182">
        <v>4</v>
      </c>
      <c r="T182" t="s">
        <v>1146</v>
      </c>
      <c r="U182" s="11" t="str">
        <f t="shared" si="15"/>
        <v>02:32:57 PM</v>
      </c>
      <c r="AC182" s="4">
        <v>45339</v>
      </c>
      <c r="AD182" s="25">
        <v>10871.34</v>
      </c>
      <c r="BL182" s="2" t="s">
        <v>1332</v>
      </c>
      <c r="BM182" s="4">
        <v>45327</v>
      </c>
      <c r="BN182" s="25">
        <v>10432.27</v>
      </c>
    </row>
    <row r="183" spans="1:66" x14ac:dyDescent="0.35">
      <c r="A183">
        <v>9288</v>
      </c>
      <c r="B183" t="s">
        <v>0</v>
      </c>
      <c r="C183" s="1">
        <v>45350</v>
      </c>
      <c r="D183" t="s">
        <v>23</v>
      </c>
      <c r="E183" t="s">
        <v>37</v>
      </c>
      <c r="F183">
        <v>4</v>
      </c>
      <c r="G183">
        <v>1898.21</v>
      </c>
      <c r="H183">
        <v>7592.84</v>
      </c>
      <c r="I183">
        <v>0</v>
      </c>
      <c r="J183">
        <v>7592.84</v>
      </c>
      <c r="K183">
        <v>389</v>
      </c>
      <c r="L183" s="11">
        <v>0.95215277777777774</v>
      </c>
      <c r="M183">
        <f t="shared" si="10"/>
        <v>28</v>
      </c>
      <c r="N183">
        <f t="shared" si="11"/>
        <v>2</v>
      </c>
      <c r="O183">
        <f t="shared" si="12"/>
        <v>2024</v>
      </c>
      <c r="P183" s="4">
        <f t="shared" si="13"/>
        <v>45350</v>
      </c>
      <c r="Q183" t="s">
        <v>1134</v>
      </c>
      <c r="R183" t="s">
        <v>1135</v>
      </c>
      <c r="S183">
        <v>4</v>
      </c>
      <c r="T183" t="s">
        <v>1144</v>
      </c>
      <c r="U183" s="11" t="str">
        <f t="shared" si="15"/>
        <v>10:51:06 PM</v>
      </c>
      <c r="AC183" s="4">
        <v>45340</v>
      </c>
      <c r="AD183" s="25">
        <v>17449.919999999998</v>
      </c>
      <c r="BL183" s="2" t="s">
        <v>1333</v>
      </c>
      <c r="BM183" s="4">
        <v>45328</v>
      </c>
      <c r="BN183" s="25">
        <v>5410.77</v>
      </c>
    </row>
    <row r="184" spans="1:66" x14ac:dyDescent="0.35">
      <c r="A184">
        <v>3170</v>
      </c>
      <c r="B184" t="s">
        <v>25</v>
      </c>
      <c r="C184" s="1">
        <v>45869</v>
      </c>
      <c r="D184" t="s">
        <v>16</v>
      </c>
      <c r="E184" t="s">
        <v>10</v>
      </c>
      <c r="F184">
        <v>2</v>
      </c>
      <c r="G184">
        <v>1140.42</v>
      </c>
      <c r="H184">
        <v>2280.84</v>
      </c>
      <c r="I184">
        <v>0</v>
      </c>
      <c r="J184">
        <v>2280.84</v>
      </c>
      <c r="K184">
        <v>240</v>
      </c>
      <c r="L184" s="11">
        <v>0.51027777777777783</v>
      </c>
      <c r="M184">
        <f t="shared" si="10"/>
        <v>31</v>
      </c>
      <c r="N184">
        <f t="shared" si="11"/>
        <v>7</v>
      </c>
      <c r="O184">
        <f t="shared" si="12"/>
        <v>2025</v>
      </c>
      <c r="P184" s="4">
        <f t="shared" si="13"/>
        <v>45869</v>
      </c>
      <c r="Q184" t="s">
        <v>1139</v>
      </c>
      <c r="R184" t="s">
        <v>1135</v>
      </c>
      <c r="S184">
        <v>2</v>
      </c>
      <c r="T184" t="s">
        <v>1143</v>
      </c>
      <c r="U184" s="11" t="str">
        <f t="shared" si="15"/>
        <v>12:14:48 PM</v>
      </c>
      <c r="AC184" s="4">
        <v>45341</v>
      </c>
      <c r="AD184" s="25">
        <v>11810.9</v>
      </c>
      <c r="BL184" s="2" t="s">
        <v>1334</v>
      </c>
      <c r="BM184" s="4">
        <v>45329</v>
      </c>
      <c r="BN184" s="25">
        <v>14234.5</v>
      </c>
    </row>
    <row r="185" spans="1:66" x14ac:dyDescent="0.35">
      <c r="A185">
        <v>6718</v>
      </c>
      <c r="B185" t="s">
        <v>19</v>
      </c>
      <c r="C185" s="1">
        <v>45829</v>
      </c>
      <c r="D185" t="s">
        <v>24</v>
      </c>
      <c r="E185" t="s">
        <v>29</v>
      </c>
      <c r="F185">
        <v>3</v>
      </c>
      <c r="G185">
        <v>1303.0999999999999</v>
      </c>
      <c r="H185">
        <v>3909.3</v>
      </c>
      <c r="I185">
        <v>390.93</v>
      </c>
      <c r="J185">
        <v>3518.37</v>
      </c>
      <c r="K185">
        <v>158</v>
      </c>
      <c r="L185" s="11">
        <v>0.91613425925925929</v>
      </c>
      <c r="M185">
        <f t="shared" si="10"/>
        <v>21</v>
      </c>
      <c r="N185">
        <f t="shared" si="11"/>
        <v>6</v>
      </c>
      <c r="O185">
        <f t="shared" si="12"/>
        <v>2025</v>
      </c>
      <c r="P185" s="4">
        <f t="shared" si="13"/>
        <v>45829</v>
      </c>
      <c r="Q185" t="s">
        <v>1134</v>
      </c>
      <c r="R185" t="s">
        <v>1137</v>
      </c>
      <c r="S185">
        <v>3</v>
      </c>
      <c r="T185" t="s">
        <v>1148</v>
      </c>
      <c r="U185" s="11" t="str">
        <f t="shared" si="15"/>
        <v>09:59:14 PM</v>
      </c>
      <c r="AC185" s="4">
        <v>45342</v>
      </c>
      <c r="AD185" s="25">
        <v>2149.6999999999998</v>
      </c>
      <c r="BL185" s="2" t="s">
        <v>1335</v>
      </c>
      <c r="BM185" s="4">
        <v>45330</v>
      </c>
      <c r="BN185" s="25">
        <v>28926.329999999998</v>
      </c>
    </row>
    <row r="186" spans="1:66" x14ac:dyDescent="0.35">
      <c r="A186">
        <v>2127</v>
      </c>
      <c r="B186" t="s">
        <v>20</v>
      </c>
      <c r="C186" s="1">
        <v>45827</v>
      </c>
      <c r="D186" t="s">
        <v>1</v>
      </c>
      <c r="E186" t="s">
        <v>12</v>
      </c>
      <c r="F186">
        <v>3</v>
      </c>
      <c r="G186">
        <v>267.26</v>
      </c>
      <c r="H186">
        <v>801.78</v>
      </c>
      <c r="I186">
        <v>280.54000000000002</v>
      </c>
      <c r="J186">
        <v>521.24</v>
      </c>
      <c r="K186">
        <v>442</v>
      </c>
      <c r="L186" s="11">
        <v>0.50629629629629624</v>
      </c>
      <c r="M186">
        <f t="shared" si="10"/>
        <v>19</v>
      </c>
      <c r="N186">
        <f t="shared" si="11"/>
        <v>6</v>
      </c>
      <c r="O186">
        <f t="shared" si="12"/>
        <v>2025</v>
      </c>
      <c r="P186" s="4">
        <f t="shared" si="13"/>
        <v>45827</v>
      </c>
      <c r="Q186" t="s">
        <v>1138</v>
      </c>
      <c r="R186" t="s">
        <v>1137</v>
      </c>
      <c r="S186">
        <v>3</v>
      </c>
      <c r="T186" t="s">
        <v>1150</v>
      </c>
      <c r="U186" s="11" t="str">
        <f t="shared" si="15"/>
        <v>12:09:04 PM</v>
      </c>
      <c r="AC186" s="4">
        <v>45343</v>
      </c>
      <c r="AD186" s="25">
        <v>230.74</v>
      </c>
      <c r="BL186" s="2" t="s">
        <v>1336</v>
      </c>
      <c r="BM186" s="4">
        <v>45331</v>
      </c>
      <c r="BN186" s="25">
        <v>5451.4400000000005</v>
      </c>
    </row>
    <row r="187" spans="1:66" x14ac:dyDescent="0.35">
      <c r="A187">
        <v>5002</v>
      </c>
      <c r="B187" t="s">
        <v>13</v>
      </c>
      <c r="C187" s="1">
        <v>45432</v>
      </c>
      <c r="D187" t="s">
        <v>34</v>
      </c>
      <c r="E187" t="s">
        <v>7</v>
      </c>
      <c r="F187">
        <v>1</v>
      </c>
      <c r="G187">
        <v>1164.49</v>
      </c>
      <c r="H187">
        <v>1164.49</v>
      </c>
      <c r="I187">
        <v>174.3</v>
      </c>
      <c r="J187">
        <v>990.19</v>
      </c>
      <c r="K187">
        <v>414</v>
      </c>
      <c r="L187" s="11">
        <v>0.4548726851851852</v>
      </c>
      <c r="M187">
        <f t="shared" si="10"/>
        <v>20</v>
      </c>
      <c r="N187">
        <f t="shared" si="11"/>
        <v>5</v>
      </c>
      <c r="O187">
        <f t="shared" si="12"/>
        <v>2024</v>
      </c>
      <c r="P187" s="4">
        <f t="shared" si="13"/>
        <v>45432</v>
      </c>
      <c r="Q187" t="s">
        <v>1138</v>
      </c>
      <c r="R187" t="s">
        <v>1135</v>
      </c>
      <c r="S187">
        <v>5</v>
      </c>
      <c r="T187" t="s">
        <v>1149</v>
      </c>
      <c r="U187" s="11" t="str">
        <f t="shared" si="15"/>
        <v>10:55:01 AM</v>
      </c>
      <c r="AC187" s="4">
        <v>45344</v>
      </c>
      <c r="AD187" s="25">
        <v>12292.3</v>
      </c>
      <c r="BL187" s="2" t="s">
        <v>1337</v>
      </c>
      <c r="BM187" s="4">
        <v>45332</v>
      </c>
      <c r="BN187" s="25">
        <v>3915.94</v>
      </c>
    </row>
    <row r="188" spans="1:66" x14ac:dyDescent="0.35">
      <c r="A188">
        <v>5669</v>
      </c>
      <c r="B188" t="s">
        <v>15</v>
      </c>
      <c r="C188" s="1">
        <v>45267</v>
      </c>
      <c r="D188" t="s">
        <v>27</v>
      </c>
      <c r="E188" t="s">
        <v>30</v>
      </c>
      <c r="F188">
        <v>1</v>
      </c>
      <c r="G188">
        <v>1166.98</v>
      </c>
      <c r="H188">
        <v>1166.98</v>
      </c>
      <c r="I188">
        <v>0</v>
      </c>
      <c r="J188">
        <v>1166.98</v>
      </c>
      <c r="K188">
        <v>415</v>
      </c>
      <c r="L188" s="11">
        <v>0.96175925925925931</v>
      </c>
      <c r="M188">
        <f t="shared" si="10"/>
        <v>7</v>
      </c>
      <c r="N188">
        <f t="shared" si="11"/>
        <v>12</v>
      </c>
      <c r="O188">
        <f t="shared" si="12"/>
        <v>2023</v>
      </c>
      <c r="P188" s="4">
        <f t="shared" si="13"/>
        <v>45267</v>
      </c>
      <c r="Q188" t="s">
        <v>1139</v>
      </c>
      <c r="R188" t="s">
        <v>1137</v>
      </c>
      <c r="S188">
        <v>1</v>
      </c>
      <c r="T188" t="s">
        <v>1146</v>
      </c>
      <c r="U188" s="11" t="str">
        <f t="shared" si="15"/>
        <v>11:04:56 PM</v>
      </c>
      <c r="AC188" s="4">
        <v>45347</v>
      </c>
      <c r="AD188" s="25">
        <v>16291.240000000002</v>
      </c>
      <c r="BL188" s="2" t="s">
        <v>1338</v>
      </c>
      <c r="BM188" s="4">
        <v>45333</v>
      </c>
      <c r="BN188" s="25">
        <v>10084.5</v>
      </c>
    </row>
    <row r="189" spans="1:66" x14ac:dyDescent="0.35">
      <c r="A189">
        <v>8179</v>
      </c>
      <c r="B189" t="s">
        <v>0</v>
      </c>
      <c r="C189" s="1">
        <v>45792</v>
      </c>
      <c r="D189" t="s">
        <v>27</v>
      </c>
      <c r="E189" t="s">
        <v>18</v>
      </c>
      <c r="F189">
        <v>1</v>
      </c>
      <c r="G189">
        <v>678.11</v>
      </c>
      <c r="H189">
        <v>678.11</v>
      </c>
      <c r="I189">
        <v>256.47000000000003</v>
      </c>
      <c r="J189">
        <v>421.64</v>
      </c>
      <c r="K189">
        <v>224</v>
      </c>
      <c r="L189" s="11">
        <v>0.15980324074074073</v>
      </c>
      <c r="M189">
        <f t="shared" si="10"/>
        <v>15</v>
      </c>
      <c r="N189">
        <f t="shared" si="11"/>
        <v>5</v>
      </c>
      <c r="O189">
        <f t="shared" si="12"/>
        <v>2025</v>
      </c>
      <c r="P189" s="4">
        <f t="shared" si="13"/>
        <v>45792</v>
      </c>
      <c r="Q189" t="s">
        <v>1134</v>
      </c>
      <c r="R189" t="s">
        <v>1135</v>
      </c>
      <c r="S189">
        <v>3</v>
      </c>
      <c r="T189" t="s">
        <v>1149</v>
      </c>
      <c r="U189" s="11" t="str">
        <f t="shared" si="15"/>
        <v>03:50:07 AM</v>
      </c>
      <c r="AC189" s="4">
        <v>45348</v>
      </c>
      <c r="AD189" s="25">
        <v>8781.4</v>
      </c>
      <c r="BL189" s="2" t="s">
        <v>1339</v>
      </c>
      <c r="BM189" s="4">
        <v>45334</v>
      </c>
      <c r="BN189" s="25">
        <v>26848.84</v>
      </c>
    </row>
    <row r="190" spans="1:66" x14ac:dyDescent="0.35">
      <c r="A190">
        <v>9900</v>
      </c>
      <c r="B190" t="s">
        <v>8</v>
      </c>
      <c r="C190" s="1">
        <v>45691</v>
      </c>
      <c r="D190" t="s">
        <v>11</v>
      </c>
      <c r="E190" t="s">
        <v>12</v>
      </c>
      <c r="F190">
        <v>3</v>
      </c>
      <c r="G190">
        <v>1015.09</v>
      </c>
      <c r="H190">
        <v>3045.27</v>
      </c>
      <c r="I190">
        <v>0</v>
      </c>
      <c r="J190">
        <v>3045.27</v>
      </c>
      <c r="K190">
        <v>396</v>
      </c>
      <c r="L190" s="11">
        <v>0.68548611111111113</v>
      </c>
      <c r="M190">
        <f t="shared" si="10"/>
        <v>3</v>
      </c>
      <c r="N190">
        <f t="shared" si="11"/>
        <v>2</v>
      </c>
      <c r="O190">
        <f t="shared" si="12"/>
        <v>2025</v>
      </c>
      <c r="P190" s="4">
        <f t="shared" si="13"/>
        <v>45691</v>
      </c>
      <c r="Q190" t="s">
        <v>1134</v>
      </c>
      <c r="R190" t="s">
        <v>1137</v>
      </c>
      <c r="S190">
        <v>1</v>
      </c>
      <c r="T190" t="s">
        <v>1141</v>
      </c>
      <c r="U190" s="11" t="str">
        <f t="shared" si="15"/>
        <v>04:27:06 PM</v>
      </c>
      <c r="AC190" s="4">
        <v>45349</v>
      </c>
      <c r="AD190" s="25">
        <v>6104.65</v>
      </c>
      <c r="BL190" s="2" t="s">
        <v>1340</v>
      </c>
      <c r="BM190" s="4">
        <v>45335</v>
      </c>
      <c r="BN190" s="25">
        <v>6976.1500000000005</v>
      </c>
    </row>
    <row r="191" spans="1:66" x14ac:dyDescent="0.35">
      <c r="A191">
        <v>5956</v>
      </c>
      <c r="B191" t="s">
        <v>20</v>
      </c>
      <c r="C191" s="1">
        <v>45620</v>
      </c>
      <c r="D191" t="s">
        <v>16</v>
      </c>
      <c r="E191" t="s">
        <v>10</v>
      </c>
      <c r="F191">
        <v>1</v>
      </c>
      <c r="G191">
        <v>875.65</v>
      </c>
      <c r="H191">
        <v>875.65</v>
      </c>
      <c r="I191">
        <v>131.13999999999999</v>
      </c>
      <c r="J191">
        <v>744.51</v>
      </c>
      <c r="K191">
        <v>285</v>
      </c>
      <c r="L191" s="11">
        <v>1.2766203703703703E-2</v>
      </c>
      <c r="M191">
        <f t="shared" si="10"/>
        <v>24</v>
      </c>
      <c r="N191">
        <f t="shared" si="11"/>
        <v>11</v>
      </c>
      <c r="O191">
        <f t="shared" si="12"/>
        <v>2024</v>
      </c>
      <c r="P191" s="4">
        <f t="shared" si="13"/>
        <v>45620</v>
      </c>
      <c r="Q191" t="s">
        <v>1139</v>
      </c>
      <c r="R191" t="s">
        <v>1137</v>
      </c>
      <c r="S191">
        <v>4</v>
      </c>
      <c r="T191" t="s">
        <v>1144</v>
      </c>
      <c r="U191" s="11" t="str">
        <f t="shared" si="15"/>
        <v>12:18:23 AM</v>
      </c>
      <c r="AC191" s="4">
        <v>45350</v>
      </c>
      <c r="AD191" s="25">
        <v>17871.559999999998</v>
      </c>
      <c r="BL191" s="2" t="s">
        <v>1341</v>
      </c>
      <c r="BM191" s="4">
        <v>45336</v>
      </c>
      <c r="BN191" s="25">
        <v>5217.38</v>
      </c>
    </row>
    <row r="192" spans="1:66" x14ac:dyDescent="0.35">
      <c r="A192">
        <v>9666</v>
      </c>
      <c r="B192" t="s">
        <v>19</v>
      </c>
      <c r="C192" s="1">
        <v>45151</v>
      </c>
      <c r="D192" t="s">
        <v>16</v>
      </c>
      <c r="E192" t="s">
        <v>30</v>
      </c>
      <c r="F192">
        <v>3</v>
      </c>
      <c r="G192">
        <v>278.05</v>
      </c>
      <c r="H192">
        <v>834.15</v>
      </c>
      <c r="I192">
        <v>125.33</v>
      </c>
      <c r="J192">
        <v>708.82</v>
      </c>
      <c r="K192">
        <v>339</v>
      </c>
      <c r="L192" s="11">
        <v>0.94134259259259256</v>
      </c>
      <c r="M192">
        <f t="shared" si="10"/>
        <v>13</v>
      </c>
      <c r="N192">
        <f t="shared" si="11"/>
        <v>8</v>
      </c>
      <c r="O192">
        <f t="shared" si="12"/>
        <v>2023</v>
      </c>
      <c r="P192" s="4">
        <f t="shared" si="13"/>
        <v>45151</v>
      </c>
      <c r="Q192" t="s">
        <v>1134</v>
      </c>
      <c r="R192" t="s">
        <v>1135</v>
      </c>
      <c r="S192">
        <v>1</v>
      </c>
      <c r="T192" t="s">
        <v>1144</v>
      </c>
      <c r="U192" s="11" t="str">
        <f t="shared" si="15"/>
        <v>10:35:32 PM</v>
      </c>
      <c r="AC192" s="4">
        <v>45351</v>
      </c>
      <c r="AD192" s="25">
        <v>7960.5300000000007</v>
      </c>
      <c r="BL192" s="2" t="s">
        <v>1342</v>
      </c>
      <c r="BM192" s="4">
        <v>45337</v>
      </c>
      <c r="BN192" s="25">
        <v>27877.21</v>
      </c>
    </row>
    <row r="193" spans="1:66" x14ac:dyDescent="0.35">
      <c r="A193">
        <v>5905</v>
      </c>
      <c r="B193" t="s">
        <v>19</v>
      </c>
      <c r="C193" s="1">
        <v>45868</v>
      </c>
      <c r="D193" t="s">
        <v>16</v>
      </c>
      <c r="E193" t="s">
        <v>21</v>
      </c>
      <c r="F193">
        <v>2</v>
      </c>
      <c r="G193">
        <v>1514.75</v>
      </c>
      <c r="H193">
        <v>3029.5</v>
      </c>
      <c r="I193">
        <v>454.01</v>
      </c>
      <c r="J193">
        <v>2575.4899999999998</v>
      </c>
      <c r="K193">
        <v>480</v>
      </c>
      <c r="L193" s="11">
        <v>0.87003472222222222</v>
      </c>
      <c r="M193">
        <f t="shared" si="10"/>
        <v>30</v>
      </c>
      <c r="N193">
        <f t="shared" si="11"/>
        <v>7</v>
      </c>
      <c r="O193">
        <f t="shared" si="12"/>
        <v>2025</v>
      </c>
      <c r="P193" s="4">
        <f t="shared" si="13"/>
        <v>45868</v>
      </c>
      <c r="Q193" t="s">
        <v>1134</v>
      </c>
      <c r="R193" t="s">
        <v>1137</v>
      </c>
      <c r="S193">
        <v>4</v>
      </c>
      <c r="T193" t="s">
        <v>1141</v>
      </c>
      <c r="U193" s="11" t="str">
        <f t="shared" si="15"/>
        <v>08:52:51 PM</v>
      </c>
      <c r="AC193" s="4">
        <v>45352</v>
      </c>
      <c r="AD193" s="25">
        <v>13260.08</v>
      </c>
      <c r="BL193" s="2" t="s">
        <v>1343</v>
      </c>
      <c r="BM193" s="4">
        <v>45338</v>
      </c>
      <c r="BN193" s="25">
        <v>8539.0399999999991</v>
      </c>
    </row>
    <row r="194" spans="1:66" x14ac:dyDescent="0.35">
      <c r="A194">
        <v>2697</v>
      </c>
      <c r="B194" t="s">
        <v>3</v>
      </c>
      <c r="C194" s="1">
        <v>45874</v>
      </c>
      <c r="D194" t="s">
        <v>9</v>
      </c>
      <c r="E194" t="s">
        <v>10</v>
      </c>
      <c r="F194">
        <v>2</v>
      </c>
      <c r="G194">
        <v>1694.86</v>
      </c>
      <c r="H194">
        <v>3389.72</v>
      </c>
      <c r="I194">
        <v>0</v>
      </c>
      <c r="J194">
        <v>3389.72</v>
      </c>
      <c r="K194">
        <v>424</v>
      </c>
      <c r="L194" s="11">
        <v>0.78818287037037038</v>
      </c>
      <c r="M194">
        <f t="shared" ref="M194:M257" si="16">DAY(C194)</f>
        <v>5</v>
      </c>
      <c r="N194">
        <f t="shared" ref="N194:N257" si="17">MONTH(C194)</f>
        <v>8</v>
      </c>
      <c r="O194">
        <f t="shared" ref="O194:O257" si="18">YEAR(C194)</f>
        <v>2025</v>
      </c>
      <c r="P194" s="4">
        <f t="shared" si="13"/>
        <v>45874</v>
      </c>
      <c r="Q194" t="s">
        <v>1138</v>
      </c>
      <c r="R194" t="s">
        <v>1135</v>
      </c>
      <c r="S194">
        <v>2</v>
      </c>
      <c r="T194" t="s">
        <v>1150</v>
      </c>
      <c r="U194" s="11" t="str">
        <f t="shared" si="15"/>
        <v>06:54:59 PM</v>
      </c>
      <c r="AC194" s="4">
        <v>45353</v>
      </c>
      <c r="AD194" s="25">
        <v>10459.66</v>
      </c>
      <c r="BL194" s="2" t="s">
        <v>1344</v>
      </c>
      <c r="BM194" s="4">
        <v>45339</v>
      </c>
      <c r="BN194" s="25">
        <v>10871.34</v>
      </c>
    </row>
    <row r="195" spans="1:66" x14ac:dyDescent="0.35">
      <c r="A195">
        <v>3200</v>
      </c>
      <c r="B195" t="s">
        <v>13</v>
      </c>
      <c r="C195" s="1">
        <v>45350</v>
      </c>
      <c r="D195" t="s">
        <v>27</v>
      </c>
      <c r="E195" t="s">
        <v>12</v>
      </c>
      <c r="F195">
        <v>1</v>
      </c>
      <c r="G195">
        <v>955.33</v>
      </c>
      <c r="H195">
        <v>955.33</v>
      </c>
      <c r="I195">
        <v>143.59</v>
      </c>
      <c r="J195">
        <v>811.74</v>
      </c>
      <c r="K195">
        <v>92</v>
      </c>
      <c r="L195" s="11">
        <v>0.61732638888888891</v>
      </c>
      <c r="M195">
        <f t="shared" si="16"/>
        <v>28</v>
      </c>
      <c r="N195">
        <f t="shared" si="17"/>
        <v>2</v>
      </c>
      <c r="O195">
        <f t="shared" si="18"/>
        <v>2024</v>
      </c>
      <c r="P195" s="4">
        <f t="shared" ref="P195:P258" si="19">DATE(O195,N195,M195)</f>
        <v>45350</v>
      </c>
      <c r="Q195" t="s">
        <v>1134</v>
      </c>
      <c r="R195" t="s">
        <v>1137</v>
      </c>
      <c r="S195">
        <v>2</v>
      </c>
      <c r="T195" t="s">
        <v>1142</v>
      </c>
      <c r="U195" s="11" t="str">
        <f t="shared" si="15"/>
        <v>02:48:57 PM</v>
      </c>
      <c r="AC195" s="4">
        <v>45355</v>
      </c>
      <c r="AD195" s="25">
        <v>8682.630000000001</v>
      </c>
      <c r="BL195" s="2" t="s">
        <v>1345</v>
      </c>
      <c r="BM195" s="4">
        <v>45340</v>
      </c>
      <c r="BN195" s="25">
        <v>17449.919999999998</v>
      </c>
    </row>
    <row r="196" spans="1:66" x14ac:dyDescent="0.35">
      <c r="A196">
        <v>2891</v>
      </c>
      <c r="B196" t="s">
        <v>15</v>
      </c>
      <c r="C196" s="1">
        <v>45836</v>
      </c>
      <c r="D196" t="s">
        <v>6</v>
      </c>
      <c r="E196" t="s">
        <v>14</v>
      </c>
      <c r="F196">
        <v>2</v>
      </c>
      <c r="G196">
        <v>454.84</v>
      </c>
      <c r="H196">
        <v>909.68</v>
      </c>
      <c r="I196">
        <v>338.64</v>
      </c>
      <c r="J196">
        <v>571.04</v>
      </c>
      <c r="K196">
        <v>151</v>
      </c>
      <c r="L196" s="11">
        <v>0.81645833333333329</v>
      </c>
      <c r="M196">
        <f t="shared" si="16"/>
        <v>28</v>
      </c>
      <c r="N196">
        <f t="shared" si="17"/>
        <v>6</v>
      </c>
      <c r="O196">
        <f t="shared" si="18"/>
        <v>2025</v>
      </c>
      <c r="P196" s="4">
        <f t="shared" si="19"/>
        <v>45836</v>
      </c>
      <c r="Q196" t="s">
        <v>1134</v>
      </c>
      <c r="R196" t="s">
        <v>1135</v>
      </c>
      <c r="S196">
        <v>5</v>
      </c>
      <c r="T196" t="s">
        <v>1147</v>
      </c>
      <c r="U196" s="11" t="str">
        <f t="shared" si="15"/>
        <v>07:35:42 PM</v>
      </c>
      <c r="AC196" s="4">
        <v>45356</v>
      </c>
      <c r="AD196" s="25">
        <v>22902.19</v>
      </c>
      <c r="BL196" s="2" t="s">
        <v>1346</v>
      </c>
      <c r="BM196" s="4">
        <v>45341</v>
      </c>
      <c r="BN196" s="25">
        <v>11810.9</v>
      </c>
    </row>
    <row r="197" spans="1:66" x14ac:dyDescent="0.35">
      <c r="A197">
        <v>2753</v>
      </c>
      <c r="B197" t="s">
        <v>3</v>
      </c>
      <c r="C197" s="1">
        <v>45721</v>
      </c>
      <c r="D197" t="s">
        <v>1</v>
      </c>
      <c r="E197" t="s">
        <v>10</v>
      </c>
      <c r="F197">
        <v>5</v>
      </c>
      <c r="G197">
        <v>397.57</v>
      </c>
      <c r="H197">
        <v>1987.85</v>
      </c>
      <c r="I197">
        <v>397.57</v>
      </c>
      <c r="J197">
        <v>1590.28</v>
      </c>
      <c r="K197">
        <v>192</v>
      </c>
      <c r="L197" s="11">
        <v>0.70690972222222226</v>
      </c>
      <c r="M197">
        <f t="shared" si="16"/>
        <v>5</v>
      </c>
      <c r="N197">
        <f t="shared" si="17"/>
        <v>3</v>
      </c>
      <c r="O197">
        <f t="shared" si="18"/>
        <v>2025</v>
      </c>
      <c r="P197" s="4">
        <f t="shared" si="19"/>
        <v>45721</v>
      </c>
      <c r="Q197" t="s">
        <v>1139</v>
      </c>
      <c r="R197" t="s">
        <v>1135</v>
      </c>
      <c r="S197">
        <v>3</v>
      </c>
      <c r="T197" t="s">
        <v>1146</v>
      </c>
      <c r="U197" s="11" t="str">
        <f t="shared" si="15"/>
        <v>04:57:57 PM</v>
      </c>
      <c r="AC197" s="4">
        <v>45357</v>
      </c>
      <c r="AD197" s="25">
        <v>4118.46</v>
      </c>
      <c r="BL197" s="2" t="s">
        <v>1347</v>
      </c>
      <c r="BM197" s="4">
        <v>45342</v>
      </c>
      <c r="BN197" s="25">
        <v>2149.6999999999998</v>
      </c>
    </row>
    <row r="198" spans="1:66" x14ac:dyDescent="0.35">
      <c r="A198">
        <v>3546</v>
      </c>
      <c r="B198" t="s">
        <v>8</v>
      </c>
      <c r="C198" s="1">
        <v>45356</v>
      </c>
      <c r="D198" t="s">
        <v>17</v>
      </c>
      <c r="E198" t="s">
        <v>18</v>
      </c>
      <c r="F198">
        <v>4</v>
      </c>
      <c r="G198">
        <v>187.58</v>
      </c>
      <c r="H198">
        <v>750.32</v>
      </c>
      <c r="I198">
        <v>74.7</v>
      </c>
      <c r="J198">
        <v>675.62</v>
      </c>
      <c r="K198">
        <v>186</v>
      </c>
      <c r="L198" s="11">
        <v>0.97995370370370372</v>
      </c>
      <c r="M198">
        <f t="shared" si="16"/>
        <v>5</v>
      </c>
      <c r="N198">
        <f t="shared" si="17"/>
        <v>3</v>
      </c>
      <c r="O198">
        <f t="shared" si="18"/>
        <v>2024</v>
      </c>
      <c r="P198" s="4">
        <f t="shared" si="19"/>
        <v>45356</v>
      </c>
      <c r="Q198" t="s">
        <v>1139</v>
      </c>
      <c r="R198" t="s">
        <v>1137</v>
      </c>
      <c r="S198">
        <v>5</v>
      </c>
      <c r="T198" t="s">
        <v>1144</v>
      </c>
      <c r="U198" s="11" t="str">
        <f t="shared" si="15"/>
        <v>11:31:08 PM</v>
      </c>
      <c r="AC198" s="4">
        <v>45358</v>
      </c>
      <c r="AD198" s="25">
        <v>13817.84</v>
      </c>
      <c r="BL198" s="2" t="s">
        <v>1348</v>
      </c>
      <c r="BM198" s="4">
        <v>45343</v>
      </c>
      <c r="BN198" s="25">
        <v>230.74</v>
      </c>
    </row>
    <row r="199" spans="1:66" x14ac:dyDescent="0.35">
      <c r="A199">
        <v>5616</v>
      </c>
      <c r="B199" t="s">
        <v>19</v>
      </c>
      <c r="C199" s="1">
        <v>45614</v>
      </c>
      <c r="D199" t="s">
        <v>34</v>
      </c>
      <c r="E199" t="s">
        <v>14</v>
      </c>
      <c r="F199">
        <v>5</v>
      </c>
      <c r="G199">
        <v>658.19</v>
      </c>
      <c r="H199">
        <v>3290.95</v>
      </c>
      <c r="I199">
        <v>658.19</v>
      </c>
      <c r="J199">
        <v>2632.76</v>
      </c>
      <c r="K199">
        <v>494</v>
      </c>
      <c r="L199" s="11">
        <v>0.96392361111111113</v>
      </c>
      <c r="M199">
        <f t="shared" si="16"/>
        <v>18</v>
      </c>
      <c r="N199">
        <f t="shared" si="17"/>
        <v>11</v>
      </c>
      <c r="O199">
        <f t="shared" si="18"/>
        <v>2024</v>
      </c>
      <c r="P199" s="4">
        <f t="shared" si="19"/>
        <v>45614</v>
      </c>
      <c r="Q199" t="s">
        <v>1136</v>
      </c>
      <c r="R199" t="s">
        <v>1137</v>
      </c>
      <c r="S199">
        <v>4</v>
      </c>
      <c r="T199" t="s">
        <v>1147</v>
      </c>
      <c r="U199" s="11" t="str">
        <f t="shared" si="15"/>
        <v>11:08:03 PM</v>
      </c>
      <c r="AC199" s="4">
        <v>45359</v>
      </c>
      <c r="AD199" s="25">
        <v>9714.32</v>
      </c>
      <c r="BL199" s="2" t="s">
        <v>1349</v>
      </c>
      <c r="BM199" s="4">
        <v>45344</v>
      </c>
      <c r="BN199" s="25">
        <v>12292.3</v>
      </c>
    </row>
    <row r="200" spans="1:66" x14ac:dyDescent="0.35">
      <c r="A200">
        <v>4450</v>
      </c>
      <c r="B200" t="s">
        <v>25</v>
      </c>
      <c r="C200" s="1">
        <v>45702</v>
      </c>
      <c r="D200" t="s">
        <v>16</v>
      </c>
      <c r="E200" t="s">
        <v>22</v>
      </c>
      <c r="F200">
        <v>4</v>
      </c>
      <c r="G200">
        <v>1933.9</v>
      </c>
      <c r="H200">
        <v>7735.6</v>
      </c>
      <c r="I200">
        <v>258.13</v>
      </c>
      <c r="J200">
        <v>7477.47</v>
      </c>
      <c r="K200">
        <v>398</v>
      </c>
      <c r="L200" s="11">
        <v>0.99473379629629632</v>
      </c>
      <c r="M200">
        <f t="shared" si="16"/>
        <v>14</v>
      </c>
      <c r="N200">
        <f t="shared" si="17"/>
        <v>2</v>
      </c>
      <c r="O200">
        <f t="shared" si="18"/>
        <v>2025</v>
      </c>
      <c r="P200" s="4">
        <f t="shared" si="19"/>
        <v>45702</v>
      </c>
      <c r="Q200" t="s">
        <v>1138</v>
      </c>
      <c r="R200" t="s">
        <v>1135</v>
      </c>
      <c r="S200">
        <v>5</v>
      </c>
      <c r="T200" t="s">
        <v>1144</v>
      </c>
      <c r="U200" s="11" t="str">
        <f t="shared" si="15"/>
        <v>11:52:25 PM</v>
      </c>
      <c r="AC200" s="4">
        <v>45360</v>
      </c>
      <c r="AD200" s="25">
        <v>9346.630000000001</v>
      </c>
      <c r="BL200" s="2" t="s">
        <v>1350</v>
      </c>
      <c r="BM200" s="4">
        <v>45347</v>
      </c>
      <c r="BN200" s="25">
        <v>16291.240000000002</v>
      </c>
    </row>
    <row r="201" spans="1:66" x14ac:dyDescent="0.35">
      <c r="A201">
        <v>6617</v>
      </c>
      <c r="B201" t="s">
        <v>8</v>
      </c>
      <c r="C201" s="1">
        <v>45303</v>
      </c>
      <c r="D201" t="s">
        <v>6</v>
      </c>
      <c r="E201" t="s">
        <v>30</v>
      </c>
      <c r="F201">
        <v>3</v>
      </c>
      <c r="G201">
        <v>207.5</v>
      </c>
      <c r="H201">
        <v>622.5</v>
      </c>
      <c r="I201">
        <v>393.42</v>
      </c>
      <c r="J201">
        <v>229.08</v>
      </c>
      <c r="K201">
        <v>246</v>
      </c>
      <c r="L201" s="11">
        <v>0.31332175925925926</v>
      </c>
      <c r="M201">
        <f t="shared" si="16"/>
        <v>12</v>
      </c>
      <c r="N201">
        <f t="shared" si="17"/>
        <v>1</v>
      </c>
      <c r="O201">
        <f t="shared" si="18"/>
        <v>2024</v>
      </c>
      <c r="P201" s="4">
        <f t="shared" si="19"/>
        <v>45303</v>
      </c>
      <c r="Q201" t="s">
        <v>1134</v>
      </c>
      <c r="R201" t="s">
        <v>1137</v>
      </c>
      <c r="S201">
        <v>1</v>
      </c>
      <c r="T201" t="s">
        <v>1142</v>
      </c>
      <c r="U201" s="11" t="str">
        <f t="shared" si="15"/>
        <v>07:31:11 AM</v>
      </c>
      <c r="AC201" s="4">
        <v>45361</v>
      </c>
      <c r="AD201" s="25">
        <v>18718.990000000002</v>
      </c>
      <c r="BL201" s="2" t="s">
        <v>1351</v>
      </c>
      <c r="BM201" s="4">
        <v>45348</v>
      </c>
      <c r="BN201" s="25">
        <v>8781.4</v>
      </c>
    </row>
    <row r="202" spans="1:66" x14ac:dyDescent="0.35">
      <c r="A202">
        <v>5325</v>
      </c>
      <c r="B202" t="s">
        <v>3</v>
      </c>
      <c r="C202" s="1">
        <v>45537</v>
      </c>
      <c r="D202" t="s">
        <v>4</v>
      </c>
      <c r="E202" t="s">
        <v>26</v>
      </c>
      <c r="F202">
        <v>1</v>
      </c>
      <c r="G202">
        <v>1918.96</v>
      </c>
      <c r="H202">
        <v>1918.96</v>
      </c>
      <c r="I202">
        <v>131.97</v>
      </c>
      <c r="J202">
        <v>1786.99</v>
      </c>
      <c r="K202">
        <v>139</v>
      </c>
      <c r="L202" s="11">
        <v>0.35668981481481482</v>
      </c>
      <c r="M202">
        <f t="shared" si="16"/>
        <v>2</v>
      </c>
      <c r="N202">
        <f t="shared" si="17"/>
        <v>9</v>
      </c>
      <c r="O202">
        <f t="shared" si="18"/>
        <v>2024</v>
      </c>
      <c r="P202" s="4">
        <f t="shared" si="19"/>
        <v>45537</v>
      </c>
      <c r="Q202" t="s">
        <v>1134</v>
      </c>
      <c r="R202" t="s">
        <v>1137</v>
      </c>
      <c r="S202">
        <v>4</v>
      </c>
      <c r="T202" t="s">
        <v>1141</v>
      </c>
      <c r="U202" s="11" t="str">
        <f t="shared" si="15"/>
        <v>08:33:38 AM</v>
      </c>
      <c r="AC202" s="4">
        <v>45362</v>
      </c>
      <c r="AD202" s="25">
        <v>1378.63</v>
      </c>
      <c r="BL202" s="2" t="s">
        <v>1352</v>
      </c>
      <c r="BM202" s="4">
        <v>45349</v>
      </c>
      <c r="BN202" s="25">
        <v>6104.65</v>
      </c>
    </row>
    <row r="203" spans="1:66" x14ac:dyDescent="0.35">
      <c r="A203">
        <v>9004</v>
      </c>
      <c r="B203" t="s">
        <v>13</v>
      </c>
      <c r="C203" s="1">
        <v>45340</v>
      </c>
      <c r="D203" t="s">
        <v>4</v>
      </c>
      <c r="E203" t="s">
        <v>14</v>
      </c>
      <c r="F203">
        <v>4</v>
      </c>
      <c r="G203">
        <v>2211.12</v>
      </c>
      <c r="H203">
        <v>8844.48</v>
      </c>
      <c r="I203">
        <v>884.78</v>
      </c>
      <c r="J203">
        <v>7959.7</v>
      </c>
      <c r="K203">
        <v>476</v>
      </c>
      <c r="L203" s="11">
        <v>0.47150462962962963</v>
      </c>
      <c r="M203">
        <f t="shared" si="16"/>
        <v>18</v>
      </c>
      <c r="N203">
        <f t="shared" si="17"/>
        <v>2</v>
      </c>
      <c r="O203">
        <f t="shared" si="18"/>
        <v>2024</v>
      </c>
      <c r="P203" s="4">
        <f t="shared" si="19"/>
        <v>45340</v>
      </c>
      <c r="Q203" t="s">
        <v>1136</v>
      </c>
      <c r="R203" t="s">
        <v>1135</v>
      </c>
      <c r="S203">
        <v>2</v>
      </c>
      <c r="T203" t="s">
        <v>1142</v>
      </c>
      <c r="U203" s="11" t="str">
        <f t="shared" si="15"/>
        <v>11:18:58 AM</v>
      </c>
      <c r="AC203" s="4">
        <v>45363</v>
      </c>
      <c r="AD203" s="25">
        <v>3744.96</v>
      </c>
      <c r="BL203" s="2" t="s">
        <v>1353</v>
      </c>
      <c r="BM203" s="4">
        <v>45350</v>
      </c>
      <c r="BN203" s="25">
        <v>17871.559999999998</v>
      </c>
    </row>
    <row r="204" spans="1:66" x14ac:dyDescent="0.35">
      <c r="A204">
        <v>1832</v>
      </c>
      <c r="B204" t="s">
        <v>20</v>
      </c>
      <c r="C204" s="1">
        <v>45216</v>
      </c>
      <c r="D204" t="s">
        <v>9</v>
      </c>
      <c r="E204" t="s">
        <v>36</v>
      </c>
      <c r="F204">
        <v>3</v>
      </c>
      <c r="G204">
        <v>649.89</v>
      </c>
      <c r="H204">
        <v>1949.67</v>
      </c>
      <c r="I204">
        <v>390.1</v>
      </c>
      <c r="J204">
        <v>1559.57</v>
      </c>
      <c r="K204">
        <v>41</v>
      </c>
      <c r="L204" s="11">
        <v>0.46055555555555555</v>
      </c>
      <c r="M204">
        <f t="shared" si="16"/>
        <v>17</v>
      </c>
      <c r="N204">
        <f t="shared" si="17"/>
        <v>10</v>
      </c>
      <c r="O204">
        <f t="shared" si="18"/>
        <v>2023</v>
      </c>
      <c r="P204" s="4">
        <f t="shared" si="19"/>
        <v>45216</v>
      </c>
      <c r="Q204" t="s">
        <v>1134</v>
      </c>
      <c r="R204" t="s">
        <v>1135</v>
      </c>
      <c r="S204">
        <v>3</v>
      </c>
      <c r="T204" t="s">
        <v>1144</v>
      </c>
      <c r="U204" s="11" t="str">
        <f t="shared" si="15"/>
        <v>11:03:12 AM</v>
      </c>
      <c r="AC204" s="4">
        <v>45364</v>
      </c>
      <c r="AD204" s="25">
        <v>653.21</v>
      </c>
      <c r="BL204" s="2" t="s">
        <v>1354</v>
      </c>
      <c r="BM204" s="4">
        <v>45351</v>
      </c>
      <c r="BN204" s="25">
        <v>7960.5300000000007</v>
      </c>
    </row>
    <row r="205" spans="1:66" x14ac:dyDescent="0.35">
      <c r="A205">
        <v>7939</v>
      </c>
      <c r="B205" t="s">
        <v>20</v>
      </c>
      <c r="C205" s="1">
        <v>45789</v>
      </c>
      <c r="D205" t="s">
        <v>11</v>
      </c>
      <c r="E205" t="s">
        <v>38</v>
      </c>
      <c r="F205">
        <v>3</v>
      </c>
      <c r="G205">
        <v>1987.02</v>
      </c>
      <c r="H205">
        <v>5961.06</v>
      </c>
      <c r="I205">
        <v>893.91</v>
      </c>
      <c r="J205">
        <v>5067.1499999999996</v>
      </c>
      <c r="K205">
        <v>70</v>
      </c>
      <c r="L205" s="11">
        <v>0.23908564814814814</v>
      </c>
      <c r="M205">
        <f t="shared" si="16"/>
        <v>12</v>
      </c>
      <c r="N205">
        <f t="shared" si="17"/>
        <v>5</v>
      </c>
      <c r="O205">
        <f t="shared" si="18"/>
        <v>2025</v>
      </c>
      <c r="P205" s="4">
        <f t="shared" si="19"/>
        <v>45789</v>
      </c>
      <c r="Q205" t="s">
        <v>1138</v>
      </c>
      <c r="R205" t="s">
        <v>1137</v>
      </c>
      <c r="S205">
        <v>4</v>
      </c>
      <c r="T205" t="s">
        <v>1141</v>
      </c>
      <c r="U205" s="11" t="str">
        <f t="shared" si="15"/>
        <v>05:44:17 AM</v>
      </c>
      <c r="AC205" s="4">
        <v>45365</v>
      </c>
      <c r="AD205" s="25">
        <v>14372.279999999999</v>
      </c>
      <c r="BL205" s="2" t="s">
        <v>1355</v>
      </c>
      <c r="BM205" s="4">
        <v>45352</v>
      </c>
      <c r="BN205" s="25">
        <v>13260.08</v>
      </c>
    </row>
    <row r="206" spans="1:66" x14ac:dyDescent="0.35">
      <c r="A206">
        <v>5533</v>
      </c>
      <c r="B206" t="s">
        <v>15</v>
      </c>
      <c r="C206" s="1">
        <v>45179</v>
      </c>
      <c r="D206" t="s">
        <v>23</v>
      </c>
      <c r="E206" t="s">
        <v>37</v>
      </c>
      <c r="F206">
        <v>4</v>
      </c>
      <c r="G206">
        <v>1563.72</v>
      </c>
      <c r="H206">
        <v>6254.88</v>
      </c>
      <c r="I206">
        <v>167.66</v>
      </c>
      <c r="J206">
        <v>6087.22</v>
      </c>
      <c r="K206">
        <v>463</v>
      </c>
      <c r="L206" s="11">
        <v>0.44365740740740739</v>
      </c>
      <c r="M206">
        <f t="shared" si="16"/>
        <v>10</v>
      </c>
      <c r="N206">
        <f t="shared" si="17"/>
        <v>9</v>
      </c>
      <c r="O206">
        <f t="shared" si="18"/>
        <v>2023</v>
      </c>
      <c r="P206" s="4">
        <f t="shared" si="19"/>
        <v>45179</v>
      </c>
      <c r="Q206" t="s">
        <v>1136</v>
      </c>
      <c r="R206" t="s">
        <v>1135</v>
      </c>
      <c r="S206">
        <v>4</v>
      </c>
      <c r="T206" t="s">
        <v>1142</v>
      </c>
      <c r="U206" s="11" t="str">
        <f t="shared" si="15"/>
        <v>10:38:52 AM</v>
      </c>
      <c r="AC206" s="4">
        <v>45366</v>
      </c>
      <c r="AD206" s="25">
        <v>5184.18</v>
      </c>
      <c r="BL206" s="2" t="s">
        <v>1356</v>
      </c>
      <c r="BM206" s="4">
        <v>45353</v>
      </c>
      <c r="BN206" s="25">
        <v>10459.66</v>
      </c>
    </row>
    <row r="207" spans="1:66" x14ac:dyDescent="0.35">
      <c r="A207">
        <v>1058</v>
      </c>
      <c r="B207" t="s">
        <v>8</v>
      </c>
      <c r="C207" s="1">
        <v>45404</v>
      </c>
      <c r="D207" t="s">
        <v>27</v>
      </c>
      <c r="E207" t="s">
        <v>36</v>
      </c>
      <c r="F207">
        <v>4</v>
      </c>
      <c r="G207">
        <v>349.43</v>
      </c>
      <c r="H207">
        <v>1397.72</v>
      </c>
      <c r="I207">
        <v>209.99</v>
      </c>
      <c r="J207">
        <v>1187.73</v>
      </c>
      <c r="K207">
        <v>147</v>
      </c>
      <c r="L207" s="11">
        <v>0.5720601851851852</v>
      </c>
      <c r="M207">
        <f t="shared" si="16"/>
        <v>22</v>
      </c>
      <c r="N207">
        <f t="shared" si="17"/>
        <v>4</v>
      </c>
      <c r="O207">
        <f t="shared" si="18"/>
        <v>2024</v>
      </c>
      <c r="P207" s="4">
        <f t="shared" si="19"/>
        <v>45404</v>
      </c>
      <c r="Q207" t="s">
        <v>1138</v>
      </c>
      <c r="R207" t="s">
        <v>1135</v>
      </c>
      <c r="S207">
        <v>1</v>
      </c>
      <c r="T207" t="s">
        <v>1150</v>
      </c>
      <c r="U207" s="11" t="str">
        <f t="shared" si="15"/>
        <v>01:43:46 PM</v>
      </c>
      <c r="AC207" s="4">
        <v>45367</v>
      </c>
      <c r="AD207" s="25">
        <v>5469.7000000000007</v>
      </c>
      <c r="BL207" s="2" t="s">
        <v>1357</v>
      </c>
      <c r="BM207" s="4">
        <v>45355</v>
      </c>
      <c r="BN207" s="25">
        <v>8682.630000000001</v>
      </c>
    </row>
    <row r="208" spans="1:66" x14ac:dyDescent="0.35">
      <c r="A208">
        <v>3143</v>
      </c>
      <c r="B208" t="s">
        <v>0</v>
      </c>
      <c r="C208" s="1">
        <v>45639</v>
      </c>
      <c r="D208" t="s">
        <v>1</v>
      </c>
      <c r="E208" t="s">
        <v>14</v>
      </c>
      <c r="F208">
        <v>4</v>
      </c>
      <c r="G208">
        <v>1620.16</v>
      </c>
      <c r="H208">
        <v>6480.64</v>
      </c>
      <c r="I208">
        <v>119.52</v>
      </c>
      <c r="J208">
        <v>6361.12</v>
      </c>
      <c r="K208">
        <v>318</v>
      </c>
      <c r="L208" s="11">
        <v>0.80011574074074077</v>
      </c>
      <c r="M208">
        <f t="shared" si="16"/>
        <v>13</v>
      </c>
      <c r="N208">
        <f t="shared" si="17"/>
        <v>12</v>
      </c>
      <c r="O208">
        <f t="shared" si="18"/>
        <v>2024</v>
      </c>
      <c r="P208" s="4">
        <f t="shared" si="19"/>
        <v>45639</v>
      </c>
      <c r="Q208" t="s">
        <v>1136</v>
      </c>
      <c r="R208" t="s">
        <v>1135</v>
      </c>
      <c r="S208">
        <v>3</v>
      </c>
      <c r="T208" t="s">
        <v>1141</v>
      </c>
      <c r="U208" s="11" t="str">
        <f t="shared" si="15"/>
        <v>07:12:10 PM</v>
      </c>
      <c r="AC208" s="4">
        <v>45368</v>
      </c>
      <c r="AD208" s="25">
        <v>11891.410000000002</v>
      </c>
      <c r="BL208" s="2" t="s">
        <v>1358</v>
      </c>
      <c r="BM208" s="4">
        <v>45356</v>
      </c>
      <c r="BN208" s="25">
        <v>22902.19</v>
      </c>
    </row>
    <row r="209" spans="1:66" x14ac:dyDescent="0.35">
      <c r="A209">
        <v>5291</v>
      </c>
      <c r="B209" t="s">
        <v>15</v>
      </c>
      <c r="C209" s="1">
        <v>45270</v>
      </c>
      <c r="D209" t="s">
        <v>17</v>
      </c>
      <c r="E209" t="s">
        <v>7</v>
      </c>
      <c r="F209">
        <v>1</v>
      </c>
      <c r="G209">
        <v>1603.56</v>
      </c>
      <c r="H209">
        <v>1603.56</v>
      </c>
      <c r="I209">
        <v>0</v>
      </c>
      <c r="J209">
        <v>1603.56</v>
      </c>
      <c r="K209">
        <v>294</v>
      </c>
      <c r="L209" s="11">
        <v>0.88946759259259256</v>
      </c>
      <c r="M209">
        <f t="shared" si="16"/>
        <v>10</v>
      </c>
      <c r="N209">
        <f t="shared" si="17"/>
        <v>12</v>
      </c>
      <c r="O209">
        <f t="shared" si="18"/>
        <v>2023</v>
      </c>
      <c r="P209" s="4">
        <f t="shared" si="19"/>
        <v>45270</v>
      </c>
      <c r="Q209" t="s">
        <v>1136</v>
      </c>
      <c r="R209" t="s">
        <v>1137</v>
      </c>
      <c r="S209">
        <v>2</v>
      </c>
      <c r="T209" t="s">
        <v>1146</v>
      </c>
      <c r="U209" s="11" t="str">
        <f t="shared" si="15"/>
        <v>09:20:50 PM</v>
      </c>
      <c r="AC209" s="4">
        <v>45369</v>
      </c>
      <c r="AD209" s="25">
        <v>21926.940000000002</v>
      </c>
      <c r="BL209" s="2" t="s">
        <v>1359</v>
      </c>
      <c r="BM209" s="4">
        <v>45357</v>
      </c>
      <c r="BN209" s="25">
        <v>4118.46</v>
      </c>
    </row>
    <row r="210" spans="1:66" x14ac:dyDescent="0.35">
      <c r="A210">
        <v>8239</v>
      </c>
      <c r="B210" t="s">
        <v>8</v>
      </c>
      <c r="C210" s="1">
        <v>45573</v>
      </c>
      <c r="D210" t="s">
        <v>24</v>
      </c>
      <c r="E210" t="s">
        <v>5</v>
      </c>
      <c r="F210">
        <v>1</v>
      </c>
      <c r="G210">
        <v>1562.06</v>
      </c>
      <c r="H210">
        <v>1562.06</v>
      </c>
      <c r="I210">
        <v>312.08</v>
      </c>
      <c r="J210">
        <v>1249.98</v>
      </c>
      <c r="K210">
        <v>123</v>
      </c>
      <c r="L210" s="11">
        <v>0.15799768518518517</v>
      </c>
      <c r="M210">
        <f t="shared" si="16"/>
        <v>8</v>
      </c>
      <c r="N210">
        <f t="shared" si="17"/>
        <v>10</v>
      </c>
      <c r="O210">
        <f t="shared" si="18"/>
        <v>2024</v>
      </c>
      <c r="P210" s="4">
        <f t="shared" si="19"/>
        <v>45573</v>
      </c>
      <c r="Q210" t="s">
        <v>1139</v>
      </c>
      <c r="R210" t="s">
        <v>1137</v>
      </c>
      <c r="S210">
        <v>4</v>
      </c>
      <c r="T210" t="s">
        <v>1144</v>
      </c>
      <c r="U210" s="11" t="str">
        <f t="shared" si="15"/>
        <v>03:47:31 AM</v>
      </c>
      <c r="AC210" s="4">
        <v>45370</v>
      </c>
      <c r="AD210" s="25">
        <v>9952.5299999999988</v>
      </c>
      <c r="BL210" s="2" t="s">
        <v>1360</v>
      </c>
      <c r="BM210" s="4">
        <v>45358</v>
      </c>
      <c r="BN210" s="25">
        <v>13817.84</v>
      </c>
    </row>
    <row r="211" spans="1:66" x14ac:dyDescent="0.35">
      <c r="A211">
        <v>8007</v>
      </c>
      <c r="B211" t="s">
        <v>0</v>
      </c>
      <c r="C211" s="1">
        <v>45580</v>
      </c>
      <c r="D211" t="s">
        <v>27</v>
      </c>
      <c r="E211" t="s">
        <v>12</v>
      </c>
      <c r="F211">
        <v>1</v>
      </c>
      <c r="G211">
        <v>2377.12</v>
      </c>
      <c r="H211">
        <v>2377.12</v>
      </c>
      <c r="I211">
        <v>237.38</v>
      </c>
      <c r="J211">
        <v>2139.7399999999998</v>
      </c>
      <c r="K211">
        <v>278</v>
      </c>
      <c r="L211" s="11">
        <v>0.25570601851851854</v>
      </c>
      <c r="M211">
        <f t="shared" si="16"/>
        <v>15</v>
      </c>
      <c r="N211">
        <f t="shared" si="17"/>
        <v>10</v>
      </c>
      <c r="O211">
        <f t="shared" si="18"/>
        <v>2024</v>
      </c>
      <c r="P211" s="4">
        <f t="shared" si="19"/>
        <v>45580</v>
      </c>
      <c r="Q211" t="s">
        <v>1138</v>
      </c>
      <c r="R211" t="s">
        <v>1135</v>
      </c>
      <c r="S211">
        <v>4</v>
      </c>
      <c r="T211" t="s">
        <v>1143</v>
      </c>
      <c r="U211" s="11" t="str">
        <f t="shared" si="15"/>
        <v>06:08:13 AM</v>
      </c>
      <c r="AC211" s="4">
        <v>45371</v>
      </c>
      <c r="AD211" s="25">
        <v>9960</v>
      </c>
      <c r="BL211" s="2" t="s">
        <v>1361</v>
      </c>
      <c r="BM211" s="4">
        <v>45359</v>
      </c>
      <c r="BN211" s="25">
        <v>9714.32</v>
      </c>
    </row>
    <row r="212" spans="1:66" x14ac:dyDescent="0.35">
      <c r="A212">
        <v>1158</v>
      </c>
      <c r="B212" t="s">
        <v>15</v>
      </c>
      <c r="C212" s="1">
        <v>45231</v>
      </c>
      <c r="D212" t="s">
        <v>1</v>
      </c>
      <c r="E212" t="s">
        <v>21</v>
      </c>
      <c r="F212">
        <v>3</v>
      </c>
      <c r="G212">
        <v>693.05</v>
      </c>
      <c r="H212">
        <v>2079.15</v>
      </c>
      <c r="I212">
        <v>197.54</v>
      </c>
      <c r="J212">
        <v>1881.61</v>
      </c>
      <c r="K212">
        <v>8</v>
      </c>
      <c r="L212" s="11">
        <v>0.32896990740740739</v>
      </c>
      <c r="M212">
        <f t="shared" si="16"/>
        <v>1</v>
      </c>
      <c r="N212">
        <f t="shared" si="17"/>
        <v>11</v>
      </c>
      <c r="O212">
        <f t="shared" si="18"/>
        <v>2023</v>
      </c>
      <c r="P212" s="4">
        <f t="shared" si="19"/>
        <v>45231</v>
      </c>
      <c r="Q212" t="s">
        <v>1134</v>
      </c>
      <c r="R212" t="s">
        <v>1137</v>
      </c>
      <c r="S212">
        <v>1</v>
      </c>
      <c r="T212" t="s">
        <v>1149</v>
      </c>
      <c r="U212" s="11" t="str">
        <f t="shared" si="15"/>
        <v>07:53:43 AM</v>
      </c>
      <c r="AC212" s="4">
        <v>45372</v>
      </c>
      <c r="AD212" s="25">
        <v>7887.49</v>
      </c>
      <c r="BL212" s="2" t="s">
        <v>1362</v>
      </c>
      <c r="BM212" s="4">
        <v>45360</v>
      </c>
      <c r="BN212" s="25">
        <v>9346.630000000001</v>
      </c>
    </row>
    <row r="213" spans="1:66" x14ac:dyDescent="0.35">
      <c r="A213">
        <v>2232</v>
      </c>
      <c r="B213" t="s">
        <v>0</v>
      </c>
      <c r="C213" s="1">
        <v>45830</v>
      </c>
      <c r="D213" t="s">
        <v>17</v>
      </c>
      <c r="E213" t="s">
        <v>10</v>
      </c>
      <c r="F213">
        <v>2</v>
      </c>
      <c r="G213">
        <v>189.24</v>
      </c>
      <c r="H213">
        <v>378.48</v>
      </c>
      <c r="I213">
        <v>0</v>
      </c>
      <c r="J213">
        <v>378.48</v>
      </c>
      <c r="K213">
        <v>279</v>
      </c>
      <c r="L213" s="11">
        <v>0.12142361111111111</v>
      </c>
      <c r="M213">
        <f t="shared" si="16"/>
        <v>22</v>
      </c>
      <c r="N213">
        <f t="shared" si="17"/>
        <v>6</v>
      </c>
      <c r="O213">
        <f t="shared" si="18"/>
        <v>2025</v>
      </c>
      <c r="P213" s="4">
        <f t="shared" si="19"/>
        <v>45830</v>
      </c>
      <c r="Q213" t="s">
        <v>1134</v>
      </c>
      <c r="R213" t="s">
        <v>1135</v>
      </c>
      <c r="S213">
        <v>5</v>
      </c>
      <c r="T213" t="s">
        <v>1144</v>
      </c>
      <c r="U213" s="11" t="str">
        <f t="shared" si="15"/>
        <v>02:54:51 AM</v>
      </c>
      <c r="AC213" s="4">
        <v>45374</v>
      </c>
      <c r="AD213" s="25">
        <v>14451.96</v>
      </c>
      <c r="BL213" s="2" t="s">
        <v>1363</v>
      </c>
      <c r="BM213" s="4">
        <v>45361</v>
      </c>
      <c r="BN213" s="25">
        <v>18718.990000000002</v>
      </c>
    </row>
    <row r="214" spans="1:66" x14ac:dyDescent="0.35">
      <c r="A214">
        <v>3442</v>
      </c>
      <c r="B214" t="s">
        <v>8</v>
      </c>
      <c r="C214" s="1">
        <v>45568</v>
      </c>
      <c r="D214" t="s">
        <v>16</v>
      </c>
      <c r="E214" t="s">
        <v>22</v>
      </c>
      <c r="F214">
        <v>4</v>
      </c>
      <c r="G214">
        <v>1602.73</v>
      </c>
      <c r="H214">
        <v>6410.92</v>
      </c>
      <c r="I214">
        <v>320.38</v>
      </c>
      <c r="J214">
        <v>6090.54</v>
      </c>
      <c r="K214">
        <v>415</v>
      </c>
      <c r="L214" s="11">
        <v>0.38299768518518518</v>
      </c>
      <c r="M214">
        <f t="shared" si="16"/>
        <v>3</v>
      </c>
      <c r="N214">
        <f t="shared" si="17"/>
        <v>10</v>
      </c>
      <c r="O214">
        <f t="shared" si="18"/>
        <v>2024</v>
      </c>
      <c r="P214" s="4">
        <f t="shared" si="19"/>
        <v>45568</v>
      </c>
      <c r="Q214" t="s">
        <v>1138</v>
      </c>
      <c r="R214" t="s">
        <v>1137</v>
      </c>
      <c r="S214">
        <v>2</v>
      </c>
      <c r="T214" t="s">
        <v>1146</v>
      </c>
      <c r="U214" s="11" t="str">
        <f t="shared" si="15"/>
        <v>09:11:31 AM</v>
      </c>
      <c r="AC214" s="4">
        <v>45375</v>
      </c>
      <c r="AD214" s="25">
        <v>10076.199999999999</v>
      </c>
      <c r="BL214" s="2" t="s">
        <v>1364</v>
      </c>
      <c r="BM214" s="4">
        <v>45362</v>
      </c>
      <c r="BN214" s="25">
        <v>1378.63</v>
      </c>
    </row>
    <row r="215" spans="1:66" x14ac:dyDescent="0.35">
      <c r="A215">
        <v>1590</v>
      </c>
      <c r="B215" t="s">
        <v>15</v>
      </c>
      <c r="C215" s="1">
        <v>45793</v>
      </c>
      <c r="D215" t="s">
        <v>1</v>
      </c>
      <c r="E215" t="s">
        <v>26</v>
      </c>
      <c r="F215">
        <v>2</v>
      </c>
      <c r="G215">
        <v>187.58</v>
      </c>
      <c r="H215">
        <v>375.16</v>
      </c>
      <c r="I215">
        <v>56.44</v>
      </c>
      <c r="J215">
        <v>318.72000000000003</v>
      </c>
      <c r="K215">
        <v>102</v>
      </c>
      <c r="L215" s="11">
        <v>0.71834490740740742</v>
      </c>
      <c r="M215">
        <f t="shared" si="16"/>
        <v>16</v>
      </c>
      <c r="N215">
        <f t="shared" si="17"/>
        <v>5</v>
      </c>
      <c r="O215">
        <f t="shared" si="18"/>
        <v>2025</v>
      </c>
      <c r="P215" s="4">
        <f t="shared" si="19"/>
        <v>45793</v>
      </c>
      <c r="Q215" t="s">
        <v>1134</v>
      </c>
      <c r="R215" t="s">
        <v>1135</v>
      </c>
      <c r="S215">
        <v>3</v>
      </c>
      <c r="T215" t="s">
        <v>1145</v>
      </c>
      <c r="U215" s="11" t="str">
        <f t="shared" si="15"/>
        <v>05:14:25 PM</v>
      </c>
      <c r="AC215" s="4">
        <v>45376</v>
      </c>
      <c r="AD215" s="25">
        <v>6844.18</v>
      </c>
      <c r="BL215" s="2" t="s">
        <v>1365</v>
      </c>
      <c r="BM215" s="4">
        <v>45363</v>
      </c>
      <c r="BN215" s="25">
        <v>3744.96</v>
      </c>
    </row>
    <row r="216" spans="1:66" x14ac:dyDescent="0.35">
      <c r="A216">
        <v>7049</v>
      </c>
      <c r="B216" t="s">
        <v>19</v>
      </c>
      <c r="C216" s="1">
        <v>45597</v>
      </c>
      <c r="D216" t="s">
        <v>27</v>
      </c>
      <c r="E216" t="s">
        <v>21</v>
      </c>
      <c r="F216">
        <v>5</v>
      </c>
      <c r="G216">
        <v>1221.76</v>
      </c>
      <c r="H216">
        <v>6108.8</v>
      </c>
      <c r="I216">
        <v>916.32</v>
      </c>
      <c r="J216">
        <v>5192.4799999999996</v>
      </c>
      <c r="K216">
        <v>18</v>
      </c>
      <c r="L216" s="11">
        <v>0.83355324074074078</v>
      </c>
      <c r="M216">
        <f t="shared" si="16"/>
        <v>1</v>
      </c>
      <c r="N216">
        <f t="shared" si="17"/>
        <v>11</v>
      </c>
      <c r="O216">
        <f t="shared" si="18"/>
        <v>2024</v>
      </c>
      <c r="P216" s="4">
        <f t="shared" si="19"/>
        <v>45597</v>
      </c>
      <c r="Q216" t="s">
        <v>1134</v>
      </c>
      <c r="R216" t="s">
        <v>1135</v>
      </c>
      <c r="S216">
        <v>4</v>
      </c>
      <c r="T216" t="s">
        <v>1147</v>
      </c>
      <c r="U216" s="11" t="str">
        <f t="shared" si="15"/>
        <v>08:00:19 PM</v>
      </c>
      <c r="AC216" s="4">
        <v>45377</v>
      </c>
      <c r="AD216" s="25">
        <v>17441.62</v>
      </c>
      <c r="BL216" s="2" t="s">
        <v>1366</v>
      </c>
      <c r="BM216" s="4">
        <v>45364</v>
      </c>
      <c r="BN216" s="25">
        <v>653.21</v>
      </c>
    </row>
    <row r="217" spans="1:66" x14ac:dyDescent="0.35">
      <c r="A217">
        <v>3426</v>
      </c>
      <c r="B217" t="s">
        <v>25</v>
      </c>
      <c r="C217" s="1">
        <v>45478</v>
      </c>
      <c r="D217" t="s">
        <v>1</v>
      </c>
      <c r="E217" t="s">
        <v>10</v>
      </c>
      <c r="F217">
        <v>3</v>
      </c>
      <c r="G217">
        <v>381.8</v>
      </c>
      <c r="H217">
        <v>1145.4000000000001</v>
      </c>
      <c r="I217">
        <v>114.54</v>
      </c>
      <c r="J217">
        <v>1030.8599999999999</v>
      </c>
      <c r="K217">
        <v>188</v>
      </c>
      <c r="L217" s="11">
        <v>0.90798611111111116</v>
      </c>
      <c r="M217">
        <f t="shared" si="16"/>
        <v>5</v>
      </c>
      <c r="N217">
        <f t="shared" si="17"/>
        <v>7</v>
      </c>
      <c r="O217">
        <f t="shared" si="18"/>
        <v>2024</v>
      </c>
      <c r="P217" s="4">
        <f t="shared" si="19"/>
        <v>45478</v>
      </c>
      <c r="Q217" t="s">
        <v>1138</v>
      </c>
      <c r="R217" t="s">
        <v>1137</v>
      </c>
      <c r="S217">
        <v>4</v>
      </c>
      <c r="T217" t="s">
        <v>1147</v>
      </c>
      <c r="U217" s="11" t="str">
        <f t="shared" si="15"/>
        <v>09:47:30 PM</v>
      </c>
      <c r="AC217" s="4">
        <v>45378</v>
      </c>
      <c r="AD217" s="25">
        <v>5432.35</v>
      </c>
      <c r="BL217" s="2" t="s">
        <v>1367</v>
      </c>
      <c r="BM217" s="4">
        <v>45365</v>
      </c>
      <c r="BN217" s="25">
        <v>14372.279999999999</v>
      </c>
    </row>
    <row r="218" spans="1:66" x14ac:dyDescent="0.35">
      <c r="A218">
        <v>3088</v>
      </c>
      <c r="B218" t="s">
        <v>15</v>
      </c>
      <c r="C218" s="1">
        <v>45177</v>
      </c>
      <c r="D218" t="s">
        <v>9</v>
      </c>
      <c r="E218" t="s">
        <v>10</v>
      </c>
      <c r="F218">
        <v>2</v>
      </c>
      <c r="G218">
        <v>1276.54</v>
      </c>
      <c r="H218">
        <v>2553.08</v>
      </c>
      <c r="I218">
        <v>171.81</v>
      </c>
      <c r="J218">
        <v>2381.27</v>
      </c>
      <c r="K218">
        <v>254</v>
      </c>
      <c r="L218" s="11">
        <v>0.54719907407407409</v>
      </c>
      <c r="M218">
        <f t="shared" si="16"/>
        <v>8</v>
      </c>
      <c r="N218">
        <f t="shared" si="17"/>
        <v>9</v>
      </c>
      <c r="O218">
        <f t="shared" si="18"/>
        <v>2023</v>
      </c>
      <c r="P218" s="4">
        <f t="shared" si="19"/>
        <v>45177</v>
      </c>
      <c r="Q218" t="s">
        <v>1136</v>
      </c>
      <c r="R218" t="s">
        <v>1135</v>
      </c>
      <c r="S218">
        <v>2</v>
      </c>
      <c r="T218" t="s">
        <v>1149</v>
      </c>
      <c r="U218" s="11" t="str">
        <f t="shared" si="15"/>
        <v>01:07:58 PM</v>
      </c>
      <c r="AC218" s="4">
        <v>45379</v>
      </c>
      <c r="AD218" s="25">
        <v>2861.84</v>
      </c>
      <c r="BL218" s="2" t="s">
        <v>1368</v>
      </c>
      <c r="BM218" s="4">
        <v>45366</v>
      </c>
      <c r="BN218" s="25">
        <v>5184.18</v>
      </c>
    </row>
    <row r="219" spans="1:66" x14ac:dyDescent="0.35">
      <c r="A219">
        <v>6050</v>
      </c>
      <c r="B219" t="s">
        <v>0</v>
      </c>
      <c r="C219" s="1">
        <v>45428</v>
      </c>
      <c r="D219" t="s">
        <v>9</v>
      </c>
      <c r="E219" t="s">
        <v>32</v>
      </c>
      <c r="F219">
        <v>4</v>
      </c>
      <c r="G219">
        <v>1532.18</v>
      </c>
      <c r="H219">
        <v>6128.72</v>
      </c>
      <c r="I219">
        <v>180.94</v>
      </c>
      <c r="J219">
        <v>5947.78</v>
      </c>
      <c r="K219">
        <v>421</v>
      </c>
      <c r="L219" s="11">
        <v>0.8722685185185185</v>
      </c>
      <c r="M219">
        <f t="shared" si="16"/>
        <v>16</v>
      </c>
      <c r="N219">
        <f t="shared" si="17"/>
        <v>5</v>
      </c>
      <c r="O219">
        <f t="shared" si="18"/>
        <v>2024</v>
      </c>
      <c r="P219" s="4">
        <f t="shared" si="19"/>
        <v>45428</v>
      </c>
      <c r="Q219" t="s">
        <v>1138</v>
      </c>
      <c r="R219" t="s">
        <v>1137</v>
      </c>
      <c r="S219">
        <v>5</v>
      </c>
      <c r="T219" t="s">
        <v>1144</v>
      </c>
      <c r="U219" s="11" t="str">
        <f t="shared" si="15"/>
        <v>08:56:04 PM</v>
      </c>
      <c r="AC219" s="4">
        <v>45380</v>
      </c>
      <c r="AD219" s="25">
        <v>6283.93</v>
      </c>
      <c r="BL219" s="2" t="s">
        <v>1369</v>
      </c>
      <c r="BM219" s="4">
        <v>45367</v>
      </c>
      <c r="BN219" s="25">
        <v>5469.7000000000007</v>
      </c>
    </row>
    <row r="220" spans="1:66" x14ac:dyDescent="0.35">
      <c r="A220">
        <v>1653</v>
      </c>
      <c r="B220" t="s">
        <v>0</v>
      </c>
      <c r="C220" s="1">
        <v>45843</v>
      </c>
      <c r="D220" t="s">
        <v>4</v>
      </c>
      <c r="E220" t="s">
        <v>10</v>
      </c>
      <c r="F220">
        <v>3</v>
      </c>
      <c r="G220">
        <v>820.04</v>
      </c>
      <c r="H220">
        <v>2460.12</v>
      </c>
      <c r="I220">
        <v>492.19</v>
      </c>
      <c r="J220">
        <v>1967.93</v>
      </c>
      <c r="K220">
        <v>308</v>
      </c>
      <c r="L220" s="11">
        <v>0.71704861111111107</v>
      </c>
      <c r="M220">
        <f t="shared" si="16"/>
        <v>5</v>
      </c>
      <c r="N220">
        <f t="shared" si="17"/>
        <v>7</v>
      </c>
      <c r="O220">
        <f t="shared" si="18"/>
        <v>2025</v>
      </c>
      <c r="P220" s="4">
        <f t="shared" si="19"/>
        <v>45843</v>
      </c>
      <c r="Q220" t="s">
        <v>1136</v>
      </c>
      <c r="R220" t="s">
        <v>1137</v>
      </c>
      <c r="S220">
        <v>4</v>
      </c>
      <c r="T220" t="s">
        <v>1149</v>
      </c>
      <c r="U220" s="11" t="str">
        <f t="shared" si="15"/>
        <v>05:12:33 PM</v>
      </c>
      <c r="AC220" s="4">
        <v>45381</v>
      </c>
      <c r="AD220" s="25">
        <v>17600.150000000001</v>
      </c>
      <c r="BL220" s="2" t="s">
        <v>1370</v>
      </c>
      <c r="BM220" s="4">
        <v>45368</v>
      </c>
      <c r="BN220" s="25">
        <v>11891.410000000002</v>
      </c>
    </row>
    <row r="221" spans="1:66" x14ac:dyDescent="0.35">
      <c r="A221">
        <v>6862</v>
      </c>
      <c r="B221" t="s">
        <v>15</v>
      </c>
      <c r="C221" s="1">
        <v>45308</v>
      </c>
      <c r="D221" t="s">
        <v>11</v>
      </c>
      <c r="E221" t="s">
        <v>22</v>
      </c>
      <c r="F221">
        <v>1</v>
      </c>
      <c r="G221">
        <v>1831.81</v>
      </c>
      <c r="H221">
        <v>1831.81</v>
      </c>
      <c r="I221">
        <v>414.17</v>
      </c>
      <c r="J221">
        <v>1417.64</v>
      </c>
      <c r="K221">
        <v>466</v>
      </c>
      <c r="L221" s="11">
        <v>0.91410879629629627</v>
      </c>
      <c r="M221">
        <f t="shared" si="16"/>
        <v>17</v>
      </c>
      <c r="N221">
        <f t="shared" si="17"/>
        <v>1</v>
      </c>
      <c r="O221">
        <f t="shared" si="18"/>
        <v>2024</v>
      </c>
      <c r="P221" s="4">
        <f t="shared" si="19"/>
        <v>45308</v>
      </c>
      <c r="Q221" t="s">
        <v>1134</v>
      </c>
      <c r="R221" t="s">
        <v>1135</v>
      </c>
      <c r="S221">
        <v>2</v>
      </c>
      <c r="T221" t="s">
        <v>1148</v>
      </c>
      <c r="U221" s="11" t="str">
        <f t="shared" si="15"/>
        <v>09:56:19 PM</v>
      </c>
      <c r="AC221" s="4">
        <v>45382</v>
      </c>
      <c r="AD221" s="25">
        <v>18059.14</v>
      </c>
      <c r="BL221" s="2" t="s">
        <v>1371</v>
      </c>
      <c r="BM221" s="4">
        <v>45369</v>
      </c>
      <c r="BN221" s="25">
        <v>21926.940000000002</v>
      </c>
    </row>
    <row r="222" spans="1:66" x14ac:dyDescent="0.35">
      <c r="A222">
        <v>5088</v>
      </c>
      <c r="B222" t="s">
        <v>19</v>
      </c>
      <c r="C222" s="1">
        <v>45663</v>
      </c>
      <c r="D222" t="s">
        <v>16</v>
      </c>
      <c r="E222" t="s">
        <v>29</v>
      </c>
      <c r="F222">
        <v>1</v>
      </c>
      <c r="G222">
        <v>1697.35</v>
      </c>
      <c r="H222">
        <v>1697.35</v>
      </c>
      <c r="I222">
        <v>348.6</v>
      </c>
      <c r="J222">
        <v>1348.75</v>
      </c>
      <c r="K222">
        <v>207</v>
      </c>
      <c r="L222" s="11">
        <v>0.72328703703703701</v>
      </c>
      <c r="M222">
        <f t="shared" si="16"/>
        <v>6</v>
      </c>
      <c r="N222">
        <f t="shared" si="17"/>
        <v>1</v>
      </c>
      <c r="O222">
        <f t="shared" si="18"/>
        <v>2025</v>
      </c>
      <c r="P222" s="4">
        <f t="shared" si="19"/>
        <v>45663</v>
      </c>
      <c r="Q222" t="s">
        <v>1134</v>
      </c>
      <c r="R222" t="s">
        <v>1135</v>
      </c>
      <c r="S222">
        <v>1</v>
      </c>
      <c r="T222" t="s">
        <v>1144</v>
      </c>
      <c r="U222" s="11" t="str">
        <f t="shared" si="15"/>
        <v>05:21:32 PM</v>
      </c>
      <c r="AC222" s="4">
        <v>45383</v>
      </c>
      <c r="AD222" s="25">
        <v>9923.48</v>
      </c>
      <c r="BL222" s="2" t="s">
        <v>1372</v>
      </c>
      <c r="BM222" s="4">
        <v>45370</v>
      </c>
      <c r="BN222" s="25">
        <v>9952.5299999999988</v>
      </c>
    </row>
    <row r="223" spans="1:66" x14ac:dyDescent="0.35">
      <c r="A223">
        <v>2684</v>
      </c>
      <c r="B223" t="s">
        <v>8</v>
      </c>
      <c r="C223" s="1">
        <v>45419</v>
      </c>
      <c r="D223" t="s">
        <v>1</v>
      </c>
      <c r="E223" t="s">
        <v>30</v>
      </c>
      <c r="F223">
        <v>5</v>
      </c>
      <c r="G223">
        <v>1713.95</v>
      </c>
      <c r="H223">
        <v>8569.75</v>
      </c>
      <c r="I223">
        <v>1713.95</v>
      </c>
      <c r="J223">
        <v>6855.8</v>
      </c>
      <c r="K223">
        <v>224</v>
      </c>
      <c r="L223" s="11">
        <v>0.91539351851851847</v>
      </c>
      <c r="M223">
        <f t="shared" si="16"/>
        <v>7</v>
      </c>
      <c r="N223">
        <f t="shared" si="17"/>
        <v>5</v>
      </c>
      <c r="O223">
        <f t="shared" si="18"/>
        <v>2024</v>
      </c>
      <c r="P223" s="4">
        <f t="shared" si="19"/>
        <v>45419</v>
      </c>
      <c r="Q223" t="s">
        <v>1134</v>
      </c>
      <c r="R223" t="s">
        <v>1137</v>
      </c>
      <c r="S223">
        <v>5</v>
      </c>
      <c r="T223" t="s">
        <v>1141</v>
      </c>
      <c r="U223" s="11" t="str">
        <f t="shared" si="15"/>
        <v>09:58:10 PM</v>
      </c>
      <c r="AC223" s="4">
        <v>45384</v>
      </c>
      <c r="AD223" s="25">
        <v>6996.07</v>
      </c>
      <c r="BL223" s="2" t="s">
        <v>1373</v>
      </c>
      <c r="BM223" s="4">
        <v>45371</v>
      </c>
      <c r="BN223" s="25">
        <v>9960</v>
      </c>
    </row>
    <row r="224" spans="1:66" x14ac:dyDescent="0.35">
      <c r="A224">
        <v>7658</v>
      </c>
      <c r="B224" t="s">
        <v>0</v>
      </c>
      <c r="C224" s="1">
        <v>45627</v>
      </c>
      <c r="D224" t="s">
        <v>6</v>
      </c>
      <c r="E224" t="s">
        <v>12</v>
      </c>
      <c r="F224">
        <v>3</v>
      </c>
      <c r="G224">
        <v>1003.47</v>
      </c>
      <c r="H224">
        <v>3010.41</v>
      </c>
      <c r="I224">
        <v>133.63</v>
      </c>
      <c r="J224">
        <v>2876.78</v>
      </c>
      <c r="K224">
        <v>290</v>
      </c>
      <c r="L224" s="11">
        <v>0.69762731481481477</v>
      </c>
      <c r="M224">
        <f t="shared" si="16"/>
        <v>1</v>
      </c>
      <c r="N224">
        <f t="shared" si="17"/>
        <v>12</v>
      </c>
      <c r="O224">
        <f t="shared" si="18"/>
        <v>2024</v>
      </c>
      <c r="P224" s="4">
        <f t="shared" si="19"/>
        <v>45627</v>
      </c>
      <c r="Q224" t="s">
        <v>1139</v>
      </c>
      <c r="R224" t="s">
        <v>1135</v>
      </c>
      <c r="S224">
        <v>3</v>
      </c>
      <c r="T224" t="s">
        <v>1141</v>
      </c>
      <c r="U224" s="11" t="str">
        <f t="shared" si="15"/>
        <v>04:44:35 PM</v>
      </c>
      <c r="AC224" s="4">
        <v>45385</v>
      </c>
      <c r="AD224" s="25">
        <v>14978.18</v>
      </c>
      <c r="BL224" s="2" t="s">
        <v>1374</v>
      </c>
      <c r="BM224" s="4">
        <v>45372</v>
      </c>
      <c r="BN224" s="25">
        <v>7887.49</v>
      </c>
    </row>
    <row r="225" spans="1:66" x14ac:dyDescent="0.35">
      <c r="A225">
        <v>3532</v>
      </c>
      <c r="B225" t="s">
        <v>15</v>
      </c>
      <c r="C225" s="1">
        <v>45864</v>
      </c>
      <c r="D225" t="s">
        <v>11</v>
      </c>
      <c r="E225" t="s">
        <v>12</v>
      </c>
      <c r="F225">
        <v>4</v>
      </c>
      <c r="G225">
        <v>1918.96</v>
      </c>
      <c r="H225">
        <v>7675.84</v>
      </c>
      <c r="I225">
        <v>205.01</v>
      </c>
      <c r="J225">
        <v>7470.83</v>
      </c>
      <c r="K225">
        <v>293</v>
      </c>
      <c r="L225" s="11">
        <v>0.24643518518518517</v>
      </c>
      <c r="M225">
        <f t="shared" si="16"/>
        <v>26</v>
      </c>
      <c r="N225">
        <f t="shared" si="17"/>
        <v>7</v>
      </c>
      <c r="O225">
        <f t="shared" si="18"/>
        <v>2025</v>
      </c>
      <c r="P225" s="4">
        <f t="shared" si="19"/>
        <v>45864</v>
      </c>
      <c r="Q225" t="s">
        <v>1136</v>
      </c>
      <c r="R225" t="s">
        <v>1135</v>
      </c>
      <c r="S225">
        <v>4</v>
      </c>
      <c r="T225" t="s">
        <v>1148</v>
      </c>
      <c r="U225" s="11" t="str">
        <f t="shared" si="15"/>
        <v>05:54:52 AM</v>
      </c>
      <c r="AC225" s="4">
        <v>45386</v>
      </c>
      <c r="AD225" s="25">
        <v>991.02</v>
      </c>
      <c r="BL225" s="2" t="s">
        <v>1375</v>
      </c>
      <c r="BM225" s="4">
        <v>45374</v>
      </c>
      <c r="BN225" s="25">
        <v>14451.96</v>
      </c>
    </row>
    <row r="226" spans="1:66" x14ac:dyDescent="0.35">
      <c r="A226">
        <v>4878</v>
      </c>
      <c r="B226" t="s">
        <v>25</v>
      </c>
      <c r="C226" s="1">
        <v>45816</v>
      </c>
      <c r="D226" t="s">
        <v>16</v>
      </c>
      <c r="E226" t="s">
        <v>2</v>
      </c>
      <c r="F226">
        <v>2</v>
      </c>
      <c r="G226">
        <v>2394.5500000000002</v>
      </c>
      <c r="H226">
        <v>4789.1000000000004</v>
      </c>
      <c r="I226">
        <v>478.91</v>
      </c>
      <c r="J226">
        <v>4310.1899999999996</v>
      </c>
      <c r="K226">
        <v>13</v>
      </c>
      <c r="L226" s="11">
        <v>3.5844907407407409E-2</v>
      </c>
      <c r="M226">
        <f t="shared" si="16"/>
        <v>8</v>
      </c>
      <c r="N226">
        <f t="shared" si="17"/>
        <v>6</v>
      </c>
      <c r="O226">
        <f t="shared" si="18"/>
        <v>2025</v>
      </c>
      <c r="P226" s="4">
        <f t="shared" si="19"/>
        <v>45816</v>
      </c>
      <c r="Q226" t="s">
        <v>1139</v>
      </c>
      <c r="R226" t="s">
        <v>1135</v>
      </c>
      <c r="S226">
        <v>2</v>
      </c>
      <c r="T226" t="s">
        <v>1150</v>
      </c>
      <c r="U226" s="11" t="str">
        <f t="shared" si="15"/>
        <v>12:51:37 AM</v>
      </c>
      <c r="AC226" s="4">
        <v>45387</v>
      </c>
      <c r="AD226" s="25">
        <v>9720.9600000000009</v>
      </c>
      <c r="BL226" s="2" t="s">
        <v>1376</v>
      </c>
      <c r="BM226" s="4">
        <v>45375</v>
      </c>
      <c r="BN226" s="25">
        <v>10076.199999999999</v>
      </c>
    </row>
    <row r="227" spans="1:66" x14ac:dyDescent="0.35">
      <c r="A227">
        <v>3662</v>
      </c>
      <c r="B227" t="s">
        <v>3</v>
      </c>
      <c r="C227" s="1">
        <v>45766</v>
      </c>
      <c r="D227" t="s">
        <v>9</v>
      </c>
      <c r="E227" t="s">
        <v>7</v>
      </c>
      <c r="F227">
        <v>1</v>
      </c>
      <c r="G227">
        <v>712.14</v>
      </c>
      <c r="H227">
        <v>712.14</v>
      </c>
      <c r="I227">
        <v>142.76</v>
      </c>
      <c r="J227">
        <v>569.38</v>
      </c>
      <c r="K227">
        <v>133</v>
      </c>
      <c r="L227" s="11">
        <v>0.14901620370370369</v>
      </c>
      <c r="M227">
        <f t="shared" si="16"/>
        <v>19</v>
      </c>
      <c r="N227">
        <f t="shared" si="17"/>
        <v>4</v>
      </c>
      <c r="O227">
        <f t="shared" si="18"/>
        <v>2025</v>
      </c>
      <c r="P227" s="4">
        <f t="shared" si="19"/>
        <v>45766</v>
      </c>
      <c r="Q227" t="s">
        <v>1139</v>
      </c>
      <c r="R227" t="s">
        <v>1135</v>
      </c>
      <c r="S227">
        <v>1</v>
      </c>
      <c r="T227" t="s">
        <v>1148</v>
      </c>
      <c r="U227" s="11" t="str">
        <f t="shared" si="15"/>
        <v>03:34:35 AM</v>
      </c>
      <c r="AC227" s="4">
        <v>45388</v>
      </c>
      <c r="AD227" s="25">
        <v>3193.84</v>
      </c>
      <c r="BL227" s="2" t="s">
        <v>1377</v>
      </c>
      <c r="BM227" s="4">
        <v>45376</v>
      </c>
      <c r="BN227" s="25">
        <v>6844.18</v>
      </c>
    </row>
    <row r="228" spans="1:66" x14ac:dyDescent="0.35">
      <c r="A228">
        <v>3900</v>
      </c>
      <c r="B228" t="s">
        <v>19</v>
      </c>
      <c r="C228" s="1">
        <v>45829</v>
      </c>
      <c r="D228" t="s">
        <v>34</v>
      </c>
      <c r="E228" t="s">
        <v>33</v>
      </c>
      <c r="F228">
        <v>1</v>
      </c>
      <c r="G228">
        <v>409.19</v>
      </c>
      <c r="H228">
        <v>409.19</v>
      </c>
      <c r="I228">
        <v>82.17</v>
      </c>
      <c r="J228">
        <v>327.02</v>
      </c>
      <c r="K228">
        <v>37</v>
      </c>
      <c r="L228" s="11">
        <v>5.4166666666666669E-2</v>
      </c>
      <c r="M228">
        <f t="shared" si="16"/>
        <v>21</v>
      </c>
      <c r="N228">
        <f t="shared" si="17"/>
        <v>6</v>
      </c>
      <c r="O228">
        <f t="shared" si="18"/>
        <v>2025</v>
      </c>
      <c r="P228" s="4">
        <f t="shared" si="19"/>
        <v>45829</v>
      </c>
      <c r="Q228" t="s">
        <v>1138</v>
      </c>
      <c r="R228" t="s">
        <v>1135</v>
      </c>
      <c r="S228">
        <v>3</v>
      </c>
      <c r="T228" t="s">
        <v>1148</v>
      </c>
      <c r="U228" s="11" t="str">
        <f t="shared" si="15"/>
        <v>01:18:00 AM</v>
      </c>
      <c r="AC228" s="4">
        <v>45389</v>
      </c>
      <c r="AD228" s="25">
        <v>16758.53</v>
      </c>
      <c r="BL228" s="2" t="s">
        <v>1378</v>
      </c>
      <c r="BM228" s="4">
        <v>45377</v>
      </c>
      <c r="BN228" s="25">
        <v>17441.62</v>
      </c>
    </row>
    <row r="229" spans="1:66" x14ac:dyDescent="0.35">
      <c r="A229">
        <v>7755</v>
      </c>
      <c r="B229" t="s">
        <v>15</v>
      </c>
      <c r="C229" s="1">
        <v>45164</v>
      </c>
      <c r="D229" t="s">
        <v>4</v>
      </c>
      <c r="E229" t="s">
        <v>10</v>
      </c>
      <c r="F229">
        <v>3</v>
      </c>
      <c r="G229">
        <v>1790.31</v>
      </c>
      <c r="H229">
        <v>5370.93</v>
      </c>
      <c r="I229">
        <v>805.93</v>
      </c>
      <c r="J229">
        <v>4565</v>
      </c>
      <c r="K229">
        <v>281</v>
      </c>
      <c r="L229" s="11">
        <v>0.4613888888888889</v>
      </c>
      <c r="M229">
        <f t="shared" si="16"/>
        <v>26</v>
      </c>
      <c r="N229">
        <f t="shared" si="17"/>
        <v>8</v>
      </c>
      <c r="O229">
        <f t="shared" si="18"/>
        <v>2023</v>
      </c>
      <c r="P229" s="4">
        <f t="shared" si="19"/>
        <v>45164</v>
      </c>
      <c r="Q229" t="s">
        <v>1139</v>
      </c>
      <c r="R229" t="s">
        <v>1137</v>
      </c>
      <c r="S229">
        <v>2</v>
      </c>
      <c r="T229" t="s">
        <v>1149</v>
      </c>
      <c r="U229" s="11" t="str">
        <f t="shared" si="15"/>
        <v>11:04:24 AM</v>
      </c>
      <c r="AC229" s="4">
        <v>45390</v>
      </c>
      <c r="AD229" s="25">
        <v>17759.510000000002</v>
      </c>
      <c r="BL229" s="2" t="s">
        <v>1379</v>
      </c>
      <c r="BM229" s="4">
        <v>45378</v>
      </c>
      <c r="BN229" s="25">
        <v>5432.35</v>
      </c>
    </row>
    <row r="230" spans="1:66" x14ac:dyDescent="0.35">
      <c r="A230">
        <v>3938</v>
      </c>
      <c r="B230" t="s">
        <v>8</v>
      </c>
      <c r="C230" s="1">
        <v>45717</v>
      </c>
      <c r="D230" t="s">
        <v>16</v>
      </c>
      <c r="E230" t="s">
        <v>18</v>
      </c>
      <c r="F230">
        <v>3</v>
      </c>
      <c r="G230">
        <v>1306.42</v>
      </c>
      <c r="H230">
        <v>3919.26</v>
      </c>
      <c r="I230">
        <v>783.52</v>
      </c>
      <c r="J230">
        <v>3135.74</v>
      </c>
      <c r="K230">
        <v>62</v>
      </c>
      <c r="L230" s="11">
        <v>0.12046296296296297</v>
      </c>
      <c r="M230">
        <f t="shared" si="16"/>
        <v>1</v>
      </c>
      <c r="N230">
        <f t="shared" si="17"/>
        <v>3</v>
      </c>
      <c r="O230">
        <f t="shared" si="18"/>
        <v>2025</v>
      </c>
      <c r="P230" s="4">
        <f t="shared" si="19"/>
        <v>45717</v>
      </c>
      <c r="Q230" t="s">
        <v>1138</v>
      </c>
      <c r="R230" t="s">
        <v>1137</v>
      </c>
      <c r="S230">
        <v>2</v>
      </c>
      <c r="T230" t="s">
        <v>1142</v>
      </c>
      <c r="U230" s="11" t="str">
        <f t="shared" si="15"/>
        <v>02:53:28 AM</v>
      </c>
      <c r="AC230" s="4">
        <v>45391</v>
      </c>
      <c r="AD230" s="25">
        <v>286.35000000000002</v>
      </c>
      <c r="BL230" s="2" t="s">
        <v>1380</v>
      </c>
      <c r="BM230" s="4">
        <v>45379</v>
      </c>
      <c r="BN230" s="25">
        <v>2861.84</v>
      </c>
    </row>
    <row r="231" spans="1:66" x14ac:dyDescent="0.35">
      <c r="A231">
        <v>6442</v>
      </c>
      <c r="B231" t="s">
        <v>31</v>
      </c>
      <c r="C231" s="1">
        <v>45752</v>
      </c>
      <c r="D231" t="s">
        <v>34</v>
      </c>
      <c r="E231" t="s">
        <v>28</v>
      </c>
      <c r="F231">
        <v>3</v>
      </c>
      <c r="G231">
        <v>1415.98</v>
      </c>
      <c r="H231">
        <v>4247.9399999999996</v>
      </c>
      <c r="I231">
        <v>126.16</v>
      </c>
      <c r="J231">
        <v>4121.78</v>
      </c>
      <c r="K231">
        <v>188</v>
      </c>
      <c r="L231" s="11">
        <v>0.8283449074074074</v>
      </c>
      <c r="M231">
        <f t="shared" si="16"/>
        <v>5</v>
      </c>
      <c r="N231">
        <f t="shared" si="17"/>
        <v>4</v>
      </c>
      <c r="O231">
        <f t="shared" si="18"/>
        <v>2025</v>
      </c>
      <c r="P231" s="4">
        <f t="shared" si="19"/>
        <v>45752</v>
      </c>
      <c r="Q231" t="s">
        <v>1138</v>
      </c>
      <c r="R231" t="s">
        <v>1135</v>
      </c>
      <c r="S231">
        <v>3</v>
      </c>
      <c r="T231" t="s">
        <v>1141</v>
      </c>
      <c r="U231" s="11" t="str">
        <f t="shared" si="15"/>
        <v>07:52:49 PM</v>
      </c>
      <c r="AC231" s="4">
        <v>45392</v>
      </c>
      <c r="AD231" s="25">
        <v>8015.3100000000013</v>
      </c>
      <c r="BL231" s="2" t="s">
        <v>1381</v>
      </c>
      <c r="BM231" s="4">
        <v>45380</v>
      </c>
      <c r="BN231" s="25">
        <v>6283.93</v>
      </c>
    </row>
    <row r="232" spans="1:66" x14ac:dyDescent="0.35">
      <c r="A232">
        <v>7745</v>
      </c>
      <c r="B232" t="s">
        <v>0</v>
      </c>
      <c r="C232" s="1">
        <v>45768</v>
      </c>
      <c r="D232" t="s">
        <v>4</v>
      </c>
      <c r="E232" t="s">
        <v>26</v>
      </c>
      <c r="F232">
        <v>4</v>
      </c>
      <c r="G232">
        <v>2488.34</v>
      </c>
      <c r="H232">
        <v>9953.36</v>
      </c>
      <c r="I232">
        <v>219.12</v>
      </c>
      <c r="J232">
        <v>9734.24</v>
      </c>
      <c r="K232">
        <v>368</v>
      </c>
      <c r="L232" s="11">
        <v>0.7580324074074074</v>
      </c>
      <c r="M232">
        <f t="shared" si="16"/>
        <v>21</v>
      </c>
      <c r="N232">
        <f t="shared" si="17"/>
        <v>4</v>
      </c>
      <c r="O232">
        <f t="shared" si="18"/>
        <v>2025</v>
      </c>
      <c r="P232" s="4">
        <f t="shared" si="19"/>
        <v>45768</v>
      </c>
      <c r="Q232" t="s">
        <v>1139</v>
      </c>
      <c r="R232" t="s">
        <v>1135</v>
      </c>
      <c r="S232">
        <v>1</v>
      </c>
      <c r="T232" t="s">
        <v>1142</v>
      </c>
      <c r="U232" s="11" t="str">
        <f t="shared" si="15"/>
        <v>06:11:34 PM</v>
      </c>
      <c r="AC232" s="4">
        <v>45394</v>
      </c>
      <c r="AD232" s="25">
        <v>2542.29</v>
      </c>
      <c r="BL232" s="2" t="s">
        <v>1382</v>
      </c>
      <c r="BM232" s="4">
        <v>45381</v>
      </c>
      <c r="BN232" s="25">
        <v>17600.150000000001</v>
      </c>
    </row>
    <row r="233" spans="1:66" x14ac:dyDescent="0.35">
      <c r="A233">
        <v>5065</v>
      </c>
      <c r="B233" t="s">
        <v>13</v>
      </c>
      <c r="C233" s="1">
        <v>45352</v>
      </c>
      <c r="D233" t="s">
        <v>17</v>
      </c>
      <c r="E233" t="s">
        <v>32</v>
      </c>
      <c r="F233">
        <v>2</v>
      </c>
      <c r="G233">
        <v>2422.77</v>
      </c>
      <c r="H233">
        <v>4845.54</v>
      </c>
      <c r="I233">
        <v>484.72</v>
      </c>
      <c r="J233">
        <v>4360.82</v>
      </c>
      <c r="K233">
        <v>328</v>
      </c>
      <c r="L233" s="11">
        <v>0.75559027777777776</v>
      </c>
      <c r="M233">
        <f t="shared" si="16"/>
        <v>1</v>
      </c>
      <c r="N233">
        <f t="shared" si="17"/>
        <v>3</v>
      </c>
      <c r="O233">
        <f t="shared" si="18"/>
        <v>2024</v>
      </c>
      <c r="P233" s="4">
        <f t="shared" si="19"/>
        <v>45352</v>
      </c>
      <c r="Q233" t="s">
        <v>1136</v>
      </c>
      <c r="R233" t="s">
        <v>1135</v>
      </c>
      <c r="S233">
        <v>1</v>
      </c>
      <c r="T233" t="s">
        <v>1148</v>
      </c>
      <c r="U233" s="11" t="str">
        <f t="shared" si="15"/>
        <v>06:08:03 PM</v>
      </c>
      <c r="AC233" s="4">
        <v>45395</v>
      </c>
      <c r="AD233" s="25">
        <v>5826.5999999999995</v>
      </c>
      <c r="BL233" s="2" t="s">
        <v>1383</v>
      </c>
      <c r="BM233" s="4">
        <v>45382</v>
      </c>
      <c r="BN233" s="25">
        <v>18059.14</v>
      </c>
    </row>
    <row r="234" spans="1:66" x14ac:dyDescent="0.35">
      <c r="A234">
        <v>3608</v>
      </c>
      <c r="B234" t="s">
        <v>15</v>
      </c>
      <c r="C234" s="1">
        <v>45756</v>
      </c>
      <c r="D234" t="s">
        <v>16</v>
      </c>
      <c r="E234" t="s">
        <v>36</v>
      </c>
      <c r="F234">
        <v>3</v>
      </c>
      <c r="G234">
        <v>390.93</v>
      </c>
      <c r="H234">
        <v>1172.79</v>
      </c>
      <c r="I234">
        <v>234.89</v>
      </c>
      <c r="J234">
        <v>937.9</v>
      </c>
      <c r="K234">
        <v>424</v>
      </c>
      <c r="L234" s="11">
        <v>8.7719907407407413E-2</v>
      </c>
      <c r="M234">
        <f t="shared" si="16"/>
        <v>9</v>
      </c>
      <c r="N234">
        <f t="shared" si="17"/>
        <v>4</v>
      </c>
      <c r="O234">
        <f t="shared" si="18"/>
        <v>2025</v>
      </c>
      <c r="P234" s="4">
        <f t="shared" si="19"/>
        <v>45756</v>
      </c>
      <c r="Q234" t="s">
        <v>1136</v>
      </c>
      <c r="R234" t="s">
        <v>1137</v>
      </c>
      <c r="S234">
        <v>5</v>
      </c>
      <c r="T234" t="s">
        <v>1150</v>
      </c>
      <c r="U234" s="11" t="str">
        <f t="shared" ref="U234:U297" si="20">TEXT(L234,"hh:mm:ss AM/PM")</f>
        <v>02:06:19 AM</v>
      </c>
      <c r="AC234" s="4">
        <v>45396</v>
      </c>
      <c r="AD234" s="25">
        <v>4410.62</v>
      </c>
      <c r="BL234" s="2" t="s">
        <v>1384</v>
      </c>
      <c r="BM234" s="4">
        <v>45383</v>
      </c>
      <c r="BN234" s="25">
        <v>9923.48</v>
      </c>
    </row>
    <row r="235" spans="1:66" x14ac:dyDescent="0.35">
      <c r="A235">
        <v>2771</v>
      </c>
      <c r="B235" t="s">
        <v>13</v>
      </c>
      <c r="C235" s="1">
        <v>45442</v>
      </c>
      <c r="D235" t="s">
        <v>27</v>
      </c>
      <c r="E235" t="s">
        <v>29</v>
      </c>
      <c r="F235">
        <v>1</v>
      </c>
      <c r="G235">
        <v>1328.83</v>
      </c>
      <c r="H235">
        <v>1328.83</v>
      </c>
      <c r="I235">
        <v>265.60000000000002</v>
      </c>
      <c r="J235">
        <v>1063.23</v>
      </c>
      <c r="K235">
        <v>155</v>
      </c>
      <c r="L235" s="11">
        <v>0.12344907407407407</v>
      </c>
      <c r="M235">
        <f t="shared" si="16"/>
        <v>30</v>
      </c>
      <c r="N235">
        <f t="shared" si="17"/>
        <v>5</v>
      </c>
      <c r="O235">
        <f t="shared" si="18"/>
        <v>2024</v>
      </c>
      <c r="P235" s="4">
        <f t="shared" si="19"/>
        <v>45442</v>
      </c>
      <c r="Q235" t="s">
        <v>1136</v>
      </c>
      <c r="R235" t="s">
        <v>1135</v>
      </c>
      <c r="S235">
        <v>4</v>
      </c>
      <c r="T235" t="s">
        <v>1141</v>
      </c>
      <c r="U235" s="11" t="str">
        <f t="shared" si="20"/>
        <v>02:57:46 AM</v>
      </c>
      <c r="AC235" s="4">
        <v>45397</v>
      </c>
      <c r="AD235" s="25">
        <v>1470.76</v>
      </c>
      <c r="BL235" s="2" t="s">
        <v>1385</v>
      </c>
      <c r="BM235" s="4">
        <v>45384</v>
      </c>
      <c r="BN235" s="25">
        <v>6996.07</v>
      </c>
    </row>
    <row r="236" spans="1:66" x14ac:dyDescent="0.35">
      <c r="A236">
        <v>1634</v>
      </c>
      <c r="B236" t="s">
        <v>25</v>
      </c>
      <c r="C236" s="1">
        <v>45811</v>
      </c>
      <c r="D236" t="s">
        <v>6</v>
      </c>
      <c r="E236" t="s">
        <v>12</v>
      </c>
      <c r="F236">
        <v>5</v>
      </c>
      <c r="G236">
        <v>2236.02</v>
      </c>
      <c r="H236">
        <v>11180.1</v>
      </c>
      <c r="I236">
        <v>1676.6</v>
      </c>
      <c r="J236">
        <v>9503.5</v>
      </c>
      <c r="K236">
        <v>433</v>
      </c>
      <c r="L236" s="11">
        <v>0.97876157407407405</v>
      </c>
      <c r="M236">
        <f t="shared" si="16"/>
        <v>3</v>
      </c>
      <c r="N236">
        <f t="shared" si="17"/>
        <v>6</v>
      </c>
      <c r="O236">
        <f t="shared" si="18"/>
        <v>2025</v>
      </c>
      <c r="P236" s="4">
        <f t="shared" si="19"/>
        <v>45811</v>
      </c>
      <c r="Q236" t="s">
        <v>1136</v>
      </c>
      <c r="R236" t="s">
        <v>1137</v>
      </c>
      <c r="S236">
        <v>3</v>
      </c>
      <c r="T236" t="s">
        <v>1144</v>
      </c>
      <c r="U236" s="11" t="str">
        <f t="shared" si="20"/>
        <v>11:29:25 PM</v>
      </c>
      <c r="AC236" s="4">
        <v>45398</v>
      </c>
      <c r="AD236" s="25">
        <v>26193.14</v>
      </c>
      <c r="BL236" s="2" t="s">
        <v>1386</v>
      </c>
      <c r="BM236" s="4">
        <v>45385</v>
      </c>
      <c r="BN236" s="25">
        <v>14978.18</v>
      </c>
    </row>
    <row r="237" spans="1:66" x14ac:dyDescent="0.35">
      <c r="A237">
        <v>8711</v>
      </c>
      <c r="B237" t="s">
        <v>31</v>
      </c>
      <c r="C237" s="1">
        <v>45317</v>
      </c>
      <c r="D237" t="s">
        <v>16</v>
      </c>
      <c r="E237" t="s">
        <v>7</v>
      </c>
      <c r="F237">
        <v>3</v>
      </c>
      <c r="G237">
        <v>383.46</v>
      </c>
      <c r="H237">
        <v>1150.3800000000001</v>
      </c>
      <c r="I237">
        <v>295.48</v>
      </c>
      <c r="J237">
        <v>854.9</v>
      </c>
      <c r="K237">
        <v>155</v>
      </c>
      <c r="L237" s="11">
        <v>0.80009259259259258</v>
      </c>
      <c r="M237">
        <f t="shared" si="16"/>
        <v>26</v>
      </c>
      <c r="N237">
        <f t="shared" si="17"/>
        <v>1</v>
      </c>
      <c r="O237">
        <f t="shared" si="18"/>
        <v>2024</v>
      </c>
      <c r="P237" s="4">
        <f t="shared" si="19"/>
        <v>45317</v>
      </c>
      <c r="Q237" t="s">
        <v>1136</v>
      </c>
      <c r="R237" t="s">
        <v>1137</v>
      </c>
      <c r="S237">
        <v>3</v>
      </c>
      <c r="T237" t="s">
        <v>1144</v>
      </c>
      <c r="U237" s="11" t="str">
        <f t="shared" si="20"/>
        <v>07:12:08 PM</v>
      </c>
      <c r="AC237" s="4">
        <v>45399</v>
      </c>
      <c r="AD237" s="25">
        <v>14311.689999999999</v>
      </c>
      <c r="BL237" s="2" t="s">
        <v>1387</v>
      </c>
      <c r="BM237" s="4">
        <v>45386</v>
      </c>
      <c r="BN237" s="25">
        <v>991.02</v>
      </c>
    </row>
    <row r="238" spans="1:66" x14ac:dyDescent="0.35">
      <c r="A238">
        <v>4269</v>
      </c>
      <c r="B238" t="s">
        <v>8</v>
      </c>
      <c r="C238" s="1">
        <v>45779</v>
      </c>
      <c r="D238" t="s">
        <v>23</v>
      </c>
      <c r="E238" t="s">
        <v>10</v>
      </c>
      <c r="F238">
        <v>5</v>
      </c>
      <c r="G238">
        <v>180.94</v>
      </c>
      <c r="H238">
        <v>904.7</v>
      </c>
      <c r="I238">
        <v>97.94</v>
      </c>
      <c r="J238">
        <v>806.76</v>
      </c>
      <c r="K238">
        <v>442</v>
      </c>
      <c r="L238" s="11">
        <v>0.15519675925925927</v>
      </c>
      <c r="M238">
        <f t="shared" si="16"/>
        <v>2</v>
      </c>
      <c r="N238">
        <f t="shared" si="17"/>
        <v>5</v>
      </c>
      <c r="O238">
        <f t="shared" si="18"/>
        <v>2025</v>
      </c>
      <c r="P238" s="4">
        <f t="shared" si="19"/>
        <v>45779</v>
      </c>
      <c r="Q238" t="s">
        <v>1139</v>
      </c>
      <c r="R238" t="s">
        <v>1137</v>
      </c>
      <c r="S238">
        <v>3</v>
      </c>
      <c r="T238" t="s">
        <v>1144</v>
      </c>
      <c r="U238" s="11" t="str">
        <f t="shared" si="20"/>
        <v>03:43:29 AM</v>
      </c>
      <c r="AC238" s="4">
        <v>45400</v>
      </c>
      <c r="AD238" s="25">
        <v>5610.8</v>
      </c>
      <c r="BL238" s="2" t="s">
        <v>1388</v>
      </c>
      <c r="BM238" s="4">
        <v>45387</v>
      </c>
      <c r="BN238" s="25">
        <v>9720.9600000000009</v>
      </c>
    </row>
    <row r="239" spans="1:66" x14ac:dyDescent="0.35">
      <c r="A239">
        <v>8541</v>
      </c>
      <c r="B239" t="s">
        <v>19</v>
      </c>
      <c r="C239" s="1">
        <v>45416</v>
      </c>
      <c r="D239" t="s">
        <v>16</v>
      </c>
      <c r="E239" t="s">
        <v>33</v>
      </c>
      <c r="F239">
        <v>5</v>
      </c>
      <c r="G239">
        <v>1084.81</v>
      </c>
      <c r="H239">
        <v>5424.05</v>
      </c>
      <c r="I239">
        <v>542.82000000000005</v>
      </c>
      <c r="J239">
        <v>4881.2299999999996</v>
      </c>
      <c r="K239">
        <v>327</v>
      </c>
      <c r="L239" s="11">
        <v>0.3792476851851852</v>
      </c>
      <c r="M239">
        <f t="shared" si="16"/>
        <v>4</v>
      </c>
      <c r="N239">
        <f t="shared" si="17"/>
        <v>5</v>
      </c>
      <c r="O239">
        <f t="shared" si="18"/>
        <v>2024</v>
      </c>
      <c r="P239" s="4">
        <f t="shared" si="19"/>
        <v>45416</v>
      </c>
      <c r="Q239" t="s">
        <v>1139</v>
      </c>
      <c r="R239" t="s">
        <v>1135</v>
      </c>
      <c r="S239">
        <v>1</v>
      </c>
      <c r="T239" t="s">
        <v>1146</v>
      </c>
      <c r="U239" s="11" t="str">
        <f t="shared" si="20"/>
        <v>09:06:07 AM</v>
      </c>
      <c r="AC239" s="4">
        <v>45401</v>
      </c>
      <c r="AD239" s="25">
        <v>5474.68</v>
      </c>
      <c r="BL239" s="2" t="s">
        <v>1389</v>
      </c>
      <c r="BM239" s="4">
        <v>45388</v>
      </c>
      <c r="BN239" s="25">
        <v>3193.84</v>
      </c>
    </row>
    <row r="240" spans="1:66" x14ac:dyDescent="0.35">
      <c r="A240">
        <v>6000</v>
      </c>
      <c r="B240" t="s">
        <v>3</v>
      </c>
      <c r="C240" s="1">
        <v>45782</v>
      </c>
      <c r="D240" t="s">
        <v>24</v>
      </c>
      <c r="E240" t="s">
        <v>26</v>
      </c>
      <c r="F240">
        <v>4</v>
      </c>
      <c r="G240">
        <v>671.47</v>
      </c>
      <c r="H240">
        <v>2685.88</v>
      </c>
      <c r="I240">
        <v>402.55</v>
      </c>
      <c r="J240">
        <v>2283.33</v>
      </c>
      <c r="K240">
        <v>413</v>
      </c>
      <c r="L240" s="11">
        <v>0.57482638888888893</v>
      </c>
      <c r="M240">
        <f t="shared" si="16"/>
        <v>5</v>
      </c>
      <c r="N240">
        <f t="shared" si="17"/>
        <v>5</v>
      </c>
      <c r="O240">
        <f t="shared" si="18"/>
        <v>2025</v>
      </c>
      <c r="P240" s="4">
        <f t="shared" si="19"/>
        <v>45782</v>
      </c>
      <c r="Q240" t="s">
        <v>1134</v>
      </c>
      <c r="R240" t="s">
        <v>1137</v>
      </c>
      <c r="S240">
        <v>4</v>
      </c>
      <c r="T240" t="s">
        <v>1149</v>
      </c>
      <c r="U240" s="11" t="str">
        <f t="shared" si="20"/>
        <v>01:47:45 PM</v>
      </c>
      <c r="AC240" s="4">
        <v>45402</v>
      </c>
      <c r="AD240" s="25">
        <v>10434.759999999998</v>
      </c>
      <c r="BL240" s="2" t="s">
        <v>1390</v>
      </c>
      <c r="BM240" s="4">
        <v>45389</v>
      </c>
      <c r="BN240" s="25">
        <v>16758.53</v>
      </c>
    </row>
    <row r="241" spans="1:66" x14ac:dyDescent="0.35">
      <c r="A241">
        <v>4728</v>
      </c>
      <c r="B241" t="s">
        <v>15</v>
      </c>
      <c r="C241" s="1">
        <v>45318</v>
      </c>
      <c r="D241" t="s">
        <v>4</v>
      </c>
      <c r="E241" t="s">
        <v>29</v>
      </c>
      <c r="F241">
        <v>2</v>
      </c>
      <c r="G241">
        <v>1140.42</v>
      </c>
      <c r="H241">
        <v>2280.84</v>
      </c>
      <c r="I241">
        <v>456.5</v>
      </c>
      <c r="J241">
        <v>1824.34</v>
      </c>
      <c r="K241">
        <v>247</v>
      </c>
      <c r="L241" s="11">
        <v>0.62442129629629628</v>
      </c>
      <c r="M241">
        <f t="shared" si="16"/>
        <v>27</v>
      </c>
      <c r="N241">
        <f t="shared" si="17"/>
        <v>1</v>
      </c>
      <c r="O241">
        <f t="shared" si="18"/>
        <v>2024</v>
      </c>
      <c r="P241" s="4">
        <f t="shared" si="19"/>
        <v>45318</v>
      </c>
      <c r="Q241" t="s">
        <v>1136</v>
      </c>
      <c r="R241" t="s">
        <v>1135</v>
      </c>
      <c r="S241">
        <v>5</v>
      </c>
      <c r="T241" t="s">
        <v>1145</v>
      </c>
      <c r="U241" s="11" t="str">
        <f t="shared" si="20"/>
        <v>02:59:10 PM</v>
      </c>
      <c r="AC241" s="4">
        <v>45403</v>
      </c>
      <c r="AD241" s="25">
        <v>16554.349999999999</v>
      </c>
      <c r="BL241" s="2" t="s">
        <v>1391</v>
      </c>
      <c r="BM241" s="4">
        <v>45390</v>
      </c>
      <c r="BN241" s="25">
        <v>17759.510000000002</v>
      </c>
    </row>
    <row r="242" spans="1:66" x14ac:dyDescent="0.35">
      <c r="A242">
        <v>1387</v>
      </c>
      <c r="B242" t="s">
        <v>25</v>
      </c>
      <c r="C242" s="1">
        <v>45657</v>
      </c>
      <c r="D242" t="s">
        <v>17</v>
      </c>
      <c r="E242" t="s">
        <v>30</v>
      </c>
      <c r="F242">
        <v>3</v>
      </c>
      <c r="G242">
        <v>2155.5100000000002</v>
      </c>
      <c r="H242">
        <v>6466.53</v>
      </c>
      <c r="I242">
        <v>646.57000000000005</v>
      </c>
      <c r="J242">
        <v>5819.96</v>
      </c>
      <c r="K242">
        <v>163</v>
      </c>
      <c r="L242" s="11">
        <v>0.24082175925925925</v>
      </c>
      <c r="M242">
        <f t="shared" si="16"/>
        <v>31</v>
      </c>
      <c r="N242">
        <f t="shared" si="17"/>
        <v>12</v>
      </c>
      <c r="O242">
        <f t="shared" si="18"/>
        <v>2024</v>
      </c>
      <c r="P242" s="4">
        <f t="shared" si="19"/>
        <v>45657</v>
      </c>
      <c r="Q242" t="s">
        <v>1139</v>
      </c>
      <c r="R242" t="s">
        <v>1137</v>
      </c>
      <c r="S242">
        <v>2</v>
      </c>
      <c r="T242" t="s">
        <v>1148</v>
      </c>
      <c r="U242" s="11" t="str">
        <f t="shared" si="20"/>
        <v>05:46:47 AM</v>
      </c>
      <c r="AC242" s="4">
        <v>45404</v>
      </c>
      <c r="AD242" s="25">
        <v>1187.73</v>
      </c>
      <c r="BL242" s="2" t="s">
        <v>1392</v>
      </c>
      <c r="BM242" s="4">
        <v>45391</v>
      </c>
      <c r="BN242" s="25">
        <v>286.35000000000002</v>
      </c>
    </row>
    <row r="243" spans="1:66" x14ac:dyDescent="0.35">
      <c r="A243">
        <v>4164</v>
      </c>
      <c r="B243" t="s">
        <v>8</v>
      </c>
      <c r="C243" s="1">
        <v>45454</v>
      </c>
      <c r="D243" t="s">
        <v>11</v>
      </c>
      <c r="E243" t="s">
        <v>36</v>
      </c>
      <c r="F243">
        <v>5</v>
      </c>
      <c r="G243">
        <v>337.81</v>
      </c>
      <c r="H243">
        <v>1689.05</v>
      </c>
      <c r="I243">
        <v>171.81</v>
      </c>
      <c r="J243">
        <v>1517.24</v>
      </c>
      <c r="K243">
        <v>123</v>
      </c>
      <c r="L243" s="11">
        <v>0.51193287037037039</v>
      </c>
      <c r="M243">
        <f t="shared" si="16"/>
        <v>11</v>
      </c>
      <c r="N243">
        <f t="shared" si="17"/>
        <v>6</v>
      </c>
      <c r="O243">
        <f t="shared" si="18"/>
        <v>2024</v>
      </c>
      <c r="P243" s="4">
        <f t="shared" si="19"/>
        <v>45454</v>
      </c>
      <c r="Q243" t="s">
        <v>1134</v>
      </c>
      <c r="R243" t="s">
        <v>1135</v>
      </c>
      <c r="S243">
        <v>2</v>
      </c>
      <c r="T243" t="s">
        <v>1145</v>
      </c>
      <c r="U243" s="11" t="str">
        <f t="shared" si="20"/>
        <v>12:17:11 PM</v>
      </c>
      <c r="AC243" s="4">
        <v>45405</v>
      </c>
      <c r="AD243" s="25">
        <v>2861.01</v>
      </c>
      <c r="BL243" s="2" t="s">
        <v>1393</v>
      </c>
      <c r="BM243" s="4">
        <v>45392</v>
      </c>
      <c r="BN243" s="25">
        <v>8015.3100000000013</v>
      </c>
    </row>
    <row r="244" spans="1:66" x14ac:dyDescent="0.35">
      <c r="A244">
        <v>6378</v>
      </c>
      <c r="B244" t="s">
        <v>31</v>
      </c>
      <c r="C244" s="1">
        <v>45361</v>
      </c>
      <c r="D244" t="s">
        <v>23</v>
      </c>
      <c r="E244" t="s">
        <v>38</v>
      </c>
      <c r="F244">
        <v>1</v>
      </c>
      <c r="G244">
        <v>781.03</v>
      </c>
      <c r="H244">
        <v>781.03</v>
      </c>
      <c r="I244">
        <v>156.04</v>
      </c>
      <c r="J244">
        <v>624.99</v>
      </c>
      <c r="K244">
        <v>196</v>
      </c>
      <c r="L244" s="11">
        <v>0.96622685185185186</v>
      </c>
      <c r="M244">
        <f t="shared" si="16"/>
        <v>10</v>
      </c>
      <c r="N244">
        <f t="shared" si="17"/>
        <v>3</v>
      </c>
      <c r="O244">
        <f t="shared" si="18"/>
        <v>2024</v>
      </c>
      <c r="P244" s="4">
        <f t="shared" si="19"/>
        <v>45361</v>
      </c>
      <c r="Q244" t="s">
        <v>1136</v>
      </c>
      <c r="R244" t="s">
        <v>1137</v>
      </c>
      <c r="S244">
        <v>3</v>
      </c>
      <c r="T244" t="s">
        <v>1143</v>
      </c>
      <c r="U244" s="11" t="str">
        <f t="shared" si="20"/>
        <v>11:11:22 PM</v>
      </c>
      <c r="AC244" s="4">
        <v>45406</v>
      </c>
      <c r="AD244" s="25">
        <v>3443.67</v>
      </c>
      <c r="BL244" s="2" t="s">
        <v>1394</v>
      </c>
      <c r="BM244" s="4">
        <v>45394</v>
      </c>
      <c r="BN244" s="25">
        <v>2542.29</v>
      </c>
    </row>
    <row r="245" spans="1:66" x14ac:dyDescent="0.35">
      <c r="A245">
        <v>2137</v>
      </c>
      <c r="B245" t="s">
        <v>8</v>
      </c>
      <c r="C245" s="1">
        <v>45745</v>
      </c>
      <c r="D245" t="s">
        <v>11</v>
      </c>
      <c r="E245" t="s">
        <v>10</v>
      </c>
      <c r="F245">
        <v>2</v>
      </c>
      <c r="G245">
        <v>1918.96</v>
      </c>
      <c r="H245">
        <v>3837.92</v>
      </c>
      <c r="I245">
        <v>383.46</v>
      </c>
      <c r="J245">
        <v>3454.46</v>
      </c>
      <c r="K245">
        <v>255</v>
      </c>
      <c r="L245" s="11">
        <v>0.18114583333333334</v>
      </c>
      <c r="M245">
        <f t="shared" si="16"/>
        <v>29</v>
      </c>
      <c r="N245">
        <f t="shared" si="17"/>
        <v>3</v>
      </c>
      <c r="O245">
        <f t="shared" si="18"/>
        <v>2025</v>
      </c>
      <c r="P245" s="4">
        <f t="shared" si="19"/>
        <v>45745</v>
      </c>
      <c r="Q245" t="s">
        <v>1138</v>
      </c>
      <c r="R245" t="s">
        <v>1135</v>
      </c>
      <c r="S245">
        <v>4</v>
      </c>
      <c r="T245" t="s">
        <v>1149</v>
      </c>
      <c r="U245" s="11" t="str">
        <f t="shared" si="20"/>
        <v>04:20:51 AM</v>
      </c>
      <c r="AC245" s="4">
        <v>45407</v>
      </c>
      <c r="AD245" s="25">
        <v>12386.09</v>
      </c>
      <c r="BL245" s="2" t="s">
        <v>1395</v>
      </c>
      <c r="BM245" s="4">
        <v>45395</v>
      </c>
      <c r="BN245" s="25">
        <v>5826.5999999999995</v>
      </c>
    </row>
    <row r="246" spans="1:66" x14ac:dyDescent="0.35">
      <c r="A246">
        <v>5573</v>
      </c>
      <c r="B246" t="s">
        <v>19</v>
      </c>
      <c r="C246" s="1">
        <v>45417</v>
      </c>
      <c r="D246" t="s">
        <v>34</v>
      </c>
      <c r="E246" t="s">
        <v>28</v>
      </c>
      <c r="F246">
        <v>1</v>
      </c>
      <c r="G246">
        <v>2357.1999999999998</v>
      </c>
      <c r="H246">
        <v>2357.1999999999998</v>
      </c>
      <c r="I246">
        <v>471.44</v>
      </c>
      <c r="J246">
        <v>1885.76</v>
      </c>
      <c r="K246">
        <v>258</v>
      </c>
      <c r="L246" s="11" t="s">
        <v>39</v>
      </c>
      <c r="M246">
        <f t="shared" si="16"/>
        <v>5</v>
      </c>
      <c r="N246">
        <f t="shared" si="17"/>
        <v>5</v>
      </c>
      <c r="O246">
        <f t="shared" si="18"/>
        <v>2024</v>
      </c>
      <c r="P246" s="4">
        <f t="shared" si="19"/>
        <v>45417</v>
      </c>
      <c r="Q246" t="s">
        <v>1134</v>
      </c>
      <c r="R246" t="s">
        <v>1137</v>
      </c>
      <c r="S246">
        <v>1</v>
      </c>
      <c r="T246" t="s">
        <v>1144</v>
      </c>
      <c r="U246" s="11" t="str">
        <f t="shared" si="20"/>
        <v>12:26:33 AM</v>
      </c>
      <c r="AC246" s="4">
        <v>45408</v>
      </c>
      <c r="AD246" s="25">
        <v>10166.67</v>
      </c>
      <c r="BL246" s="2" t="s">
        <v>1396</v>
      </c>
      <c r="BM246" s="4">
        <v>45396</v>
      </c>
      <c r="BN246" s="25">
        <v>4410.62</v>
      </c>
    </row>
    <row r="247" spans="1:66" x14ac:dyDescent="0.35">
      <c r="A247">
        <v>9346</v>
      </c>
      <c r="B247" t="s">
        <v>31</v>
      </c>
      <c r="C247" s="1">
        <v>45455</v>
      </c>
      <c r="D247" t="s">
        <v>17</v>
      </c>
      <c r="E247" t="s">
        <v>12</v>
      </c>
      <c r="F247">
        <v>1</v>
      </c>
      <c r="G247">
        <v>204.18</v>
      </c>
      <c r="H247">
        <v>204.18</v>
      </c>
      <c r="I247">
        <v>30.71</v>
      </c>
      <c r="J247">
        <v>173.47</v>
      </c>
      <c r="K247">
        <v>253</v>
      </c>
      <c r="L247" s="11" t="s">
        <v>40</v>
      </c>
      <c r="M247">
        <f t="shared" si="16"/>
        <v>12</v>
      </c>
      <c r="N247">
        <f t="shared" si="17"/>
        <v>6</v>
      </c>
      <c r="O247">
        <f t="shared" si="18"/>
        <v>2024</v>
      </c>
      <c r="P247" s="4">
        <f t="shared" si="19"/>
        <v>45455</v>
      </c>
      <c r="Q247" t="s">
        <v>1139</v>
      </c>
      <c r="R247" t="s">
        <v>1135</v>
      </c>
      <c r="S247">
        <v>4</v>
      </c>
      <c r="T247" t="s">
        <v>1141</v>
      </c>
      <c r="U247" s="11" t="str">
        <f t="shared" si="20"/>
        <v>10:19:54 AM</v>
      </c>
      <c r="AC247" s="4">
        <v>45409</v>
      </c>
      <c r="AD247" s="25">
        <v>21066.23</v>
      </c>
      <c r="BL247" s="2" t="s">
        <v>1397</v>
      </c>
      <c r="BM247" s="4">
        <v>45397</v>
      </c>
      <c r="BN247" s="25">
        <v>1470.76</v>
      </c>
    </row>
    <row r="248" spans="1:66" x14ac:dyDescent="0.35">
      <c r="A248">
        <v>9785</v>
      </c>
      <c r="B248" t="s">
        <v>3</v>
      </c>
      <c r="C248" s="1">
        <v>45402</v>
      </c>
      <c r="D248" t="s">
        <v>1</v>
      </c>
      <c r="E248" t="s">
        <v>38</v>
      </c>
      <c r="F248">
        <v>4</v>
      </c>
      <c r="G248">
        <v>404.21</v>
      </c>
      <c r="H248">
        <v>1616.84</v>
      </c>
      <c r="I248">
        <v>161.85</v>
      </c>
      <c r="J248">
        <v>1454.99</v>
      </c>
      <c r="K248">
        <v>135</v>
      </c>
      <c r="L248" s="11" t="s">
        <v>41</v>
      </c>
      <c r="M248">
        <f t="shared" si="16"/>
        <v>20</v>
      </c>
      <c r="N248">
        <f t="shared" si="17"/>
        <v>4</v>
      </c>
      <c r="O248">
        <f t="shared" si="18"/>
        <v>2024</v>
      </c>
      <c r="P248" s="4">
        <f t="shared" si="19"/>
        <v>45402</v>
      </c>
      <c r="Q248" t="s">
        <v>1138</v>
      </c>
      <c r="R248" t="s">
        <v>1135</v>
      </c>
      <c r="S248">
        <v>4</v>
      </c>
      <c r="T248" t="s">
        <v>1149</v>
      </c>
      <c r="U248" s="11" t="str">
        <f t="shared" si="20"/>
        <v>07:32:00 AM</v>
      </c>
      <c r="AC248" s="4">
        <v>45410</v>
      </c>
      <c r="AD248" s="25">
        <v>4761.71</v>
      </c>
      <c r="BL248" s="2" t="s">
        <v>1398</v>
      </c>
      <c r="BM248" s="4">
        <v>45398</v>
      </c>
      <c r="BN248" s="25">
        <v>26193.14</v>
      </c>
    </row>
    <row r="249" spans="1:66" x14ac:dyDescent="0.35">
      <c r="A249">
        <v>1452</v>
      </c>
      <c r="B249" t="s">
        <v>25</v>
      </c>
      <c r="C249" s="1">
        <v>45234</v>
      </c>
      <c r="D249" t="s">
        <v>1</v>
      </c>
      <c r="E249" t="s">
        <v>21</v>
      </c>
      <c r="F249">
        <v>1</v>
      </c>
      <c r="G249">
        <v>1454.99</v>
      </c>
      <c r="H249">
        <v>1454.99</v>
      </c>
      <c r="I249">
        <v>178.45</v>
      </c>
      <c r="J249">
        <v>1276.54</v>
      </c>
      <c r="K249">
        <v>99</v>
      </c>
      <c r="L249" s="11" t="s">
        <v>42</v>
      </c>
      <c r="M249">
        <f t="shared" si="16"/>
        <v>4</v>
      </c>
      <c r="N249">
        <f t="shared" si="17"/>
        <v>11</v>
      </c>
      <c r="O249">
        <f t="shared" si="18"/>
        <v>2023</v>
      </c>
      <c r="P249" s="4">
        <f t="shared" si="19"/>
        <v>45234</v>
      </c>
      <c r="Q249" t="s">
        <v>1138</v>
      </c>
      <c r="R249" t="s">
        <v>1135</v>
      </c>
      <c r="S249">
        <v>1</v>
      </c>
      <c r="T249" t="s">
        <v>1146</v>
      </c>
      <c r="U249" s="11" t="str">
        <f t="shared" si="20"/>
        <v>02:56:24 AM</v>
      </c>
      <c r="AC249" s="4">
        <v>45411</v>
      </c>
      <c r="AD249" s="25">
        <v>425.79</v>
      </c>
      <c r="BL249" s="2" t="s">
        <v>1399</v>
      </c>
      <c r="BM249" s="4">
        <v>45399</v>
      </c>
      <c r="BN249" s="25">
        <v>14311.689999999999</v>
      </c>
    </row>
    <row r="250" spans="1:66" x14ac:dyDescent="0.35">
      <c r="A250">
        <v>5279</v>
      </c>
      <c r="B250" t="s">
        <v>13</v>
      </c>
      <c r="C250" s="1">
        <v>45283</v>
      </c>
      <c r="D250" t="s">
        <v>27</v>
      </c>
      <c r="E250" t="s">
        <v>22</v>
      </c>
      <c r="F250">
        <v>5</v>
      </c>
      <c r="G250">
        <v>755.3</v>
      </c>
      <c r="H250">
        <v>3776.5</v>
      </c>
      <c r="I250">
        <v>755.3</v>
      </c>
      <c r="J250">
        <v>3021.2</v>
      </c>
      <c r="K250">
        <v>319</v>
      </c>
      <c r="L250" s="11" t="s">
        <v>43</v>
      </c>
      <c r="M250">
        <f t="shared" si="16"/>
        <v>23</v>
      </c>
      <c r="N250">
        <f t="shared" si="17"/>
        <v>12</v>
      </c>
      <c r="O250">
        <f t="shared" si="18"/>
        <v>2023</v>
      </c>
      <c r="P250" s="4">
        <f t="shared" si="19"/>
        <v>45283</v>
      </c>
      <c r="Q250" t="s">
        <v>1138</v>
      </c>
      <c r="R250" t="s">
        <v>1135</v>
      </c>
      <c r="S250">
        <v>3</v>
      </c>
      <c r="T250" t="s">
        <v>1141</v>
      </c>
      <c r="U250" s="11" t="str">
        <f t="shared" si="20"/>
        <v>09:46:53 AM</v>
      </c>
      <c r="AC250" s="4">
        <v>45412</v>
      </c>
      <c r="AD250" s="25">
        <v>6707.23</v>
      </c>
      <c r="BL250" s="2" t="s">
        <v>1400</v>
      </c>
      <c r="BM250" s="4">
        <v>45400</v>
      </c>
      <c r="BN250" s="25">
        <v>5610.8</v>
      </c>
    </row>
    <row r="251" spans="1:66" x14ac:dyDescent="0.35">
      <c r="A251">
        <v>5349</v>
      </c>
      <c r="B251" t="s">
        <v>0</v>
      </c>
      <c r="C251" s="1">
        <v>45174</v>
      </c>
      <c r="D251" t="s">
        <v>9</v>
      </c>
      <c r="E251" t="s">
        <v>12</v>
      </c>
      <c r="F251">
        <v>3</v>
      </c>
      <c r="G251">
        <v>1425.11</v>
      </c>
      <c r="H251">
        <v>4275.33</v>
      </c>
      <c r="I251">
        <v>854.9</v>
      </c>
      <c r="J251">
        <v>3420.43</v>
      </c>
      <c r="K251">
        <v>187</v>
      </c>
      <c r="L251" s="11" t="s">
        <v>44</v>
      </c>
      <c r="M251">
        <f t="shared" si="16"/>
        <v>5</v>
      </c>
      <c r="N251">
        <f t="shared" si="17"/>
        <v>9</v>
      </c>
      <c r="O251">
        <f t="shared" si="18"/>
        <v>2023</v>
      </c>
      <c r="P251" s="4">
        <f t="shared" si="19"/>
        <v>45174</v>
      </c>
      <c r="Q251" t="s">
        <v>1134</v>
      </c>
      <c r="R251" t="s">
        <v>1137</v>
      </c>
      <c r="S251">
        <v>4</v>
      </c>
      <c r="T251" t="s">
        <v>1142</v>
      </c>
      <c r="U251" s="11" t="str">
        <f t="shared" si="20"/>
        <v>04:01:08 AM</v>
      </c>
      <c r="AC251" s="4">
        <v>45413</v>
      </c>
      <c r="AD251" s="25">
        <v>13775.51</v>
      </c>
      <c r="BL251" s="2" t="s">
        <v>1401</v>
      </c>
      <c r="BM251" s="4">
        <v>45401</v>
      </c>
      <c r="BN251" s="25">
        <v>5474.68</v>
      </c>
    </row>
    <row r="252" spans="1:66" x14ac:dyDescent="0.35">
      <c r="A252">
        <v>2776</v>
      </c>
      <c r="B252" t="s">
        <v>3</v>
      </c>
      <c r="C252" s="1">
        <v>45608</v>
      </c>
      <c r="D252" t="s">
        <v>9</v>
      </c>
      <c r="E252" t="s">
        <v>36</v>
      </c>
      <c r="F252">
        <v>1</v>
      </c>
      <c r="G252">
        <v>190.9</v>
      </c>
      <c r="H252">
        <v>190.9</v>
      </c>
      <c r="I252">
        <v>19.09</v>
      </c>
      <c r="J252">
        <v>171.81</v>
      </c>
      <c r="K252">
        <v>70</v>
      </c>
      <c r="L252" s="11" t="s">
        <v>45</v>
      </c>
      <c r="M252">
        <f t="shared" si="16"/>
        <v>12</v>
      </c>
      <c r="N252">
        <f t="shared" si="17"/>
        <v>11</v>
      </c>
      <c r="O252">
        <f t="shared" si="18"/>
        <v>2024</v>
      </c>
      <c r="P252" s="4">
        <f t="shared" si="19"/>
        <v>45608</v>
      </c>
      <c r="Q252" t="s">
        <v>1139</v>
      </c>
      <c r="R252" t="s">
        <v>1137</v>
      </c>
      <c r="S252">
        <v>2</v>
      </c>
      <c r="T252" t="s">
        <v>1146</v>
      </c>
      <c r="U252" s="11" t="str">
        <f t="shared" si="20"/>
        <v>02:41:13 PM</v>
      </c>
      <c r="AC252" s="4">
        <v>45414</v>
      </c>
      <c r="AD252" s="25">
        <v>22546.95</v>
      </c>
      <c r="BL252" s="2" t="s">
        <v>1402</v>
      </c>
      <c r="BM252" s="4">
        <v>45402</v>
      </c>
      <c r="BN252" s="25">
        <v>10434.759999999998</v>
      </c>
    </row>
    <row r="253" spans="1:66" x14ac:dyDescent="0.35">
      <c r="A253">
        <v>8119</v>
      </c>
      <c r="B253" t="s">
        <v>3</v>
      </c>
      <c r="C253" s="1">
        <v>45413</v>
      </c>
      <c r="D253" t="s">
        <v>34</v>
      </c>
      <c r="E253" t="s">
        <v>30</v>
      </c>
      <c r="F253">
        <v>5</v>
      </c>
      <c r="G253">
        <v>2231.87</v>
      </c>
      <c r="H253">
        <v>11159.35</v>
      </c>
      <c r="I253">
        <v>188.41</v>
      </c>
      <c r="J253">
        <v>10970.94</v>
      </c>
      <c r="K253">
        <v>71</v>
      </c>
      <c r="L253" s="11" t="s">
        <v>46</v>
      </c>
      <c r="M253">
        <f t="shared" si="16"/>
        <v>1</v>
      </c>
      <c r="N253">
        <f t="shared" si="17"/>
        <v>5</v>
      </c>
      <c r="O253">
        <f t="shared" si="18"/>
        <v>2024</v>
      </c>
      <c r="P253" s="4">
        <f t="shared" si="19"/>
        <v>45413</v>
      </c>
      <c r="Q253" t="s">
        <v>1138</v>
      </c>
      <c r="R253" t="s">
        <v>1135</v>
      </c>
      <c r="S253">
        <v>1</v>
      </c>
      <c r="T253" t="s">
        <v>1142</v>
      </c>
      <c r="U253" s="11" t="str">
        <f t="shared" si="20"/>
        <v>09:36:25 AM</v>
      </c>
      <c r="AC253" s="4">
        <v>45415</v>
      </c>
      <c r="AD253" s="25">
        <v>27819.940000000002</v>
      </c>
      <c r="BL253" s="2" t="s">
        <v>1403</v>
      </c>
      <c r="BM253" s="4">
        <v>45403</v>
      </c>
      <c r="BN253" s="25">
        <v>16554.349999999999</v>
      </c>
    </row>
    <row r="254" spans="1:66" x14ac:dyDescent="0.35">
      <c r="A254">
        <v>6139</v>
      </c>
      <c r="B254" t="s">
        <v>13</v>
      </c>
      <c r="C254" s="1">
        <v>45483</v>
      </c>
      <c r="D254" t="s">
        <v>17</v>
      </c>
      <c r="E254" t="s">
        <v>26</v>
      </c>
      <c r="F254">
        <v>5</v>
      </c>
      <c r="G254">
        <v>891.42</v>
      </c>
      <c r="H254">
        <v>4457.1000000000004</v>
      </c>
      <c r="I254">
        <v>0</v>
      </c>
      <c r="J254">
        <v>4457.1000000000004</v>
      </c>
      <c r="K254">
        <v>424</v>
      </c>
      <c r="L254" s="11" t="s">
        <v>47</v>
      </c>
      <c r="M254">
        <f t="shared" si="16"/>
        <v>10</v>
      </c>
      <c r="N254">
        <f t="shared" si="17"/>
        <v>7</v>
      </c>
      <c r="O254">
        <f t="shared" si="18"/>
        <v>2024</v>
      </c>
      <c r="P254" s="4">
        <f t="shared" si="19"/>
        <v>45483</v>
      </c>
      <c r="Q254" t="s">
        <v>1136</v>
      </c>
      <c r="R254" t="s">
        <v>1137</v>
      </c>
      <c r="S254">
        <v>5</v>
      </c>
      <c r="T254" t="s">
        <v>1141</v>
      </c>
      <c r="U254" s="11" t="str">
        <f t="shared" si="20"/>
        <v>07:11:23 AM</v>
      </c>
      <c r="AC254" s="4">
        <v>45416</v>
      </c>
      <c r="AD254" s="25">
        <v>15322.63</v>
      </c>
      <c r="BL254" s="2" t="s">
        <v>1404</v>
      </c>
      <c r="BM254" s="4">
        <v>45404</v>
      </c>
      <c r="BN254" s="25">
        <v>1187.73</v>
      </c>
    </row>
    <row r="255" spans="1:66" x14ac:dyDescent="0.35">
      <c r="A255">
        <v>9379</v>
      </c>
      <c r="B255" t="s">
        <v>19</v>
      </c>
      <c r="C255" s="1">
        <v>45234</v>
      </c>
      <c r="D255" t="s">
        <v>34</v>
      </c>
      <c r="E255" t="s">
        <v>28</v>
      </c>
      <c r="F255">
        <v>3</v>
      </c>
      <c r="G255">
        <v>879.8</v>
      </c>
      <c r="H255">
        <v>2639.4</v>
      </c>
      <c r="I255">
        <v>185.09</v>
      </c>
      <c r="J255">
        <v>2454.31</v>
      </c>
      <c r="K255">
        <v>56</v>
      </c>
      <c r="L255" s="11" t="s">
        <v>48</v>
      </c>
      <c r="M255">
        <f t="shared" si="16"/>
        <v>4</v>
      </c>
      <c r="N255">
        <f t="shared" si="17"/>
        <v>11</v>
      </c>
      <c r="O255">
        <f t="shared" si="18"/>
        <v>2023</v>
      </c>
      <c r="P255" s="4">
        <f t="shared" si="19"/>
        <v>45234</v>
      </c>
      <c r="Q255" t="s">
        <v>1138</v>
      </c>
      <c r="R255" t="s">
        <v>1135</v>
      </c>
      <c r="S255">
        <v>3</v>
      </c>
      <c r="T255" t="s">
        <v>1144</v>
      </c>
      <c r="U255" s="11" t="str">
        <f t="shared" si="20"/>
        <v>12:28:10 PM</v>
      </c>
      <c r="AC255" s="4">
        <v>45417</v>
      </c>
      <c r="AD255" s="25">
        <v>3541.61</v>
      </c>
      <c r="BL255" s="2" t="s">
        <v>1405</v>
      </c>
      <c r="BM255" s="4">
        <v>45405</v>
      </c>
      <c r="BN255" s="25">
        <v>2861.01</v>
      </c>
    </row>
    <row r="256" spans="1:66" x14ac:dyDescent="0.35">
      <c r="A256">
        <v>7311</v>
      </c>
      <c r="B256" t="s">
        <v>20</v>
      </c>
      <c r="C256" s="1">
        <v>45843</v>
      </c>
      <c r="D256" t="s">
        <v>17</v>
      </c>
      <c r="E256" t="s">
        <v>37</v>
      </c>
      <c r="F256">
        <v>3</v>
      </c>
      <c r="G256">
        <v>2410.3200000000002</v>
      </c>
      <c r="H256">
        <v>7230.96</v>
      </c>
      <c r="I256">
        <v>0</v>
      </c>
      <c r="J256">
        <v>7230.96</v>
      </c>
      <c r="K256">
        <v>400</v>
      </c>
      <c r="L256" s="11" t="s">
        <v>49</v>
      </c>
      <c r="M256">
        <f t="shared" si="16"/>
        <v>5</v>
      </c>
      <c r="N256">
        <f t="shared" si="17"/>
        <v>7</v>
      </c>
      <c r="O256">
        <f t="shared" si="18"/>
        <v>2025</v>
      </c>
      <c r="P256" s="4">
        <f t="shared" si="19"/>
        <v>45843</v>
      </c>
      <c r="Q256" t="s">
        <v>1138</v>
      </c>
      <c r="R256" t="s">
        <v>1135</v>
      </c>
      <c r="S256">
        <v>1</v>
      </c>
      <c r="T256" t="s">
        <v>1145</v>
      </c>
      <c r="U256" s="11" t="str">
        <f t="shared" si="20"/>
        <v>11:07:25 AM</v>
      </c>
      <c r="AC256" s="4">
        <v>45418</v>
      </c>
      <c r="AD256" s="25">
        <v>12811.88</v>
      </c>
      <c r="BL256" s="2" t="s">
        <v>1406</v>
      </c>
      <c r="BM256" s="4">
        <v>45406</v>
      </c>
      <c r="BN256" s="25">
        <v>3443.67</v>
      </c>
    </row>
    <row r="257" spans="1:66" x14ac:dyDescent="0.35">
      <c r="A257">
        <v>4114</v>
      </c>
      <c r="B257" t="s">
        <v>20</v>
      </c>
      <c r="C257" s="1">
        <v>45342</v>
      </c>
      <c r="D257" t="s">
        <v>17</v>
      </c>
      <c r="E257" t="s">
        <v>37</v>
      </c>
      <c r="F257">
        <v>2</v>
      </c>
      <c r="G257">
        <v>1343.77</v>
      </c>
      <c r="H257">
        <v>2687.54</v>
      </c>
      <c r="I257">
        <v>537.84</v>
      </c>
      <c r="J257">
        <v>2149.6999999999998</v>
      </c>
      <c r="K257">
        <v>369</v>
      </c>
      <c r="L257" s="11" t="s">
        <v>50</v>
      </c>
      <c r="M257">
        <f t="shared" si="16"/>
        <v>20</v>
      </c>
      <c r="N257">
        <f t="shared" si="17"/>
        <v>2</v>
      </c>
      <c r="O257">
        <f t="shared" si="18"/>
        <v>2024</v>
      </c>
      <c r="P257" s="4">
        <f t="shared" si="19"/>
        <v>45342</v>
      </c>
      <c r="Q257" t="s">
        <v>1134</v>
      </c>
      <c r="R257" t="s">
        <v>1137</v>
      </c>
      <c r="S257">
        <v>5</v>
      </c>
      <c r="T257" t="s">
        <v>1148</v>
      </c>
      <c r="U257" s="11" t="str">
        <f t="shared" si="20"/>
        <v>03:17:32 PM</v>
      </c>
      <c r="AC257" s="4">
        <v>45419</v>
      </c>
      <c r="AD257" s="25">
        <v>9400.58</v>
      </c>
      <c r="BL257" s="2" t="s">
        <v>1407</v>
      </c>
      <c r="BM257" s="4">
        <v>45407</v>
      </c>
      <c r="BN257" s="25">
        <v>12386.09</v>
      </c>
    </row>
    <row r="258" spans="1:66" x14ac:dyDescent="0.35">
      <c r="A258">
        <v>1727</v>
      </c>
      <c r="B258" t="s">
        <v>31</v>
      </c>
      <c r="C258" s="1">
        <v>45695</v>
      </c>
      <c r="D258" t="s">
        <v>1</v>
      </c>
      <c r="E258" t="s">
        <v>38</v>
      </c>
      <c r="F258">
        <v>2</v>
      </c>
      <c r="G258">
        <v>127.82</v>
      </c>
      <c r="H258">
        <v>255.64</v>
      </c>
      <c r="I258">
        <v>51.46</v>
      </c>
      <c r="J258">
        <v>204.18</v>
      </c>
      <c r="K258">
        <v>160</v>
      </c>
      <c r="L258" s="11" t="s">
        <v>51</v>
      </c>
      <c r="M258">
        <f t="shared" ref="M258:M321" si="21">DAY(C258)</f>
        <v>7</v>
      </c>
      <c r="N258">
        <f t="shared" ref="N258:N321" si="22">MONTH(C258)</f>
        <v>2</v>
      </c>
      <c r="O258">
        <f t="shared" ref="O258:O321" si="23">YEAR(C258)</f>
        <v>2025</v>
      </c>
      <c r="P258" s="4">
        <f t="shared" si="19"/>
        <v>45695</v>
      </c>
      <c r="Q258" t="s">
        <v>1134</v>
      </c>
      <c r="R258" t="s">
        <v>1135</v>
      </c>
      <c r="S258">
        <v>5</v>
      </c>
      <c r="T258" t="s">
        <v>1149</v>
      </c>
      <c r="U258" s="11" t="str">
        <f t="shared" si="20"/>
        <v>06:03:37 PM</v>
      </c>
      <c r="AC258" s="4">
        <v>45420</v>
      </c>
      <c r="AD258" s="25">
        <v>15887.86</v>
      </c>
      <c r="BL258" s="2" t="s">
        <v>1408</v>
      </c>
      <c r="BM258" s="4">
        <v>45408</v>
      </c>
      <c r="BN258" s="25">
        <v>10166.67</v>
      </c>
    </row>
    <row r="259" spans="1:66" x14ac:dyDescent="0.35">
      <c r="A259">
        <v>8144</v>
      </c>
      <c r="B259" t="s">
        <v>13</v>
      </c>
      <c r="C259" s="1">
        <v>45146</v>
      </c>
      <c r="D259" t="s">
        <v>6</v>
      </c>
      <c r="E259" t="s">
        <v>5</v>
      </c>
      <c r="F259">
        <v>5</v>
      </c>
      <c r="G259">
        <v>1947.18</v>
      </c>
      <c r="H259">
        <v>9735.9</v>
      </c>
      <c r="I259">
        <v>0</v>
      </c>
      <c r="J259">
        <v>9735.9</v>
      </c>
      <c r="K259">
        <v>471</v>
      </c>
      <c r="L259" s="11" t="s">
        <v>52</v>
      </c>
      <c r="M259">
        <f t="shared" si="21"/>
        <v>8</v>
      </c>
      <c r="N259">
        <f t="shared" si="22"/>
        <v>8</v>
      </c>
      <c r="O259">
        <f t="shared" si="23"/>
        <v>2023</v>
      </c>
      <c r="P259" s="4">
        <f t="shared" ref="P259:P322" si="24">DATE(O259,N259,M259)</f>
        <v>45146</v>
      </c>
      <c r="Q259" t="s">
        <v>1139</v>
      </c>
      <c r="R259" t="s">
        <v>1135</v>
      </c>
      <c r="S259">
        <v>4</v>
      </c>
      <c r="T259" t="s">
        <v>1149</v>
      </c>
      <c r="U259" s="11" t="str">
        <f t="shared" si="20"/>
        <v>02:49:09 PM</v>
      </c>
      <c r="AC259" s="4">
        <v>45421</v>
      </c>
      <c r="AD259" s="25">
        <v>1457.48</v>
      </c>
      <c r="BL259" s="2" t="s">
        <v>1409</v>
      </c>
      <c r="BM259" s="4">
        <v>45409</v>
      </c>
      <c r="BN259" s="25">
        <v>21066.23</v>
      </c>
    </row>
    <row r="260" spans="1:66" x14ac:dyDescent="0.35">
      <c r="A260">
        <v>9518</v>
      </c>
      <c r="B260" t="s">
        <v>20</v>
      </c>
      <c r="C260" s="1">
        <v>45863</v>
      </c>
      <c r="D260" t="s">
        <v>23</v>
      </c>
      <c r="E260" t="s">
        <v>36</v>
      </c>
      <c r="F260">
        <v>2</v>
      </c>
      <c r="G260">
        <v>1432.58</v>
      </c>
      <c r="H260">
        <v>2865.16</v>
      </c>
      <c r="I260">
        <v>208.33</v>
      </c>
      <c r="J260">
        <v>2656.83</v>
      </c>
      <c r="K260">
        <v>339</v>
      </c>
      <c r="L260" s="11" t="s">
        <v>53</v>
      </c>
      <c r="M260">
        <f t="shared" si="21"/>
        <v>25</v>
      </c>
      <c r="N260">
        <f t="shared" si="22"/>
        <v>7</v>
      </c>
      <c r="O260">
        <f t="shared" si="23"/>
        <v>2025</v>
      </c>
      <c r="P260" s="4">
        <f t="shared" si="24"/>
        <v>45863</v>
      </c>
      <c r="Q260" t="s">
        <v>1136</v>
      </c>
      <c r="R260" t="s">
        <v>1137</v>
      </c>
      <c r="S260">
        <v>4</v>
      </c>
      <c r="T260" t="s">
        <v>1144</v>
      </c>
      <c r="U260" s="11" t="str">
        <f t="shared" si="20"/>
        <v>10:24:30 PM</v>
      </c>
      <c r="AC260" s="4">
        <v>45422</v>
      </c>
      <c r="AD260" s="25">
        <v>8107.44</v>
      </c>
      <c r="BL260" s="2" t="s">
        <v>1410</v>
      </c>
      <c r="BM260" s="4">
        <v>45410</v>
      </c>
      <c r="BN260" s="25">
        <v>4761.71</v>
      </c>
    </row>
    <row r="261" spans="1:66" x14ac:dyDescent="0.35">
      <c r="A261">
        <v>9821</v>
      </c>
      <c r="B261" t="s">
        <v>8</v>
      </c>
      <c r="C261" s="1">
        <v>45678</v>
      </c>
      <c r="D261" t="s">
        <v>34</v>
      </c>
      <c r="E261" t="s">
        <v>7</v>
      </c>
      <c r="F261">
        <v>3</v>
      </c>
      <c r="G261">
        <v>1396.89</v>
      </c>
      <c r="H261">
        <v>4190.67</v>
      </c>
      <c r="I261">
        <v>244.02</v>
      </c>
      <c r="J261">
        <v>3946.65</v>
      </c>
      <c r="K261">
        <v>346</v>
      </c>
      <c r="L261" s="11" t="s">
        <v>54</v>
      </c>
      <c r="M261">
        <f t="shared" si="21"/>
        <v>21</v>
      </c>
      <c r="N261">
        <f t="shared" si="22"/>
        <v>1</v>
      </c>
      <c r="O261">
        <f t="shared" si="23"/>
        <v>2025</v>
      </c>
      <c r="P261" s="4">
        <f t="shared" si="24"/>
        <v>45678</v>
      </c>
      <c r="Q261" t="s">
        <v>1134</v>
      </c>
      <c r="R261" t="s">
        <v>1135</v>
      </c>
      <c r="S261">
        <v>4</v>
      </c>
      <c r="T261" t="s">
        <v>1148</v>
      </c>
      <c r="U261" s="11" t="str">
        <f t="shared" si="20"/>
        <v>03:46:20 PM</v>
      </c>
      <c r="AC261" s="4">
        <v>45423</v>
      </c>
      <c r="AD261" s="25">
        <v>15525.150000000001</v>
      </c>
      <c r="BL261" s="2" t="s">
        <v>1411</v>
      </c>
      <c r="BM261" s="4">
        <v>45411</v>
      </c>
      <c r="BN261" s="25">
        <v>425.79</v>
      </c>
    </row>
    <row r="262" spans="1:66" x14ac:dyDescent="0.35">
      <c r="A262">
        <v>4228</v>
      </c>
      <c r="B262" t="s">
        <v>31</v>
      </c>
      <c r="C262" s="1">
        <v>45427</v>
      </c>
      <c r="D262" t="s">
        <v>24</v>
      </c>
      <c r="E262" t="s">
        <v>7</v>
      </c>
      <c r="F262">
        <v>3</v>
      </c>
      <c r="G262">
        <v>623.33000000000004</v>
      </c>
      <c r="H262">
        <v>1869.99</v>
      </c>
      <c r="I262">
        <v>280.54000000000002</v>
      </c>
      <c r="J262">
        <v>1589.45</v>
      </c>
      <c r="K262">
        <v>498</v>
      </c>
      <c r="L262" s="11" t="s">
        <v>55</v>
      </c>
      <c r="M262">
        <f t="shared" si="21"/>
        <v>15</v>
      </c>
      <c r="N262">
        <f t="shared" si="22"/>
        <v>5</v>
      </c>
      <c r="O262">
        <f t="shared" si="23"/>
        <v>2024</v>
      </c>
      <c r="P262" s="4">
        <f t="shared" si="24"/>
        <v>45427</v>
      </c>
      <c r="Q262" t="s">
        <v>1138</v>
      </c>
      <c r="R262" t="s">
        <v>1135</v>
      </c>
      <c r="S262">
        <v>1</v>
      </c>
      <c r="T262" t="s">
        <v>1142</v>
      </c>
      <c r="U262" s="11" t="str">
        <f t="shared" si="20"/>
        <v>02:51:34 AM</v>
      </c>
      <c r="AC262" s="4">
        <v>45424</v>
      </c>
      <c r="AD262" s="25">
        <v>1462.46</v>
      </c>
      <c r="BL262" s="2" t="s">
        <v>1412</v>
      </c>
      <c r="BM262" s="4">
        <v>45412</v>
      </c>
      <c r="BN262" s="25">
        <v>6707.23</v>
      </c>
    </row>
    <row r="263" spans="1:66" x14ac:dyDescent="0.35">
      <c r="A263">
        <v>8066</v>
      </c>
      <c r="B263" t="s">
        <v>31</v>
      </c>
      <c r="C263" s="1">
        <v>45199</v>
      </c>
      <c r="D263" t="s">
        <v>34</v>
      </c>
      <c r="E263" t="s">
        <v>10</v>
      </c>
      <c r="F263">
        <v>4</v>
      </c>
      <c r="G263">
        <v>922.13</v>
      </c>
      <c r="H263">
        <v>3688.52</v>
      </c>
      <c r="I263">
        <v>553.61</v>
      </c>
      <c r="J263">
        <v>3134.91</v>
      </c>
      <c r="K263">
        <v>478</v>
      </c>
      <c r="L263" s="11" t="s">
        <v>56</v>
      </c>
      <c r="M263">
        <f t="shared" si="21"/>
        <v>30</v>
      </c>
      <c r="N263">
        <f t="shared" si="22"/>
        <v>9</v>
      </c>
      <c r="O263">
        <f t="shared" si="23"/>
        <v>2023</v>
      </c>
      <c r="P263" s="4">
        <f t="shared" si="24"/>
        <v>45199</v>
      </c>
      <c r="Q263" t="s">
        <v>1139</v>
      </c>
      <c r="R263" t="s">
        <v>1135</v>
      </c>
      <c r="S263">
        <v>1</v>
      </c>
      <c r="T263" t="s">
        <v>1145</v>
      </c>
      <c r="U263" s="11" t="str">
        <f t="shared" si="20"/>
        <v>05:06:43 PM</v>
      </c>
      <c r="AC263" s="4">
        <v>45425</v>
      </c>
      <c r="AD263" s="25">
        <v>3461.9300000000003</v>
      </c>
      <c r="BL263" s="2" t="s">
        <v>1413</v>
      </c>
      <c r="BM263" s="4">
        <v>45413</v>
      </c>
      <c r="BN263" s="25">
        <v>13775.51</v>
      </c>
    </row>
    <row r="264" spans="1:66" x14ac:dyDescent="0.35">
      <c r="A264">
        <v>6409</v>
      </c>
      <c r="B264" t="s">
        <v>0</v>
      </c>
      <c r="C264" s="1">
        <v>45629</v>
      </c>
      <c r="D264" t="s">
        <v>17</v>
      </c>
      <c r="E264" t="s">
        <v>7</v>
      </c>
      <c r="F264">
        <v>4</v>
      </c>
      <c r="G264">
        <v>2238.5100000000002</v>
      </c>
      <c r="H264">
        <v>8954.0400000000009</v>
      </c>
      <c r="I264">
        <v>1791.14</v>
      </c>
      <c r="J264">
        <v>7162.9</v>
      </c>
      <c r="K264">
        <v>202</v>
      </c>
      <c r="L264" s="11" t="s">
        <v>57</v>
      </c>
      <c r="M264">
        <f t="shared" si="21"/>
        <v>3</v>
      </c>
      <c r="N264">
        <f t="shared" si="22"/>
        <v>12</v>
      </c>
      <c r="O264">
        <f t="shared" si="23"/>
        <v>2024</v>
      </c>
      <c r="P264" s="4">
        <f t="shared" si="24"/>
        <v>45629</v>
      </c>
      <c r="Q264" t="s">
        <v>1138</v>
      </c>
      <c r="R264" t="s">
        <v>1135</v>
      </c>
      <c r="S264">
        <v>3</v>
      </c>
      <c r="T264" t="s">
        <v>1148</v>
      </c>
      <c r="U264" s="11" t="str">
        <f t="shared" si="20"/>
        <v>01:08:54 PM</v>
      </c>
      <c r="AC264" s="4">
        <v>45426</v>
      </c>
      <c r="AD264" s="25">
        <v>13642.71</v>
      </c>
      <c r="BL264" s="2" t="s">
        <v>1414</v>
      </c>
      <c r="BM264" s="4">
        <v>45414</v>
      </c>
      <c r="BN264" s="25">
        <v>22546.95</v>
      </c>
    </row>
    <row r="265" spans="1:66" x14ac:dyDescent="0.35">
      <c r="A265">
        <v>6143</v>
      </c>
      <c r="B265" t="s">
        <v>19</v>
      </c>
      <c r="C265" s="1">
        <v>45660</v>
      </c>
      <c r="D265" t="s">
        <v>1</v>
      </c>
      <c r="E265" t="s">
        <v>26</v>
      </c>
      <c r="F265">
        <v>1</v>
      </c>
      <c r="G265">
        <v>915.49</v>
      </c>
      <c r="H265">
        <v>915.49</v>
      </c>
      <c r="I265">
        <v>0</v>
      </c>
      <c r="J265">
        <v>915.49</v>
      </c>
      <c r="K265">
        <v>226</v>
      </c>
      <c r="L265" s="11" t="s">
        <v>58</v>
      </c>
      <c r="M265">
        <f t="shared" si="21"/>
        <v>3</v>
      </c>
      <c r="N265">
        <f t="shared" si="22"/>
        <v>1</v>
      </c>
      <c r="O265">
        <f t="shared" si="23"/>
        <v>2025</v>
      </c>
      <c r="P265" s="4">
        <f t="shared" si="24"/>
        <v>45660</v>
      </c>
      <c r="Q265" t="s">
        <v>1138</v>
      </c>
      <c r="R265" t="s">
        <v>1137</v>
      </c>
      <c r="S265">
        <v>4</v>
      </c>
      <c r="T265" t="s">
        <v>1142</v>
      </c>
      <c r="U265" s="11" t="str">
        <f t="shared" si="20"/>
        <v>07:34:15 AM</v>
      </c>
      <c r="AC265" s="4">
        <v>45427</v>
      </c>
      <c r="AD265" s="25">
        <v>10460.490000000002</v>
      </c>
      <c r="BL265" s="2" t="s">
        <v>1415</v>
      </c>
      <c r="BM265" s="4">
        <v>45415</v>
      </c>
      <c r="BN265" s="25">
        <v>27819.940000000002</v>
      </c>
    </row>
    <row r="266" spans="1:66" x14ac:dyDescent="0.35">
      <c r="A266">
        <v>3041</v>
      </c>
      <c r="B266" t="s">
        <v>15</v>
      </c>
      <c r="C266" s="1">
        <v>45704</v>
      </c>
      <c r="D266" t="s">
        <v>6</v>
      </c>
      <c r="E266" t="s">
        <v>33</v>
      </c>
      <c r="F266">
        <v>5</v>
      </c>
      <c r="G266">
        <v>734.55</v>
      </c>
      <c r="H266">
        <v>3672.75</v>
      </c>
      <c r="I266">
        <v>734.55</v>
      </c>
      <c r="J266">
        <v>2938.2</v>
      </c>
      <c r="K266">
        <v>287</v>
      </c>
      <c r="L266" s="11" t="s">
        <v>59</v>
      </c>
      <c r="M266">
        <f t="shared" si="21"/>
        <v>16</v>
      </c>
      <c r="N266">
        <f t="shared" si="22"/>
        <v>2</v>
      </c>
      <c r="O266">
        <f t="shared" si="23"/>
        <v>2025</v>
      </c>
      <c r="P266" s="4">
        <f t="shared" si="24"/>
        <v>45704</v>
      </c>
      <c r="Q266" t="s">
        <v>1134</v>
      </c>
      <c r="R266" t="s">
        <v>1137</v>
      </c>
      <c r="S266">
        <v>5</v>
      </c>
      <c r="T266" t="s">
        <v>1148</v>
      </c>
      <c r="U266" s="11" t="str">
        <f t="shared" si="20"/>
        <v>07:40:47 PM</v>
      </c>
      <c r="AC266" s="4">
        <v>45428</v>
      </c>
      <c r="AD266" s="25">
        <v>14043.6</v>
      </c>
      <c r="BL266" s="2" t="s">
        <v>1416</v>
      </c>
      <c r="BM266" s="4">
        <v>45416</v>
      </c>
      <c r="BN266" s="25">
        <v>15322.63</v>
      </c>
    </row>
    <row r="267" spans="1:66" x14ac:dyDescent="0.35">
      <c r="A267">
        <v>5920</v>
      </c>
      <c r="B267" t="s">
        <v>0</v>
      </c>
      <c r="C267" s="1">
        <v>45538</v>
      </c>
      <c r="D267" t="s">
        <v>17</v>
      </c>
      <c r="E267" t="s">
        <v>14</v>
      </c>
      <c r="F267">
        <v>2</v>
      </c>
      <c r="G267">
        <v>204.18</v>
      </c>
      <c r="H267">
        <v>408.36</v>
      </c>
      <c r="I267">
        <v>0</v>
      </c>
      <c r="J267">
        <v>408.36</v>
      </c>
      <c r="K267">
        <v>463</v>
      </c>
      <c r="L267" s="11" t="s">
        <v>60</v>
      </c>
      <c r="M267">
        <f t="shared" si="21"/>
        <v>3</v>
      </c>
      <c r="N267">
        <f t="shared" si="22"/>
        <v>9</v>
      </c>
      <c r="O267">
        <f t="shared" si="23"/>
        <v>2024</v>
      </c>
      <c r="P267" s="4">
        <f t="shared" si="24"/>
        <v>45538</v>
      </c>
      <c r="Q267" t="s">
        <v>1139</v>
      </c>
      <c r="R267" t="s">
        <v>1137</v>
      </c>
      <c r="S267">
        <v>2</v>
      </c>
      <c r="T267" t="s">
        <v>1143</v>
      </c>
      <c r="U267" s="11" t="str">
        <f t="shared" si="20"/>
        <v>09:42:30 AM</v>
      </c>
      <c r="AC267" s="4">
        <v>45429</v>
      </c>
      <c r="AD267" s="25">
        <v>1940.54</v>
      </c>
      <c r="BL267" s="2" t="s">
        <v>1417</v>
      </c>
      <c r="BM267" s="4">
        <v>45417</v>
      </c>
      <c r="BN267" s="25">
        <v>3541.61</v>
      </c>
    </row>
    <row r="268" spans="1:66" x14ac:dyDescent="0.35">
      <c r="A268">
        <v>6067</v>
      </c>
      <c r="B268" t="s">
        <v>31</v>
      </c>
      <c r="C268" s="1">
        <v>45662</v>
      </c>
      <c r="D268" t="s">
        <v>1</v>
      </c>
      <c r="E268" t="s">
        <v>38</v>
      </c>
      <c r="F268">
        <v>4</v>
      </c>
      <c r="G268">
        <v>877.31</v>
      </c>
      <c r="H268">
        <v>3509.24</v>
      </c>
      <c r="I268">
        <v>0</v>
      </c>
      <c r="J268">
        <v>3509.24</v>
      </c>
      <c r="K268">
        <v>241</v>
      </c>
      <c r="L268" s="11" t="s">
        <v>61</v>
      </c>
      <c r="M268">
        <f t="shared" si="21"/>
        <v>5</v>
      </c>
      <c r="N268">
        <f t="shared" si="22"/>
        <v>1</v>
      </c>
      <c r="O268">
        <f t="shared" si="23"/>
        <v>2025</v>
      </c>
      <c r="P268" s="4">
        <f t="shared" si="24"/>
        <v>45662</v>
      </c>
      <c r="Q268" t="s">
        <v>1136</v>
      </c>
      <c r="R268" t="s">
        <v>1135</v>
      </c>
      <c r="S268">
        <v>3</v>
      </c>
      <c r="T268" t="s">
        <v>1149</v>
      </c>
      <c r="U268" s="11" t="str">
        <f t="shared" si="20"/>
        <v>01:19:00 PM</v>
      </c>
      <c r="AC268" s="4">
        <v>45430</v>
      </c>
      <c r="AD268" s="25">
        <v>13200.32</v>
      </c>
      <c r="BL268" s="2" t="s">
        <v>1418</v>
      </c>
      <c r="BM268" s="4">
        <v>45418</v>
      </c>
      <c r="BN268" s="25">
        <v>12811.88</v>
      </c>
    </row>
    <row r="269" spans="1:66" x14ac:dyDescent="0.35">
      <c r="A269">
        <v>7691</v>
      </c>
      <c r="B269" t="s">
        <v>8</v>
      </c>
      <c r="C269" s="1">
        <v>45398</v>
      </c>
      <c r="D269" t="s">
        <v>1</v>
      </c>
      <c r="E269" t="s">
        <v>7</v>
      </c>
      <c r="F269">
        <v>2</v>
      </c>
      <c r="G269">
        <v>1061.57</v>
      </c>
      <c r="H269">
        <v>2123.14</v>
      </c>
      <c r="I269">
        <v>212.48</v>
      </c>
      <c r="J269">
        <v>1910.66</v>
      </c>
      <c r="K269">
        <v>478</v>
      </c>
      <c r="L269" s="11" t="s">
        <v>62</v>
      </c>
      <c r="M269">
        <f t="shared" si="21"/>
        <v>16</v>
      </c>
      <c r="N269">
        <f t="shared" si="22"/>
        <v>4</v>
      </c>
      <c r="O269">
        <f t="shared" si="23"/>
        <v>2024</v>
      </c>
      <c r="P269" s="4">
        <f t="shared" si="24"/>
        <v>45398</v>
      </c>
      <c r="Q269" t="s">
        <v>1136</v>
      </c>
      <c r="R269" t="s">
        <v>1135</v>
      </c>
      <c r="S269">
        <v>1</v>
      </c>
      <c r="T269" t="s">
        <v>1143</v>
      </c>
      <c r="U269" s="11" t="str">
        <f t="shared" si="20"/>
        <v>11:19:12 PM</v>
      </c>
      <c r="AC269" s="4">
        <v>45431</v>
      </c>
      <c r="AD269" s="25">
        <v>2672.6</v>
      </c>
      <c r="BL269" s="2" t="s">
        <v>1419</v>
      </c>
      <c r="BM269" s="4">
        <v>45419</v>
      </c>
      <c r="BN269" s="25">
        <v>9400.58</v>
      </c>
    </row>
    <row r="270" spans="1:66" x14ac:dyDescent="0.35">
      <c r="A270">
        <v>7592</v>
      </c>
      <c r="B270" t="s">
        <v>31</v>
      </c>
      <c r="C270" s="1">
        <v>45686</v>
      </c>
      <c r="D270" t="s">
        <v>24</v>
      </c>
      <c r="E270" t="s">
        <v>10</v>
      </c>
      <c r="F270">
        <v>3</v>
      </c>
      <c r="G270">
        <v>1636.76</v>
      </c>
      <c r="H270">
        <v>4910.28</v>
      </c>
      <c r="I270">
        <v>0</v>
      </c>
      <c r="J270">
        <v>4910.28</v>
      </c>
      <c r="K270">
        <v>464</v>
      </c>
      <c r="L270" s="11" t="s">
        <v>63</v>
      </c>
      <c r="M270">
        <f t="shared" si="21"/>
        <v>29</v>
      </c>
      <c r="N270">
        <f t="shared" si="22"/>
        <v>1</v>
      </c>
      <c r="O270">
        <f t="shared" si="23"/>
        <v>2025</v>
      </c>
      <c r="P270" s="4">
        <f t="shared" si="24"/>
        <v>45686</v>
      </c>
      <c r="Q270" t="s">
        <v>1134</v>
      </c>
      <c r="R270" t="s">
        <v>1137</v>
      </c>
      <c r="S270">
        <v>3</v>
      </c>
      <c r="T270" t="s">
        <v>1148</v>
      </c>
      <c r="U270" s="11" t="str">
        <f t="shared" si="20"/>
        <v>09:13:43 PM</v>
      </c>
      <c r="AC270" s="4">
        <v>45432</v>
      </c>
      <c r="AD270" s="25">
        <v>8346.48</v>
      </c>
      <c r="BL270" s="2" t="s">
        <v>1420</v>
      </c>
      <c r="BM270" s="4">
        <v>45420</v>
      </c>
      <c r="BN270" s="25">
        <v>15887.86</v>
      </c>
    </row>
    <row r="271" spans="1:66" x14ac:dyDescent="0.35">
      <c r="A271">
        <v>5844</v>
      </c>
      <c r="B271" t="s">
        <v>31</v>
      </c>
      <c r="C271" s="1">
        <v>45575</v>
      </c>
      <c r="D271" t="s">
        <v>27</v>
      </c>
      <c r="E271" t="s">
        <v>29</v>
      </c>
      <c r="F271">
        <v>2</v>
      </c>
      <c r="G271">
        <v>1088.1300000000001</v>
      </c>
      <c r="H271">
        <v>2176.2600000000002</v>
      </c>
      <c r="I271">
        <v>414.17</v>
      </c>
      <c r="J271">
        <v>1762.09</v>
      </c>
      <c r="K271">
        <v>428</v>
      </c>
      <c r="L271" s="11" t="s">
        <v>64</v>
      </c>
      <c r="M271">
        <f t="shared" si="21"/>
        <v>10</v>
      </c>
      <c r="N271">
        <f t="shared" si="22"/>
        <v>10</v>
      </c>
      <c r="O271">
        <f t="shared" si="23"/>
        <v>2024</v>
      </c>
      <c r="P271" s="4">
        <f t="shared" si="24"/>
        <v>45575</v>
      </c>
      <c r="Q271" t="s">
        <v>1134</v>
      </c>
      <c r="R271" t="s">
        <v>1135</v>
      </c>
      <c r="S271">
        <v>3</v>
      </c>
      <c r="T271" t="s">
        <v>1146</v>
      </c>
      <c r="U271" s="11" t="str">
        <f t="shared" si="20"/>
        <v>07:20:53 PM</v>
      </c>
      <c r="AC271" s="4">
        <v>45433</v>
      </c>
      <c r="AD271" s="25">
        <v>7864.25</v>
      </c>
      <c r="BL271" s="2" t="s">
        <v>1421</v>
      </c>
      <c r="BM271" s="4">
        <v>45421</v>
      </c>
      <c r="BN271" s="25">
        <v>1457.48</v>
      </c>
    </row>
    <row r="272" spans="1:66" x14ac:dyDescent="0.35">
      <c r="A272">
        <v>3085</v>
      </c>
      <c r="B272" t="s">
        <v>13</v>
      </c>
      <c r="C272" s="1">
        <v>45294</v>
      </c>
      <c r="D272" t="s">
        <v>34</v>
      </c>
      <c r="E272" t="s">
        <v>18</v>
      </c>
      <c r="F272">
        <v>3</v>
      </c>
      <c r="G272">
        <v>2192.86</v>
      </c>
      <c r="H272">
        <v>6578.58</v>
      </c>
      <c r="I272">
        <v>283.02999999999997</v>
      </c>
      <c r="J272">
        <v>6295.55</v>
      </c>
      <c r="K272">
        <v>4</v>
      </c>
      <c r="L272" s="11" t="s">
        <v>65</v>
      </c>
      <c r="M272">
        <f t="shared" si="21"/>
        <v>3</v>
      </c>
      <c r="N272">
        <f t="shared" si="22"/>
        <v>1</v>
      </c>
      <c r="O272">
        <f t="shared" si="23"/>
        <v>2024</v>
      </c>
      <c r="P272" s="4">
        <f t="shared" si="24"/>
        <v>45294</v>
      </c>
      <c r="Q272" t="s">
        <v>1139</v>
      </c>
      <c r="R272" t="s">
        <v>1135</v>
      </c>
      <c r="S272">
        <v>3</v>
      </c>
      <c r="T272" t="s">
        <v>1149</v>
      </c>
      <c r="U272" s="11" t="str">
        <f t="shared" si="20"/>
        <v>03:22:33 PM</v>
      </c>
      <c r="AC272" s="4">
        <v>45434</v>
      </c>
      <c r="AD272" s="25">
        <v>20506.810000000001</v>
      </c>
      <c r="BL272" s="2" t="s">
        <v>1422</v>
      </c>
      <c r="BM272" s="4">
        <v>45422</v>
      </c>
      <c r="BN272" s="25">
        <v>8107.44</v>
      </c>
    </row>
    <row r="273" spans="1:66" x14ac:dyDescent="0.35">
      <c r="A273">
        <v>7888</v>
      </c>
      <c r="B273" t="s">
        <v>25</v>
      </c>
      <c r="C273" s="1">
        <v>45661</v>
      </c>
      <c r="D273" t="s">
        <v>24</v>
      </c>
      <c r="E273" t="s">
        <v>22</v>
      </c>
      <c r="F273">
        <v>5</v>
      </c>
      <c r="G273">
        <v>1344.6</v>
      </c>
      <c r="H273">
        <v>6723</v>
      </c>
      <c r="I273">
        <v>238.21</v>
      </c>
      <c r="J273">
        <v>6484.79</v>
      </c>
      <c r="K273">
        <v>455</v>
      </c>
      <c r="L273" s="11" t="s">
        <v>66</v>
      </c>
      <c r="M273">
        <f t="shared" si="21"/>
        <v>4</v>
      </c>
      <c r="N273">
        <f t="shared" si="22"/>
        <v>1</v>
      </c>
      <c r="O273">
        <f t="shared" si="23"/>
        <v>2025</v>
      </c>
      <c r="P273" s="4">
        <f t="shared" si="24"/>
        <v>45661</v>
      </c>
      <c r="Q273" t="s">
        <v>1136</v>
      </c>
      <c r="R273" t="s">
        <v>1135</v>
      </c>
      <c r="S273">
        <v>3</v>
      </c>
      <c r="T273" t="s">
        <v>1145</v>
      </c>
      <c r="U273" s="11" t="str">
        <f t="shared" si="20"/>
        <v>08:05:02 PM</v>
      </c>
      <c r="AC273" s="4">
        <v>45435</v>
      </c>
      <c r="AD273" s="25">
        <v>5780.95</v>
      </c>
      <c r="BL273" s="2" t="s">
        <v>1423</v>
      </c>
      <c r="BM273" s="4">
        <v>45423</v>
      </c>
      <c r="BN273" s="25">
        <v>15525.150000000001</v>
      </c>
    </row>
    <row r="274" spans="1:66" x14ac:dyDescent="0.35">
      <c r="A274">
        <v>7211</v>
      </c>
      <c r="B274" t="s">
        <v>31</v>
      </c>
      <c r="C274" s="1">
        <v>45671</v>
      </c>
      <c r="D274" t="s">
        <v>4</v>
      </c>
      <c r="E274" t="s">
        <v>10</v>
      </c>
      <c r="F274">
        <v>2</v>
      </c>
      <c r="G274">
        <v>1841.77</v>
      </c>
      <c r="H274">
        <v>3683.54</v>
      </c>
      <c r="I274">
        <v>0</v>
      </c>
      <c r="J274">
        <v>3683.54</v>
      </c>
      <c r="K274">
        <v>331</v>
      </c>
      <c r="L274" s="11" t="s">
        <v>67</v>
      </c>
      <c r="M274">
        <f t="shared" si="21"/>
        <v>14</v>
      </c>
      <c r="N274">
        <f t="shared" si="22"/>
        <v>1</v>
      </c>
      <c r="O274">
        <f t="shared" si="23"/>
        <v>2025</v>
      </c>
      <c r="P274" s="4">
        <f t="shared" si="24"/>
        <v>45671</v>
      </c>
      <c r="Q274" t="s">
        <v>1136</v>
      </c>
      <c r="R274" t="s">
        <v>1135</v>
      </c>
      <c r="S274">
        <v>2</v>
      </c>
      <c r="T274" t="s">
        <v>1144</v>
      </c>
      <c r="U274" s="11" t="str">
        <f t="shared" si="20"/>
        <v>09:57:58 AM</v>
      </c>
      <c r="AC274" s="4">
        <v>45436</v>
      </c>
      <c r="AD274" s="25">
        <v>12656.67</v>
      </c>
      <c r="BL274" s="2" t="s">
        <v>1424</v>
      </c>
      <c r="BM274" s="4">
        <v>45424</v>
      </c>
      <c r="BN274" s="25">
        <v>1462.46</v>
      </c>
    </row>
    <row r="275" spans="1:66" x14ac:dyDescent="0.35">
      <c r="A275">
        <v>3851</v>
      </c>
      <c r="B275" t="s">
        <v>8</v>
      </c>
      <c r="C275" s="1">
        <v>45623</v>
      </c>
      <c r="D275" t="s">
        <v>1</v>
      </c>
      <c r="E275" t="s">
        <v>10</v>
      </c>
      <c r="F275">
        <v>3</v>
      </c>
      <c r="G275">
        <v>1449.18</v>
      </c>
      <c r="H275">
        <v>4347.54</v>
      </c>
      <c r="I275">
        <v>869.84</v>
      </c>
      <c r="J275">
        <v>3477.7</v>
      </c>
      <c r="K275">
        <v>387</v>
      </c>
      <c r="L275" s="11" t="s">
        <v>68</v>
      </c>
      <c r="M275">
        <f t="shared" si="21"/>
        <v>27</v>
      </c>
      <c r="N275">
        <f t="shared" si="22"/>
        <v>11</v>
      </c>
      <c r="O275">
        <f t="shared" si="23"/>
        <v>2024</v>
      </c>
      <c r="P275" s="4">
        <f t="shared" si="24"/>
        <v>45623</v>
      </c>
      <c r="Q275" t="s">
        <v>1136</v>
      </c>
      <c r="R275" t="s">
        <v>1137</v>
      </c>
      <c r="S275">
        <v>4</v>
      </c>
      <c r="T275" t="s">
        <v>1143</v>
      </c>
      <c r="U275" s="11" t="str">
        <f t="shared" si="20"/>
        <v>12:39:21 AM</v>
      </c>
      <c r="AC275" s="4">
        <v>45437</v>
      </c>
      <c r="AD275" s="25">
        <v>6276.46</v>
      </c>
      <c r="BL275" s="2" t="s">
        <v>1425</v>
      </c>
      <c r="BM275" s="4">
        <v>45425</v>
      </c>
      <c r="BN275" s="25">
        <v>3461.9300000000003</v>
      </c>
    </row>
    <row r="276" spans="1:66" x14ac:dyDescent="0.35">
      <c r="A276">
        <v>5930</v>
      </c>
      <c r="B276" t="s">
        <v>13</v>
      </c>
      <c r="C276" s="1">
        <v>45460</v>
      </c>
      <c r="D276" t="s">
        <v>9</v>
      </c>
      <c r="E276" t="s">
        <v>36</v>
      </c>
      <c r="F276">
        <v>3</v>
      </c>
      <c r="G276">
        <v>291.33</v>
      </c>
      <c r="H276">
        <v>873.99</v>
      </c>
      <c r="I276">
        <v>175.13</v>
      </c>
      <c r="J276">
        <v>698.86</v>
      </c>
      <c r="K276">
        <v>342</v>
      </c>
      <c r="L276" s="11" t="s">
        <v>69</v>
      </c>
      <c r="M276">
        <f t="shared" si="21"/>
        <v>17</v>
      </c>
      <c r="N276">
        <f t="shared" si="22"/>
        <v>6</v>
      </c>
      <c r="O276">
        <f t="shared" si="23"/>
        <v>2024</v>
      </c>
      <c r="P276" s="4">
        <f t="shared" si="24"/>
        <v>45460</v>
      </c>
      <c r="Q276" t="s">
        <v>1138</v>
      </c>
      <c r="R276" t="s">
        <v>1137</v>
      </c>
      <c r="S276">
        <v>5</v>
      </c>
      <c r="T276" t="s">
        <v>1144</v>
      </c>
      <c r="U276" s="11" t="str">
        <f t="shared" si="20"/>
        <v>08:51:13 AM</v>
      </c>
      <c r="AC276" s="4">
        <v>45439</v>
      </c>
      <c r="AD276" s="25">
        <v>11667.31</v>
      </c>
      <c r="BL276" s="2" t="s">
        <v>1426</v>
      </c>
      <c r="BM276" s="4">
        <v>45426</v>
      </c>
      <c r="BN276" s="25">
        <v>13642.71</v>
      </c>
    </row>
    <row r="277" spans="1:66" x14ac:dyDescent="0.35">
      <c r="A277">
        <v>9977</v>
      </c>
      <c r="B277" t="s">
        <v>8</v>
      </c>
      <c r="C277" s="1">
        <v>45792</v>
      </c>
      <c r="D277" t="s">
        <v>34</v>
      </c>
      <c r="E277" t="s">
        <v>10</v>
      </c>
      <c r="F277">
        <v>2</v>
      </c>
      <c r="G277">
        <v>98.77</v>
      </c>
      <c r="H277">
        <v>197.54</v>
      </c>
      <c r="I277">
        <v>19.920000000000002</v>
      </c>
      <c r="J277">
        <v>177.62</v>
      </c>
      <c r="K277">
        <v>196</v>
      </c>
      <c r="L277" s="11" t="s">
        <v>70</v>
      </c>
      <c r="M277">
        <f t="shared" si="21"/>
        <v>15</v>
      </c>
      <c r="N277">
        <f t="shared" si="22"/>
        <v>5</v>
      </c>
      <c r="O277">
        <f t="shared" si="23"/>
        <v>2025</v>
      </c>
      <c r="P277" s="4">
        <f t="shared" si="24"/>
        <v>45792</v>
      </c>
      <c r="Q277" t="s">
        <v>1136</v>
      </c>
      <c r="R277" t="s">
        <v>1137</v>
      </c>
      <c r="S277">
        <v>3</v>
      </c>
      <c r="T277" t="s">
        <v>1142</v>
      </c>
      <c r="U277" s="11" t="str">
        <f t="shared" si="20"/>
        <v>11:11:58 AM</v>
      </c>
      <c r="AC277" s="4">
        <v>45440</v>
      </c>
      <c r="AD277" s="25">
        <v>24284.969999999998</v>
      </c>
      <c r="BL277" s="2" t="s">
        <v>1427</v>
      </c>
      <c r="BM277" s="4">
        <v>45427</v>
      </c>
      <c r="BN277" s="25">
        <v>10460.490000000002</v>
      </c>
    </row>
    <row r="278" spans="1:66" x14ac:dyDescent="0.35">
      <c r="A278">
        <v>1006</v>
      </c>
      <c r="B278" t="s">
        <v>19</v>
      </c>
      <c r="C278" s="1">
        <v>45381</v>
      </c>
      <c r="D278" t="s">
        <v>11</v>
      </c>
      <c r="E278" t="s">
        <v>26</v>
      </c>
      <c r="F278">
        <v>5</v>
      </c>
      <c r="G278">
        <v>1821.85</v>
      </c>
      <c r="H278">
        <v>9109.25</v>
      </c>
      <c r="I278">
        <v>0</v>
      </c>
      <c r="J278">
        <v>9109.25</v>
      </c>
      <c r="K278">
        <v>5</v>
      </c>
      <c r="L278" s="11" t="s">
        <v>71</v>
      </c>
      <c r="M278">
        <f t="shared" si="21"/>
        <v>30</v>
      </c>
      <c r="N278">
        <f t="shared" si="22"/>
        <v>3</v>
      </c>
      <c r="O278">
        <f t="shared" si="23"/>
        <v>2024</v>
      </c>
      <c r="P278" s="4">
        <f t="shared" si="24"/>
        <v>45381</v>
      </c>
      <c r="Q278" t="s">
        <v>1138</v>
      </c>
      <c r="R278" t="s">
        <v>1135</v>
      </c>
      <c r="S278">
        <v>3</v>
      </c>
      <c r="T278" t="s">
        <v>1147</v>
      </c>
      <c r="U278" s="11" t="str">
        <f t="shared" si="20"/>
        <v>09:12:01 PM</v>
      </c>
      <c r="AC278" s="4">
        <v>45441</v>
      </c>
      <c r="AD278" s="25">
        <v>6298.04</v>
      </c>
      <c r="BL278" s="2" t="s">
        <v>1428</v>
      </c>
      <c r="BM278" s="4">
        <v>45428</v>
      </c>
      <c r="BN278" s="25">
        <v>14043.6</v>
      </c>
    </row>
    <row r="279" spans="1:66" x14ac:dyDescent="0.35">
      <c r="A279">
        <v>5700</v>
      </c>
      <c r="B279" t="s">
        <v>25</v>
      </c>
      <c r="C279" s="1">
        <v>45308</v>
      </c>
      <c r="D279" t="s">
        <v>6</v>
      </c>
      <c r="E279" t="s">
        <v>29</v>
      </c>
      <c r="F279">
        <v>1</v>
      </c>
      <c r="G279">
        <v>1202.67</v>
      </c>
      <c r="H279">
        <v>1202.67</v>
      </c>
      <c r="I279">
        <v>0</v>
      </c>
      <c r="J279">
        <v>1202.67</v>
      </c>
      <c r="K279">
        <v>81</v>
      </c>
      <c r="L279" s="11" t="s">
        <v>72</v>
      </c>
      <c r="M279">
        <f t="shared" si="21"/>
        <v>17</v>
      </c>
      <c r="N279">
        <f t="shared" si="22"/>
        <v>1</v>
      </c>
      <c r="O279">
        <f t="shared" si="23"/>
        <v>2024</v>
      </c>
      <c r="P279" s="4">
        <f t="shared" si="24"/>
        <v>45308</v>
      </c>
      <c r="Q279" t="s">
        <v>1139</v>
      </c>
      <c r="R279" t="s">
        <v>1137</v>
      </c>
      <c r="S279">
        <v>3</v>
      </c>
      <c r="T279" t="s">
        <v>1146</v>
      </c>
      <c r="U279" s="11" t="str">
        <f t="shared" si="20"/>
        <v>09:52:00 AM</v>
      </c>
      <c r="AC279" s="4">
        <v>45442</v>
      </c>
      <c r="AD279" s="25">
        <v>13660.14</v>
      </c>
      <c r="BL279" s="2" t="s">
        <v>1429</v>
      </c>
      <c r="BM279" s="4">
        <v>45429</v>
      </c>
      <c r="BN279" s="25">
        <v>1940.54</v>
      </c>
    </row>
    <row r="280" spans="1:66" x14ac:dyDescent="0.35">
      <c r="A280">
        <v>8043</v>
      </c>
      <c r="B280" t="s">
        <v>3</v>
      </c>
      <c r="C280" s="1">
        <v>45755</v>
      </c>
      <c r="D280" t="s">
        <v>24</v>
      </c>
      <c r="E280" t="s">
        <v>38</v>
      </c>
      <c r="F280">
        <v>3</v>
      </c>
      <c r="G280">
        <v>966.95</v>
      </c>
      <c r="H280">
        <v>2900.85</v>
      </c>
      <c r="I280">
        <v>580.16999999999996</v>
      </c>
      <c r="J280">
        <v>2320.6799999999998</v>
      </c>
      <c r="K280">
        <v>113</v>
      </c>
      <c r="L280" s="11" t="s">
        <v>73</v>
      </c>
      <c r="M280">
        <f t="shared" si="21"/>
        <v>8</v>
      </c>
      <c r="N280">
        <f t="shared" si="22"/>
        <v>4</v>
      </c>
      <c r="O280">
        <f t="shared" si="23"/>
        <v>2025</v>
      </c>
      <c r="P280" s="4">
        <f t="shared" si="24"/>
        <v>45755</v>
      </c>
      <c r="Q280" t="s">
        <v>1138</v>
      </c>
      <c r="R280" t="s">
        <v>1137</v>
      </c>
      <c r="S280">
        <v>4</v>
      </c>
      <c r="T280" t="s">
        <v>1142</v>
      </c>
      <c r="U280" s="11" t="str">
        <f t="shared" si="20"/>
        <v>07:47:22 PM</v>
      </c>
      <c r="AC280" s="4">
        <v>45443</v>
      </c>
      <c r="AD280" s="25">
        <v>3818</v>
      </c>
      <c r="BL280" s="2" t="s">
        <v>1430</v>
      </c>
      <c r="BM280" s="4">
        <v>45430</v>
      </c>
      <c r="BN280" s="25">
        <v>13200.32</v>
      </c>
    </row>
    <row r="281" spans="1:66" x14ac:dyDescent="0.35">
      <c r="A281">
        <v>6279</v>
      </c>
      <c r="B281" t="s">
        <v>15</v>
      </c>
      <c r="C281" s="1">
        <v>45506</v>
      </c>
      <c r="D281" t="s">
        <v>23</v>
      </c>
      <c r="E281" t="s">
        <v>22</v>
      </c>
      <c r="F281">
        <v>5</v>
      </c>
      <c r="G281">
        <v>981.89</v>
      </c>
      <c r="H281">
        <v>4909.45</v>
      </c>
      <c r="I281">
        <v>349.43</v>
      </c>
      <c r="J281">
        <v>4560.0200000000004</v>
      </c>
      <c r="K281">
        <v>359</v>
      </c>
      <c r="L281" s="11" t="s">
        <v>74</v>
      </c>
      <c r="M281">
        <f t="shared" si="21"/>
        <v>2</v>
      </c>
      <c r="N281">
        <f t="shared" si="22"/>
        <v>8</v>
      </c>
      <c r="O281">
        <f t="shared" si="23"/>
        <v>2024</v>
      </c>
      <c r="P281" s="4">
        <f t="shared" si="24"/>
        <v>45506</v>
      </c>
      <c r="Q281" t="s">
        <v>1139</v>
      </c>
      <c r="R281" t="s">
        <v>1135</v>
      </c>
      <c r="S281">
        <v>1</v>
      </c>
      <c r="T281" t="s">
        <v>1150</v>
      </c>
      <c r="U281" s="11" t="str">
        <f t="shared" si="20"/>
        <v>03:56:58 PM</v>
      </c>
      <c r="AC281" s="4">
        <v>45444</v>
      </c>
      <c r="AD281" s="25">
        <v>8392.9599999999991</v>
      </c>
      <c r="BL281" s="2" t="s">
        <v>1431</v>
      </c>
      <c r="BM281" s="4">
        <v>45431</v>
      </c>
      <c r="BN281" s="25">
        <v>2672.6</v>
      </c>
    </row>
    <row r="282" spans="1:66" x14ac:dyDescent="0.35">
      <c r="A282">
        <v>8238</v>
      </c>
      <c r="B282" t="s">
        <v>31</v>
      </c>
      <c r="C282" s="1">
        <v>45488</v>
      </c>
      <c r="D282" t="s">
        <v>6</v>
      </c>
      <c r="E282" t="s">
        <v>32</v>
      </c>
      <c r="F282">
        <v>5</v>
      </c>
      <c r="G282">
        <v>1157.8499999999999</v>
      </c>
      <c r="H282">
        <v>5789.25</v>
      </c>
      <c r="I282">
        <v>387.61</v>
      </c>
      <c r="J282">
        <v>5401.64</v>
      </c>
      <c r="K282">
        <v>360</v>
      </c>
      <c r="L282" s="11" t="s">
        <v>75</v>
      </c>
      <c r="M282">
        <f t="shared" si="21"/>
        <v>15</v>
      </c>
      <c r="N282">
        <f t="shared" si="22"/>
        <v>7</v>
      </c>
      <c r="O282">
        <f t="shared" si="23"/>
        <v>2024</v>
      </c>
      <c r="P282" s="4">
        <f t="shared" si="24"/>
        <v>45488</v>
      </c>
      <c r="Q282" t="s">
        <v>1136</v>
      </c>
      <c r="R282" t="s">
        <v>1135</v>
      </c>
      <c r="S282">
        <v>1</v>
      </c>
      <c r="T282" t="s">
        <v>1142</v>
      </c>
      <c r="U282" s="11" t="str">
        <f t="shared" si="20"/>
        <v>10:18:11 PM</v>
      </c>
      <c r="AC282" s="4">
        <v>45445</v>
      </c>
      <c r="AD282" s="25">
        <v>3842.0699999999997</v>
      </c>
      <c r="BL282" s="2" t="s">
        <v>1432</v>
      </c>
      <c r="BM282" s="4">
        <v>45432</v>
      </c>
      <c r="BN282" s="25">
        <v>8346.48</v>
      </c>
    </row>
    <row r="283" spans="1:66" x14ac:dyDescent="0.35">
      <c r="A283">
        <v>4501</v>
      </c>
      <c r="B283" t="s">
        <v>0</v>
      </c>
      <c r="C283" s="1">
        <v>45542</v>
      </c>
      <c r="D283" t="s">
        <v>1</v>
      </c>
      <c r="E283" t="s">
        <v>7</v>
      </c>
      <c r="F283">
        <v>5</v>
      </c>
      <c r="G283">
        <v>568.54999999999995</v>
      </c>
      <c r="H283">
        <v>2842.75</v>
      </c>
      <c r="I283">
        <v>568.54999999999995</v>
      </c>
      <c r="J283">
        <v>2274.1999999999998</v>
      </c>
      <c r="K283">
        <v>274</v>
      </c>
      <c r="L283" s="11" t="s">
        <v>76</v>
      </c>
      <c r="M283">
        <f t="shared" si="21"/>
        <v>7</v>
      </c>
      <c r="N283">
        <f t="shared" si="22"/>
        <v>9</v>
      </c>
      <c r="O283">
        <f t="shared" si="23"/>
        <v>2024</v>
      </c>
      <c r="P283" s="4">
        <f t="shared" si="24"/>
        <v>45542</v>
      </c>
      <c r="Q283" t="s">
        <v>1136</v>
      </c>
      <c r="R283" t="s">
        <v>1137</v>
      </c>
      <c r="S283">
        <v>2</v>
      </c>
      <c r="T283" t="s">
        <v>1142</v>
      </c>
      <c r="U283" s="11" t="str">
        <f t="shared" si="20"/>
        <v>02:13:08 AM</v>
      </c>
      <c r="AC283" s="4">
        <v>45447</v>
      </c>
      <c r="AD283" s="25">
        <v>9504.33</v>
      </c>
      <c r="BL283" s="2" t="s">
        <v>1433</v>
      </c>
      <c r="BM283" s="4">
        <v>45433</v>
      </c>
      <c r="BN283" s="25">
        <v>7864.25</v>
      </c>
    </row>
    <row r="284" spans="1:66" x14ac:dyDescent="0.35">
      <c r="A284">
        <v>8752</v>
      </c>
      <c r="B284" t="s">
        <v>25</v>
      </c>
      <c r="C284" s="1">
        <v>45761</v>
      </c>
      <c r="D284" t="s">
        <v>27</v>
      </c>
      <c r="E284" t="s">
        <v>22</v>
      </c>
      <c r="F284">
        <v>1</v>
      </c>
      <c r="G284">
        <v>1719.76</v>
      </c>
      <c r="H284">
        <v>1719.76</v>
      </c>
      <c r="I284">
        <v>381.8</v>
      </c>
      <c r="J284">
        <v>1337.96</v>
      </c>
      <c r="K284">
        <v>367</v>
      </c>
      <c r="L284" s="11" t="s">
        <v>77</v>
      </c>
      <c r="M284">
        <f t="shared" si="21"/>
        <v>14</v>
      </c>
      <c r="N284">
        <f t="shared" si="22"/>
        <v>4</v>
      </c>
      <c r="O284">
        <f t="shared" si="23"/>
        <v>2025</v>
      </c>
      <c r="P284" s="4">
        <f t="shared" si="24"/>
        <v>45761</v>
      </c>
      <c r="Q284" t="s">
        <v>1139</v>
      </c>
      <c r="R284" t="s">
        <v>1137</v>
      </c>
      <c r="S284">
        <v>1</v>
      </c>
      <c r="T284" t="s">
        <v>1147</v>
      </c>
      <c r="U284" s="11" t="str">
        <f t="shared" si="20"/>
        <v>06:18:23 AM</v>
      </c>
      <c r="AC284" s="4">
        <v>45448</v>
      </c>
      <c r="AD284" s="25">
        <v>8341.5</v>
      </c>
      <c r="BL284" s="2" t="s">
        <v>1434</v>
      </c>
      <c r="BM284" s="4">
        <v>45434</v>
      </c>
      <c r="BN284" s="25">
        <v>20506.810000000001</v>
      </c>
    </row>
    <row r="285" spans="1:66" x14ac:dyDescent="0.35">
      <c r="A285">
        <v>3780</v>
      </c>
      <c r="B285" t="s">
        <v>15</v>
      </c>
      <c r="C285" s="1">
        <v>45656</v>
      </c>
      <c r="D285" t="s">
        <v>1</v>
      </c>
      <c r="E285" t="s">
        <v>22</v>
      </c>
      <c r="F285">
        <v>2</v>
      </c>
      <c r="G285">
        <v>1317.21</v>
      </c>
      <c r="H285">
        <v>2634.42</v>
      </c>
      <c r="I285">
        <v>236.55</v>
      </c>
      <c r="J285">
        <v>2397.87</v>
      </c>
      <c r="K285">
        <v>233</v>
      </c>
      <c r="L285" s="11" t="s">
        <v>78</v>
      </c>
      <c r="M285">
        <f t="shared" si="21"/>
        <v>30</v>
      </c>
      <c r="N285">
        <f t="shared" si="22"/>
        <v>12</v>
      </c>
      <c r="O285">
        <f t="shared" si="23"/>
        <v>2024</v>
      </c>
      <c r="P285" s="4">
        <f t="shared" si="24"/>
        <v>45656</v>
      </c>
      <c r="Q285" t="s">
        <v>1134</v>
      </c>
      <c r="R285" t="s">
        <v>1137</v>
      </c>
      <c r="S285">
        <v>3</v>
      </c>
      <c r="T285" t="s">
        <v>1149</v>
      </c>
      <c r="U285" s="11" t="str">
        <f t="shared" si="20"/>
        <v>02:58:55 PM</v>
      </c>
      <c r="AC285" s="4">
        <v>45450</v>
      </c>
      <c r="AD285" s="25">
        <v>2342.2600000000002</v>
      </c>
      <c r="BL285" s="2" t="s">
        <v>1435</v>
      </c>
      <c r="BM285" s="4">
        <v>45435</v>
      </c>
      <c r="BN285" s="25">
        <v>5780.95</v>
      </c>
    </row>
    <row r="286" spans="1:66" x14ac:dyDescent="0.35">
      <c r="A286">
        <v>2389</v>
      </c>
      <c r="B286" t="s">
        <v>19</v>
      </c>
      <c r="C286" s="1">
        <v>45365</v>
      </c>
      <c r="D286" t="s">
        <v>1</v>
      </c>
      <c r="E286" t="s">
        <v>21</v>
      </c>
      <c r="F286">
        <v>3</v>
      </c>
      <c r="G286">
        <v>2047.61</v>
      </c>
      <c r="H286">
        <v>6142.83</v>
      </c>
      <c r="I286">
        <v>107.07</v>
      </c>
      <c r="J286">
        <v>6035.76</v>
      </c>
      <c r="K286">
        <v>381</v>
      </c>
      <c r="L286" s="11" t="s">
        <v>79</v>
      </c>
      <c r="M286">
        <f t="shared" si="21"/>
        <v>14</v>
      </c>
      <c r="N286">
        <f t="shared" si="22"/>
        <v>3</v>
      </c>
      <c r="O286">
        <f t="shared" si="23"/>
        <v>2024</v>
      </c>
      <c r="P286" s="4">
        <f t="shared" si="24"/>
        <v>45365</v>
      </c>
      <c r="Q286" t="s">
        <v>1139</v>
      </c>
      <c r="R286" t="s">
        <v>1137</v>
      </c>
      <c r="S286">
        <v>3</v>
      </c>
      <c r="T286" t="s">
        <v>1146</v>
      </c>
      <c r="U286" s="11" t="str">
        <f t="shared" si="20"/>
        <v>09:35:35 PM</v>
      </c>
      <c r="AC286" s="4">
        <v>45452</v>
      </c>
      <c r="AD286" s="25">
        <v>19960.669999999998</v>
      </c>
      <c r="BL286" s="2" t="s">
        <v>1436</v>
      </c>
      <c r="BM286" s="4">
        <v>45436</v>
      </c>
      <c r="BN286" s="25">
        <v>12656.67</v>
      </c>
    </row>
    <row r="287" spans="1:66" x14ac:dyDescent="0.35">
      <c r="A287">
        <v>9445</v>
      </c>
      <c r="B287" t="s">
        <v>20</v>
      </c>
      <c r="C287" s="1">
        <v>45660</v>
      </c>
      <c r="D287" t="s">
        <v>11</v>
      </c>
      <c r="E287" t="s">
        <v>32</v>
      </c>
      <c r="F287">
        <v>5</v>
      </c>
      <c r="G287">
        <v>2475.06</v>
      </c>
      <c r="H287">
        <v>12375.3</v>
      </c>
      <c r="I287">
        <v>1237.53</v>
      </c>
      <c r="J287">
        <v>11137.77</v>
      </c>
      <c r="K287">
        <v>478</v>
      </c>
      <c r="L287" s="11" t="s">
        <v>80</v>
      </c>
      <c r="M287">
        <f t="shared" si="21"/>
        <v>3</v>
      </c>
      <c r="N287">
        <f t="shared" si="22"/>
        <v>1</v>
      </c>
      <c r="O287">
        <f t="shared" si="23"/>
        <v>2025</v>
      </c>
      <c r="P287" s="4">
        <f t="shared" si="24"/>
        <v>45660</v>
      </c>
      <c r="Q287" t="s">
        <v>1134</v>
      </c>
      <c r="R287" t="s">
        <v>1135</v>
      </c>
      <c r="S287">
        <v>3</v>
      </c>
      <c r="T287" t="s">
        <v>1146</v>
      </c>
      <c r="U287" s="11" t="str">
        <f t="shared" si="20"/>
        <v>01:40:07 PM</v>
      </c>
      <c r="AC287" s="4">
        <v>45453</v>
      </c>
      <c r="AD287" s="25">
        <v>9968.2999999999993</v>
      </c>
      <c r="BL287" s="2" t="s">
        <v>1437</v>
      </c>
      <c r="BM287" s="4">
        <v>45437</v>
      </c>
      <c r="BN287" s="25">
        <v>6276.46</v>
      </c>
    </row>
    <row r="288" spans="1:66" x14ac:dyDescent="0.35">
      <c r="A288">
        <v>6491</v>
      </c>
      <c r="B288" t="s">
        <v>20</v>
      </c>
      <c r="C288" s="1">
        <v>45217</v>
      </c>
      <c r="D288" t="s">
        <v>24</v>
      </c>
      <c r="E288" t="s">
        <v>5</v>
      </c>
      <c r="F288">
        <v>2</v>
      </c>
      <c r="G288">
        <v>1933.07</v>
      </c>
      <c r="H288">
        <v>3866.14</v>
      </c>
      <c r="I288">
        <v>580.16999999999996</v>
      </c>
      <c r="J288">
        <v>3285.97</v>
      </c>
      <c r="K288">
        <v>392</v>
      </c>
      <c r="L288" s="11" t="s">
        <v>81</v>
      </c>
      <c r="M288">
        <f t="shared" si="21"/>
        <v>18</v>
      </c>
      <c r="N288">
        <f t="shared" si="22"/>
        <v>10</v>
      </c>
      <c r="O288">
        <f t="shared" si="23"/>
        <v>2023</v>
      </c>
      <c r="P288" s="4">
        <f t="shared" si="24"/>
        <v>45217</v>
      </c>
      <c r="Q288" t="s">
        <v>1138</v>
      </c>
      <c r="R288" t="s">
        <v>1137</v>
      </c>
      <c r="S288">
        <v>2</v>
      </c>
      <c r="T288" t="s">
        <v>1145</v>
      </c>
      <c r="U288" s="11" t="str">
        <f t="shared" si="20"/>
        <v>03:39:40 PM</v>
      </c>
      <c r="AC288" s="4">
        <v>45454</v>
      </c>
      <c r="AD288" s="25">
        <v>14320.819999999998</v>
      </c>
      <c r="BL288" s="2" t="s">
        <v>1438</v>
      </c>
      <c r="BM288" s="4">
        <v>45439</v>
      </c>
      <c r="BN288" s="25">
        <v>11667.31</v>
      </c>
    </row>
    <row r="289" spans="1:66" x14ac:dyDescent="0.35">
      <c r="A289">
        <v>4848</v>
      </c>
      <c r="B289" t="s">
        <v>13</v>
      </c>
      <c r="C289" s="1">
        <v>45667</v>
      </c>
      <c r="D289" t="s">
        <v>34</v>
      </c>
      <c r="E289" t="s">
        <v>21</v>
      </c>
      <c r="F289">
        <v>4</v>
      </c>
      <c r="G289">
        <v>275.56</v>
      </c>
      <c r="H289">
        <v>1102.24</v>
      </c>
      <c r="I289">
        <v>0</v>
      </c>
      <c r="J289">
        <v>1102.24</v>
      </c>
      <c r="K289">
        <v>493</v>
      </c>
      <c r="L289" s="11" t="s">
        <v>82</v>
      </c>
      <c r="M289">
        <f t="shared" si="21"/>
        <v>10</v>
      </c>
      <c r="N289">
        <f t="shared" si="22"/>
        <v>1</v>
      </c>
      <c r="O289">
        <f t="shared" si="23"/>
        <v>2025</v>
      </c>
      <c r="P289" s="4">
        <f t="shared" si="24"/>
        <v>45667</v>
      </c>
      <c r="Q289" t="s">
        <v>1138</v>
      </c>
      <c r="R289" t="s">
        <v>1137</v>
      </c>
      <c r="S289">
        <v>3</v>
      </c>
      <c r="T289" t="s">
        <v>1142</v>
      </c>
      <c r="U289" s="11" t="str">
        <f t="shared" si="20"/>
        <v>02:46:12 AM</v>
      </c>
      <c r="AC289" s="4">
        <v>45455</v>
      </c>
      <c r="AD289" s="25">
        <v>173.47</v>
      </c>
      <c r="BL289" s="2" t="s">
        <v>1439</v>
      </c>
      <c r="BM289" s="4">
        <v>45440</v>
      </c>
      <c r="BN289" s="25">
        <v>24284.969999999998</v>
      </c>
    </row>
    <row r="290" spans="1:66" x14ac:dyDescent="0.35">
      <c r="A290">
        <v>6085</v>
      </c>
      <c r="B290" t="s">
        <v>25</v>
      </c>
      <c r="C290" s="1">
        <v>45319</v>
      </c>
      <c r="D290" t="s">
        <v>4</v>
      </c>
      <c r="E290" t="s">
        <v>18</v>
      </c>
      <c r="F290">
        <v>5</v>
      </c>
      <c r="G290">
        <v>1028.3699999999999</v>
      </c>
      <c r="H290">
        <v>5141.8500000000004</v>
      </c>
      <c r="I290">
        <v>333.66</v>
      </c>
      <c r="J290">
        <v>4808.1899999999996</v>
      </c>
      <c r="K290">
        <v>65</v>
      </c>
      <c r="L290" s="11" t="s">
        <v>83</v>
      </c>
      <c r="M290">
        <f t="shared" si="21"/>
        <v>28</v>
      </c>
      <c r="N290">
        <f t="shared" si="22"/>
        <v>1</v>
      </c>
      <c r="O290">
        <f t="shared" si="23"/>
        <v>2024</v>
      </c>
      <c r="P290" s="4">
        <f t="shared" si="24"/>
        <v>45319</v>
      </c>
      <c r="Q290" t="s">
        <v>1138</v>
      </c>
      <c r="R290" t="s">
        <v>1135</v>
      </c>
      <c r="S290">
        <v>1</v>
      </c>
      <c r="T290" t="s">
        <v>1146</v>
      </c>
      <c r="U290" s="11" t="str">
        <f t="shared" si="20"/>
        <v>11:29:27 AM</v>
      </c>
      <c r="AC290" s="4">
        <v>45456</v>
      </c>
      <c r="AD290" s="25">
        <v>15866.28</v>
      </c>
      <c r="BL290" s="2" t="s">
        <v>1440</v>
      </c>
      <c r="BM290" s="4">
        <v>45441</v>
      </c>
      <c r="BN290" s="25">
        <v>6298.04</v>
      </c>
    </row>
    <row r="291" spans="1:66" x14ac:dyDescent="0.35">
      <c r="A291">
        <v>4262</v>
      </c>
      <c r="B291" t="s">
        <v>19</v>
      </c>
      <c r="C291" s="1">
        <v>45259</v>
      </c>
      <c r="D291" t="s">
        <v>34</v>
      </c>
      <c r="E291" t="s">
        <v>7</v>
      </c>
      <c r="F291">
        <v>4</v>
      </c>
      <c r="G291">
        <v>1362.86</v>
      </c>
      <c r="H291">
        <v>5451.44</v>
      </c>
      <c r="I291">
        <v>1090.6199999999999</v>
      </c>
      <c r="J291">
        <v>4360.82</v>
      </c>
      <c r="K291">
        <v>421</v>
      </c>
      <c r="L291" s="11" t="s">
        <v>84</v>
      </c>
      <c r="M291">
        <f t="shared" si="21"/>
        <v>29</v>
      </c>
      <c r="N291">
        <f t="shared" si="22"/>
        <v>11</v>
      </c>
      <c r="O291">
        <f t="shared" si="23"/>
        <v>2023</v>
      </c>
      <c r="P291" s="4">
        <f t="shared" si="24"/>
        <v>45259</v>
      </c>
      <c r="Q291" t="s">
        <v>1136</v>
      </c>
      <c r="R291" t="s">
        <v>1137</v>
      </c>
      <c r="S291">
        <v>4</v>
      </c>
      <c r="T291" t="s">
        <v>1141</v>
      </c>
      <c r="U291" s="11" t="str">
        <f t="shared" si="20"/>
        <v>12:24:29 AM</v>
      </c>
      <c r="AC291" s="4">
        <v>45457</v>
      </c>
      <c r="AD291" s="25">
        <v>12782</v>
      </c>
      <c r="BL291" s="2" t="s">
        <v>1441</v>
      </c>
      <c r="BM291" s="4">
        <v>45442</v>
      </c>
      <c r="BN291" s="25">
        <v>13660.14</v>
      </c>
    </row>
    <row r="292" spans="1:66" x14ac:dyDescent="0.35">
      <c r="A292">
        <v>1400</v>
      </c>
      <c r="B292" t="s">
        <v>15</v>
      </c>
      <c r="C292" s="1">
        <v>45180</v>
      </c>
      <c r="D292" t="s">
        <v>11</v>
      </c>
      <c r="E292" t="s">
        <v>30</v>
      </c>
      <c r="F292">
        <v>3</v>
      </c>
      <c r="G292">
        <v>536.17999999999995</v>
      </c>
      <c r="H292">
        <v>1608.54</v>
      </c>
      <c r="I292">
        <v>351.92</v>
      </c>
      <c r="J292">
        <v>1256.6199999999999</v>
      </c>
      <c r="K292">
        <v>448</v>
      </c>
      <c r="L292" s="11" t="s">
        <v>85</v>
      </c>
      <c r="M292">
        <f t="shared" si="21"/>
        <v>11</v>
      </c>
      <c r="N292">
        <f t="shared" si="22"/>
        <v>9</v>
      </c>
      <c r="O292">
        <f t="shared" si="23"/>
        <v>2023</v>
      </c>
      <c r="P292" s="4">
        <f t="shared" si="24"/>
        <v>45180</v>
      </c>
      <c r="Q292" t="s">
        <v>1138</v>
      </c>
      <c r="R292" t="s">
        <v>1135</v>
      </c>
      <c r="S292">
        <v>4</v>
      </c>
      <c r="T292" t="s">
        <v>1145</v>
      </c>
      <c r="U292" s="11" t="str">
        <f t="shared" si="20"/>
        <v>01:45:03 AM</v>
      </c>
      <c r="AC292" s="4">
        <v>45458</v>
      </c>
      <c r="AD292" s="25">
        <v>1405.19</v>
      </c>
      <c r="BL292" s="2" t="s">
        <v>1442</v>
      </c>
      <c r="BM292" s="4">
        <v>45443</v>
      </c>
      <c r="BN292" s="25">
        <v>3818</v>
      </c>
    </row>
    <row r="293" spans="1:66" x14ac:dyDescent="0.35">
      <c r="A293">
        <v>5011</v>
      </c>
      <c r="B293" t="s">
        <v>13</v>
      </c>
      <c r="C293" s="1">
        <v>45514</v>
      </c>
      <c r="D293" t="s">
        <v>17</v>
      </c>
      <c r="E293" t="s">
        <v>28</v>
      </c>
      <c r="F293">
        <v>2</v>
      </c>
      <c r="G293">
        <v>578.51</v>
      </c>
      <c r="H293">
        <v>1157.02</v>
      </c>
      <c r="I293">
        <v>115.37</v>
      </c>
      <c r="J293">
        <v>1041.6500000000001</v>
      </c>
      <c r="K293">
        <v>51</v>
      </c>
      <c r="L293" s="11" t="s">
        <v>86</v>
      </c>
      <c r="M293">
        <f t="shared" si="21"/>
        <v>10</v>
      </c>
      <c r="N293">
        <f t="shared" si="22"/>
        <v>8</v>
      </c>
      <c r="O293">
        <f t="shared" si="23"/>
        <v>2024</v>
      </c>
      <c r="P293" s="4">
        <f t="shared" si="24"/>
        <v>45514</v>
      </c>
      <c r="Q293" t="s">
        <v>1134</v>
      </c>
      <c r="R293" t="s">
        <v>1135</v>
      </c>
      <c r="S293">
        <v>5</v>
      </c>
      <c r="T293" t="s">
        <v>1141</v>
      </c>
      <c r="U293" s="11" t="str">
        <f t="shared" si="20"/>
        <v>04:07:51 AM</v>
      </c>
      <c r="AC293" s="4">
        <v>45459</v>
      </c>
      <c r="AD293" s="25">
        <v>3116.65</v>
      </c>
      <c r="BL293" s="2" t="s">
        <v>1443</v>
      </c>
      <c r="BM293" s="4">
        <v>45444</v>
      </c>
      <c r="BN293" s="25">
        <v>8392.9599999999991</v>
      </c>
    </row>
    <row r="294" spans="1:66" x14ac:dyDescent="0.35">
      <c r="A294">
        <v>2193</v>
      </c>
      <c r="B294" t="s">
        <v>20</v>
      </c>
      <c r="C294" s="1">
        <v>45498</v>
      </c>
      <c r="D294" t="s">
        <v>6</v>
      </c>
      <c r="E294" t="s">
        <v>29</v>
      </c>
      <c r="F294">
        <v>4</v>
      </c>
      <c r="G294">
        <v>1138.76</v>
      </c>
      <c r="H294">
        <v>4555.04</v>
      </c>
      <c r="I294">
        <v>129.47999999999999</v>
      </c>
      <c r="J294">
        <v>4425.5600000000004</v>
      </c>
      <c r="K294">
        <v>276</v>
      </c>
      <c r="L294" s="11" t="s">
        <v>87</v>
      </c>
      <c r="M294">
        <f t="shared" si="21"/>
        <v>25</v>
      </c>
      <c r="N294">
        <f t="shared" si="22"/>
        <v>7</v>
      </c>
      <c r="O294">
        <f t="shared" si="23"/>
        <v>2024</v>
      </c>
      <c r="P294" s="4">
        <f t="shared" si="24"/>
        <v>45498</v>
      </c>
      <c r="Q294" t="s">
        <v>1138</v>
      </c>
      <c r="R294" t="s">
        <v>1135</v>
      </c>
      <c r="S294">
        <v>1</v>
      </c>
      <c r="T294" t="s">
        <v>1147</v>
      </c>
      <c r="U294" s="11" t="str">
        <f t="shared" si="20"/>
        <v>03:18:51 PM</v>
      </c>
      <c r="AC294" s="4">
        <v>45460</v>
      </c>
      <c r="AD294" s="25">
        <v>4158.3</v>
      </c>
      <c r="BL294" s="2" t="s">
        <v>1444</v>
      </c>
      <c r="BM294" s="4">
        <v>45445</v>
      </c>
      <c r="BN294" s="25">
        <v>3842.0699999999997</v>
      </c>
    </row>
    <row r="295" spans="1:66" x14ac:dyDescent="0.35">
      <c r="A295">
        <v>7790</v>
      </c>
      <c r="B295" t="s">
        <v>19</v>
      </c>
      <c r="C295" s="1">
        <v>45833</v>
      </c>
      <c r="D295" t="s">
        <v>6</v>
      </c>
      <c r="E295" t="s">
        <v>10</v>
      </c>
      <c r="F295">
        <v>5</v>
      </c>
      <c r="G295">
        <v>1521.39</v>
      </c>
      <c r="H295">
        <v>7606.95</v>
      </c>
      <c r="I295">
        <v>1521.39</v>
      </c>
      <c r="J295">
        <v>6085.56</v>
      </c>
      <c r="K295">
        <v>344</v>
      </c>
      <c r="L295" s="11" t="s">
        <v>88</v>
      </c>
      <c r="M295">
        <f t="shared" si="21"/>
        <v>25</v>
      </c>
      <c r="N295">
        <f t="shared" si="22"/>
        <v>6</v>
      </c>
      <c r="O295">
        <f t="shared" si="23"/>
        <v>2025</v>
      </c>
      <c r="P295" s="4">
        <f t="shared" si="24"/>
        <v>45833</v>
      </c>
      <c r="Q295" t="s">
        <v>1139</v>
      </c>
      <c r="R295" t="s">
        <v>1137</v>
      </c>
      <c r="S295">
        <v>3</v>
      </c>
      <c r="T295" t="s">
        <v>1141</v>
      </c>
      <c r="U295" s="11" t="str">
        <f t="shared" si="20"/>
        <v>07:40:32 PM</v>
      </c>
      <c r="AC295" s="4">
        <v>45461</v>
      </c>
      <c r="AD295" s="25">
        <v>16100.34</v>
      </c>
      <c r="BL295" s="2" t="s">
        <v>1445</v>
      </c>
      <c r="BM295" s="4">
        <v>45447</v>
      </c>
      <c r="BN295" s="25">
        <v>9504.33</v>
      </c>
    </row>
    <row r="296" spans="1:66" x14ac:dyDescent="0.35">
      <c r="A296">
        <v>4185</v>
      </c>
      <c r="B296" t="s">
        <v>19</v>
      </c>
      <c r="C296" s="1">
        <v>45702</v>
      </c>
      <c r="D296" t="s">
        <v>23</v>
      </c>
      <c r="E296" t="s">
        <v>36</v>
      </c>
      <c r="F296">
        <v>2</v>
      </c>
      <c r="G296">
        <v>1077.3399999999999</v>
      </c>
      <c r="H296">
        <v>2154.6799999999998</v>
      </c>
      <c r="I296">
        <v>397.57</v>
      </c>
      <c r="J296">
        <v>1757.11</v>
      </c>
      <c r="K296">
        <v>140</v>
      </c>
      <c r="L296" s="11" t="s">
        <v>89</v>
      </c>
      <c r="M296">
        <f t="shared" si="21"/>
        <v>14</v>
      </c>
      <c r="N296">
        <f t="shared" si="22"/>
        <v>2</v>
      </c>
      <c r="O296">
        <f t="shared" si="23"/>
        <v>2025</v>
      </c>
      <c r="P296" s="4">
        <f t="shared" si="24"/>
        <v>45702</v>
      </c>
      <c r="Q296" t="s">
        <v>1139</v>
      </c>
      <c r="R296" t="s">
        <v>1137</v>
      </c>
      <c r="S296">
        <v>4</v>
      </c>
      <c r="T296" t="s">
        <v>1144</v>
      </c>
      <c r="U296" s="11" t="str">
        <f t="shared" si="20"/>
        <v>12:56:19 PM</v>
      </c>
      <c r="AC296" s="4">
        <v>45462</v>
      </c>
      <c r="AD296" s="25">
        <v>10531.04</v>
      </c>
      <c r="BL296" s="2" t="s">
        <v>1446</v>
      </c>
      <c r="BM296" s="4">
        <v>45448</v>
      </c>
      <c r="BN296" s="25">
        <v>8341.5</v>
      </c>
    </row>
    <row r="297" spans="1:66" x14ac:dyDescent="0.35">
      <c r="A297">
        <v>7291</v>
      </c>
      <c r="B297" t="s">
        <v>8</v>
      </c>
      <c r="C297" s="1">
        <v>45528</v>
      </c>
      <c r="D297" t="s">
        <v>16</v>
      </c>
      <c r="E297" t="s">
        <v>5</v>
      </c>
      <c r="F297">
        <v>5</v>
      </c>
      <c r="G297">
        <v>1274.8800000000001</v>
      </c>
      <c r="H297">
        <v>6374.4</v>
      </c>
      <c r="I297">
        <v>0</v>
      </c>
      <c r="J297">
        <v>6374.4</v>
      </c>
      <c r="K297">
        <v>497</v>
      </c>
      <c r="L297" s="11" t="s">
        <v>90</v>
      </c>
      <c r="M297">
        <f t="shared" si="21"/>
        <v>24</v>
      </c>
      <c r="N297">
        <f t="shared" si="22"/>
        <v>8</v>
      </c>
      <c r="O297">
        <f t="shared" si="23"/>
        <v>2024</v>
      </c>
      <c r="P297" s="4">
        <f t="shared" si="24"/>
        <v>45528</v>
      </c>
      <c r="Q297" t="s">
        <v>1136</v>
      </c>
      <c r="R297" t="s">
        <v>1135</v>
      </c>
      <c r="S297">
        <v>1</v>
      </c>
      <c r="T297" t="s">
        <v>1148</v>
      </c>
      <c r="U297" s="11" t="str">
        <f t="shared" si="20"/>
        <v>04:04:28 AM</v>
      </c>
      <c r="AC297" s="4">
        <v>45463</v>
      </c>
      <c r="AD297" s="25">
        <v>8853.61</v>
      </c>
      <c r="BL297" s="2" t="s">
        <v>1447</v>
      </c>
      <c r="BM297" s="4">
        <v>45450</v>
      </c>
      <c r="BN297" s="25">
        <v>2342.2600000000002</v>
      </c>
    </row>
    <row r="298" spans="1:66" x14ac:dyDescent="0.35">
      <c r="A298">
        <v>7547</v>
      </c>
      <c r="B298" t="s">
        <v>13</v>
      </c>
      <c r="C298" s="1">
        <v>45334</v>
      </c>
      <c r="D298" t="s">
        <v>27</v>
      </c>
      <c r="E298" t="s">
        <v>10</v>
      </c>
      <c r="F298">
        <v>4</v>
      </c>
      <c r="G298">
        <v>1064.8900000000001</v>
      </c>
      <c r="H298">
        <v>4259.5600000000004</v>
      </c>
      <c r="I298">
        <v>851.58</v>
      </c>
      <c r="J298">
        <v>3407.98</v>
      </c>
      <c r="K298">
        <v>153</v>
      </c>
      <c r="L298" s="11" t="s">
        <v>91</v>
      </c>
      <c r="M298">
        <f t="shared" si="21"/>
        <v>12</v>
      </c>
      <c r="N298">
        <f t="shared" si="22"/>
        <v>2</v>
      </c>
      <c r="O298">
        <f t="shared" si="23"/>
        <v>2024</v>
      </c>
      <c r="P298" s="4">
        <f t="shared" si="24"/>
        <v>45334</v>
      </c>
      <c r="Q298" t="s">
        <v>1139</v>
      </c>
      <c r="R298" t="s">
        <v>1137</v>
      </c>
      <c r="S298">
        <v>4</v>
      </c>
      <c r="T298" t="s">
        <v>1141</v>
      </c>
      <c r="U298" s="11" t="str">
        <f t="shared" ref="U298:U361" si="25">TEXT(L298,"hh:mm:ss AM/PM")</f>
        <v>02:40:15 PM</v>
      </c>
      <c r="AC298" s="4">
        <v>45464</v>
      </c>
      <c r="AD298" s="25">
        <v>3783.14</v>
      </c>
      <c r="BL298" s="2" t="s">
        <v>1448</v>
      </c>
      <c r="BM298" s="4">
        <v>45452</v>
      </c>
      <c r="BN298" s="25">
        <v>19960.669999999998</v>
      </c>
    </row>
    <row r="299" spans="1:66" x14ac:dyDescent="0.35">
      <c r="A299">
        <v>3417</v>
      </c>
      <c r="B299" t="s">
        <v>3</v>
      </c>
      <c r="C299" s="1">
        <v>45654</v>
      </c>
      <c r="D299" t="s">
        <v>34</v>
      </c>
      <c r="E299" t="s">
        <v>14</v>
      </c>
      <c r="F299">
        <v>2</v>
      </c>
      <c r="G299">
        <v>805.93</v>
      </c>
      <c r="H299">
        <v>1611.86</v>
      </c>
      <c r="I299">
        <v>161.02000000000001</v>
      </c>
      <c r="J299">
        <v>1450.84</v>
      </c>
      <c r="K299">
        <v>362</v>
      </c>
      <c r="L299" s="11" t="s">
        <v>92</v>
      </c>
      <c r="M299">
        <f t="shared" si="21"/>
        <v>28</v>
      </c>
      <c r="N299">
        <f t="shared" si="22"/>
        <v>12</v>
      </c>
      <c r="O299">
        <f t="shared" si="23"/>
        <v>2024</v>
      </c>
      <c r="P299" s="4">
        <f t="shared" si="24"/>
        <v>45654</v>
      </c>
      <c r="Q299" t="s">
        <v>1134</v>
      </c>
      <c r="R299" t="s">
        <v>1137</v>
      </c>
      <c r="S299">
        <v>3</v>
      </c>
      <c r="T299" t="s">
        <v>1147</v>
      </c>
      <c r="U299" s="11" t="str">
        <f t="shared" si="25"/>
        <v>06:49:17 AM</v>
      </c>
      <c r="AC299" s="4">
        <v>45465</v>
      </c>
      <c r="AD299" s="25">
        <v>10584.99</v>
      </c>
      <c r="BL299" s="2" t="s">
        <v>1449</v>
      </c>
      <c r="BM299" s="4">
        <v>45453</v>
      </c>
      <c r="BN299" s="25">
        <v>9968.2999999999993</v>
      </c>
    </row>
    <row r="300" spans="1:66" x14ac:dyDescent="0.35">
      <c r="A300">
        <v>1090</v>
      </c>
      <c r="B300" t="s">
        <v>20</v>
      </c>
      <c r="C300" s="1">
        <v>45838</v>
      </c>
      <c r="D300" t="s">
        <v>27</v>
      </c>
      <c r="E300" t="s">
        <v>5</v>
      </c>
      <c r="F300">
        <v>4</v>
      </c>
      <c r="G300">
        <v>1423.45</v>
      </c>
      <c r="H300">
        <v>5693.8</v>
      </c>
      <c r="I300">
        <v>1138.76</v>
      </c>
      <c r="J300">
        <v>4555.04</v>
      </c>
      <c r="K300">
        <v>68</v>
      </c>
      <c r="L300" s="11" t="s">
        <v>93</v>
      </c>
      <c r="M300">
        <f t="shared" si="21"/>
        <v>30</v>
      </c>
      <c r="N300">
        <f t="shared" si="22"/>
        <v>6</v>
      </c>
      <c r="O300">
        <f t="shared" si="23"/>
        <v>2025</v>
      </c>
      <c r="P300" s="4">
        <f t="shared" si="24"/>
        <v>45838</v>
      </c>
      <c r="Q300" t="s">
        <v>1138</v>
      </c>
      <c r="R300" t="s">
        <v>1135</v>
      </c>
      <c r="S300">
        <v>4</v>
      </c>
      <c r="T300" t="s">
        <v>1144</v>
      </c>
      <c r="U300" s="11" t="str">
        <f t="shared" si="25"/>
        <v>09:08:23 AM</v>
      </c>
      <c r="AC300" s="4">
        <v>45466</v>
      </c>
      <c r="AD300" s="25">
        <v>4262.05</v>
      </c>
      <c r="BL300" s="2" t="s">
        <v>1450</v>
      </c>
      <c r="BM300" s="4">
        <v>45454</v>
      </c>
      <c r="BN300" s="25">
        <v>14320.819999999998</v>
      </c>
    </row>
    <row r="301" spans="1:66" x14ac:dyDescent="0.35">
      <c r="A301">
        <v>2746</v>
      </c>
      <c r="B301" t="s">
        <v>19</v>
      </c>
      <c r="C301" s="1">
        <v>45749</v>
      </c>
      <c r="D301" t="s">
        <v>6</v>
      </c>
      <c r="E301" t="s">
        <v>10</v>
      </c>
      <c r="F301">
        <v>1</v>
      </c>
      <c r="G301">
        <v>2301.59</v>
      </c>
      <c r="H301">
        <v>2301.59</v>
      </c>
      <c r="I301">
        <v>260.62</v>
      </c>
      <c r="J301">
        <v>2040.97</v>
      </c>
      <c r="K301">
        <v>433</v>
      </c>
      <c r="L301" s="11" t="s">
        <v>94</v>
      </c>
      <c r="M301">
        <f t="shared" si="21"/>
        <v>2</v>
      </c>
      <c r="N301">
        <f t="shared" si="22"/>
        <v>4</v>
      </c>
      <c r="O301">
        <f t="shared" si="23"/>
        <v>2025</v>
      </c>
      <c r="P301" s="4">
        <f t="shared" si="24"/>
        <v>45749</v>
      </c>
      <c r="Q301" t="s">
        <v>1136</v>
      </c>
      <c r="R301" t="s">
        <v>1135</v>
      </c>
      <c r="S301">
        <v>5</v>
      </c>
      <c r="T301" t="s">
        <v>1147</v>
      </c>
      <c r="U301" s="11" t="str">
        <f t="shared" si="25"/>
        <v>07:53:31 AM</v>
      </c>
      <c r="AC301" s="4">
        <v>45467</v>
      </c>
      <c r="AD301" s="25">
        <v>18988.739999999998</v>
      </c>
      <c r="BL301" s="2" t="s">
        <v>1451</v>
      </c>
      <c r="BM301" s="4">
        <v>45455</v>
      </c>
      <c r="BN301" s="25">
        <v>173.47</v>
      </c>
    </row>
    <row r="302" spans="1:66" x14ac:dyDescent="0.35">
      <c r="A302">
        <v>7965</v>
      </c>
      <c r="B302" t="s">
        <v>31</v>
      </c>
      <c r="C302" s="1">
        <v>45314</v>
      </c>
      <c r="D302" t="s">
        <v>1</v>
      </c>
      <c r="E302" t="s">
        <v>2</v>
      </c>
      <c r="F302">
        <v>4</v>
      </c>
      <c r="G302">
        <v>1703.99</v>
      </c>
      <c r="H302">
        <v>6815.96</v>
      </c>
      <c r="I302">
        <v>145.25</v>
      </c>
      <c r="J302">
        <v>6670.71</v>
      </c>
      <c r="K302">
        <v>308</v>
      </c>
      <c r="L302" s="11" t="s">
        <v>95</v>
      </c>
      <c r="M302">
        <f t="shared" si="21"/>
        <v>23</v>
      </c>
      <c r="N302">
        <f t="shared" si="22"/>
        <v>1</v>
      </c>
      <c r="O302">
        <f t="shared" si="23"/>
        <v>2024</v>
      </c>
      <c r="P302" s="4">
        <f t="shared" si="24"/>
        <v>45314</v>
      </c>
      <c r="Q302" t="s">
        <v>1138</v>
      </c>
      <c r="R302" t="s">
        <v>1137</v>
      </c>
      <c r="S302">
        <v>5</v>
      </c>
      <c r="T302" t="s">
        <v>1147</v>
      </c>
      <c r="U302" s="11" t="str">
        <f t="shared" si="25"/>
        <v>07:35:16 PM</v>
      </c>
      <c r="AC302" s="4">
        <v>45468</v>
      </c>
      <c r="AD302" s="25">
        <v>14451.960000000001</v>
      </c>
      <c r="BL302" s="2" t="s">
        <v>1452</v>
      </c>
      <c r="BM302" s="4">
        <v>45456</v>
      </c>
      <c r="BN302" s="25">
        <v>15866.28</v>
      </c>
    </row>
    <row r="303" spans="1:66" x14ac:dyDescent="0.35">
      <c r="A303">
        <v>3881</v>
      </c>
      <c r="B303" t="s">
        <v>3</v>
      </c>
      <c r="C303" s="1">
        <v>45769</v>
      </c>
      <c r="D303" t="s">
        <v>6</v>
      </c>
      <c r="E303" t="s">
        <v>37</v>
      </c>
      <c r="F303">
        <v>2</v>
      </c>
      <c r="G303">
        <v>2174.6</v>
      </c>
      <c r="H303">
        <v>4349.2</v>
      </c>
      <c r="I303">
        <v>153.55000000000001</v>
      </c>
      <c r="J303">
        <v>4195.6499999999996</v>
      </c>
      <c r="K303">
        <v>170</v>
      </c>
      <c r="L303" s="11" t="s">
        <v>96</v>
      </c>
      <c r="M303">
        <f t="shared" si="21"/>
        <v>22</v>
      </c>
      <c r="N303">
        <f t="shared" si="22"/>
        <v>4</v>
      </c>
      <c r="O303">
        <f t="shared" si="23"/>
        <v>2025</v>
      </c>
      <c r="P303" s="4">
        <f t="shared" si="24"/>
        <v>45769</v>
      </c>
      <c r="Q303" t="s">
        <v>1138</v>
      </c>
      <c r="R303" t="s">
        <v>1135</v>
      </c>
      <c r="S303">
        <v>4</v>
      </c>
      <c r="T303" t="s">
        <v>1142</v>
      </c>
      <c r="U303" s="11" t="str">
        <f t="shared" si="25"/>
        <v>09:03:38 AM</v>
      </c>
      <c r="AC303" s="4">
        <v>45469</v>
      </c>
      <c r="AD303" s="25">
        <v>8778.91</v>
      </c>
      <c r="BL303" s="2" t="s">
        <v>1453</v>
      </c>
      <c r="BM303" s="4">
        <v>45457</v>
      </c>
      <c r="BN303" s="25">
        <v>12782</v>
      </c>
    </row>
    <row r="304" spans="1:66" x14ac:dyDescent="0.35">
      <c r="A304">
        <v>9486</v>
      </c>
      <c r="B304" t="s">
        <v>31</v>
      </c>
      <c r="C304" s="1">
        <v>45505</v>
      </c>
      <c r="D304" t="s">
        <v>4</v>
      </c>
      <c r="E304" t="s">
        <v>37</v>
      </c>
      <c r="F304">
        <v>2</v>
      </c>
      <c r="G304">
        <v>1756.28</v>
      </c>
      <c r="H304">
        <v>3512.56</v>
      </c>
      <c r="I304">
        <v>351.09</v>
      </c>
      <c r="J304">
        <v>3161.47</v>
      </c>
      <c r="K304">
        <v>360</v>
      </c>
      <c r="L304" s="11" t="s">
        <v>97</v>
      </c>
      <c r="M304">
        <f t="shared" si="21"/>
        <v>1</v>
      </c>
      <c r="N304">
        <f t="shared" si="22"/>
        <v>8</v>
      </c>
      <c r="O304">
        <f t="shared" si="23"/>
        <v>2024</v>
      </c>
      <c r="P304" s="4">
        <f t="shared" si="24"/>
        <v>45505</v>
      </c>
      <c r="Q304" t="s">
        <v>1134</v>
      </c>
      <c r="R304" t="s">
        <v>1137</v>
      </c>
      <c r="S304">
        <v>1</v>
      </c>
      <c r="T304" t="s">
        <v>1147</v>
      </c>
      <c r="U304" s="11" t="str">
        <f t="shared" si="25"/>
        <v>01:30:19 AM</v>
      </c>
      <c r="AC304" s="4">
        <v>45470</v>
      </c>
      <c r="AD304" s="25">
        <v>19700.88</v>
      </c>
      <c r="BL304" s="2" t="s">
        <v>1454</v>
      </c>
      <c r="BM304" s="4">
        <v>45458</v>
      </c>
      <c r="BN304" s="25">
        <v>1405.19</v>
      </c>
    </row>
    <row r="305" spans="1:66" x14ac:dyDescent="0.35">
      <c r="A305">
        <v>1822</v>
      </c>
      <c r="B305" t="s">
        <v>31</v>
      </c>
      <c r="C305" s="1">
        <v>45577</v>
      </c>
      <c r="D305" t="s">
        <v>27</v>
      </c>
      <c r="E305" t="s">
        <v>10</v>
      </c>
      <c r="F305">
        <v>3</v>
      </c>
      <c r="G305">
        <v>998.49</v>
      </c>
      <c r="H305">
        <v>2995.47</v>
      </c>
      <c r="I305">
        <v>449.03</v>
      </c>
      <c r="J305">
        <v>2546.44</v>
      </c>
      <c r="K305">
        <v>273</v>
      </c>
      <c r="L305" s="11" t="s">
        <v>98</v>
      </c>
      <c r="M305">
        <f t="shared" si="21"/>
        <v>12</v>
      </c>
      <c r="N305">
        <f t="shared" si="22"/>
        <v>10</v>
      </c>
      <c r="O305">
        <f t="shared" si="23"/>
        <v>2024</v>
      </c>
      <c r="P305" s="4">
        <f t="shared" si="24"/>
        <v>45577</v>
      </c>
      <c r="Q305" t="s">
        <v>1139</v>
      </c>
      <c r="R305" t="s">
        <v>1137</v>
      </c>
      <c r="S305">
        <v>1</v>
      </c>
      <c r="T305" t="s">
        <v>1141</v>
      </c>
      <c r="U305" s="11" t="str">
        <f t="shared" si="25"/>
        <v>09:24:01 PM</v>
      </c>
      <c r="AC305" s="4">
        <v>45471</v>
      </c>
      <c r="AD305" s="25">
        <v>10067.9</v>
      </c>
      <c r="BL305" s="2" t="s">
        <v>1455</v>
      </c>
      <c r="BM305" s="4">
        <v>45459</v>
      </c>
      <c r="BN305" s="25">
        <v>3116.65</v>
      </c>
    </row>
    <row r="306" spans="1:66" x14ac:dyDescent="0.35">
      <c r="A306">
        <v>5082</v>
      </c>
      <c r="B306" t="s">
        <v>19</v>
      </c>
      <c r="C306" s="1">
        <v>45857</v>
      </c>
      <c r="D306" t="s">
        <v>11</v>
      </c>
      <c r="E306" t="s">
        <v>36</v>
      </c>
      <c r="F306">
        <v>4</v>
      </c>
      <c r="G306">
        <v>1203.5</v>
      </c>
      <c r="H306">
        <v>4814</v>
      </c>
      <c r="I306">
        <v>722.1</v>
      </c>
      <c r="J306">
        <v>4091.9</v>
      </c>
      <c r="K306">
        <v>411</v>
      </c>
      <c r="L306" s="11" t="s">
        <v>99</v>
      </c>
      <c r="M306">
        <f t="shared" si="21"/>
        <v>19</v>
      </c>
      <c r="N306">
        <f t="shared" si="22"/>
        <v>7</v>
      </c>
      <c r="O306">
        <f t="shared" si="23"/>
        <v>2025</v>
      </c>
      <c r="P306" s="4">
        <f t="shared" si="24"/>
        <v>45857</v>
      </c>
      <c r="Q306" t="s">
        <v>1139</v>
      </c>
      <c r="R306" t="s">
        <v>1137</v>
      </c>
      <c r="S306">
        <v>1</v>
      </c>
      <c r="T306" t="s">
        <v>1148</v>
      </c>
      <c r="U306" s="11" t="str">
        <f t="shared" si="25"/>
        <v>09:51:57 PM</v>
      </c>
      <c r="AC306" s="4">
        <v>45472</v>
      </c>
      <c r="AD306" s="25">
        <v>4516.03</v>
      </c>
      <c r="BL306" s="2" t="s">
        <v>1456</v>
      </c>
      <c r="BM306" s="4">
        <v>45460</v>
      </c>
      <c r="BN306" s="25">
        <v>4158.3</v>
      </c>
    </row>
    <row r="307" spans="1:66" x14ac:dyDescent="0.35">
      <c r="A307">
        <v>2988</v>
      </c>
      <c r="B307" t="s">
        <v>31</v>
      </c>
      <c r="C307" s="1">
        <v>45499</v>
      </c>
      <c r="D307" t="s">
        <v>11</v>
      </c>
      <c r="E307" t="s">
        <v>10</v>
      </c>
      <c r="F307">
        <v>4</v>
      </c>
      <c r="G307">
        <v>192.56</v>
      </c>
      <c r="H307">
        <v>770.24</v>
      </c>
      <c r="I307">
        <v>0</v>
      </c>
      <c r="J307">
        <v>770.24</v>
      </c>
      <c r="K307">
        <v>442</v>
      </c>
      <c r="L307" s="11" t="s">
        <v>100</v>
      </c>
      <c r="M307">
        <f t="shared" si="21"/>
        <v>26</v>
      </c>
      <c r="N307">
        <f t="shared" si="22"/>
        <v>7</v>
      </c>
      <c r="O307">
        <f t="shared" si="23"/>
        <v>2024</v>
      </c>
      <c r="P307" s="4">
        <f t="shared" si="24"/>
        <v>45499</v>
      </c>
      <c r="Q307" t="s">
        <v>1138</v>
      </c>
      <c r="R307" t="s">
        <v>1137</v>
      </c>
      <c r="S307">
        <v>4</v>
      </c>
      <c r="T307" t="s">
        <v>1147</v>
      </c>
      <c r="U307" s="11" t="str">
        <f t="shared" si="25"/>
        <v>12:48:06 AM</v>
      </c>
      <c r="AC307" s="4">
        <v>45473</v>
      </c>
      <c r="AD307" s="25">
        <v>9445.4000000000015</v>
      </c>
      <c r="BL307" s="2" t="s">
        <v>1457</v>
      </c>
      <c r="BM307" s="4">
        <v>45461</v>
      </c>
      <c r="BN307" s="25">
        <v>16100.34</v>
      </c>
    </row>
    <row r="308" spans="1:66" x14ac:dyDescent="0.35">
      <c r="A308">
        <v>3184</v>
      </c>
      <c r="B308" t="s">
        <v>8</v>
      </c>
      <c r="C308" s="1">
        <v>45767</v>
      </c>
      <c r="D308" t="s">
        <v>1</v>
      </c>
      <c r="E308" t="s">
        <v>2</v>
      </c>
      <c r="F308">
        <v>5</v>
      </c>
      <c r="G308">
        <v>2332.3000000000002</v>
      </c>
      <c r="H308">
        <v>11661.5</v>
      </c>
      <c r="I308">
        <v>1748.81</v>
      </c>
      <c r="J308">
        <v>9912.69</v>
      </c>
      <c r="K308">
        <v>296</v>
      </c>
      <c r="L308" s="11" t="s">
        <v>101</v>
      </c>
      <c r="M308">
        <f t="shared" si="21"/>
        <v>20</v>
      </c>
      <c r="N308">
        <f t="shared" si="22"/>
        <v>4</v>
      </c>
      <c r="O308">
        <f t="shared" si="23"/>
        <v>2025</v>
      </c>
      <c r="P308" s="4">
        <f t="shared" si="24"/>
        <v>45767</v>
      </c>
      <c r="Q308" t="s">
        <v>1136</v>
      </c>
      <c r="R308" t="s">
        <v>1135</v>
      </c>
      <c r="S308">
        <v>1</v>
      </c>
      <c r="T308" t="s">
        <v>1147</v>
      </c>
      <c r="U308" s="11" t="str">
        <f t="shared" si="25"/>
        <v>03:30:49 AM</v>
      </c>
      <c r="AC308" s="4">
        <v>45474</v>
      </c>
      <c r="AD308" s="25">
        <v>2773.0299999999997</v>
      </c>
      <c r="BL308" s="2" t="s">
        <v>1458</v>
      </c>
      <c r="BM308" s="4">
        <v>45462</v>
      </c>
      <c r="BN308" s="25">
        <v>10531.04</v>
      </c>
    </row>
    <row r="309" spans="1:66" x14ac:dyDescent="0.35">
      <c r="A309">
        <v>8612</v>
      </c>
      <c r="B309" t="s">
        <v>8</v>
      </c>
      <c r="C309" s="1">
        <v>45663</v>
      </c>
      <c r="D309" t="s">
        <v>6</v>
      </c>
      <c r="E309" t="s">
        <v>10</v>
      </c>
      <c r="F309">
        <v>2</v>
      </c>
      <c r="G309">
        <v>996.83</v>
      </c>
      <c r="H309">
        <v>1993.66</v>
      </c>
      <c r="I309">
        <v>199.2</v>
      </c>
      <c r="J309">
        <v>1794.46</v>
      </c>
      <c r="K309">
        <v>426</v>
      </c>
      <c r="L309" s="11" t="s">
        <v>102</v>
      </c>
      <c r="M309">
        <f t="shared" si="21"/>
        <v>6</v>
      </c>
      <c r="N309">
        <f t="shared" si="22"/>
        <v>1</v>
      </c>
      <c r="O309">
        <f t="shared" si="23"/>
        <v>2025</v>
      </c>
      <c r="P309" s="4">
        <f t="shared" si="24"/>
        <v>45663</v>
      </c>
      <c r="Q309" t="s">
        <v>1139</v>
      </c>
      <c r="R309" t="s">
        <v>1135</v>
      </c>
      <c r="S309">
        <v>3</v>
      </c>
      <c r="T309" t="s">
        <v>1146</v>
      </c>
      <c r="U309" s="11" t="str">
        <f t="shared" si="25"/>
        <v>06:37:50 AM</v>
      </c>
      <c r="AC309" s="4">
        <v>45475</v>
      </c>
      <c r="AD309" s="25">
        <v>7572.92</v>
      </c>
      <c r="BL309" s="2" t="s">
        <v>1459</v>
      </c>
      <c r="BM309" s="4">
        <v>45463</v>
      </c>
      <c r="BN309" s="25">
        <v>8853.61</v>
      </c>
    </row>
    <row r="310" spans="1:66" x14ac:dyDescent="0.35">
      <c r="A310">
        <v>9702</v>
      </c>
      <c r="B310" t="s">
        <v>3</v>
      </c>
      <c r="C310" s="1">
        <v>45579</v>
      </c>
      <c r="D310" t="s">
        <v>16</v>
      </c>
      <c r="E310" t="s">
        <v>10</v>
      </c>
      <c r="F310">
        <v>3</v>
      </c>
      <c r="G310">
        <v>1919.79</v>
      </c>
      <c r="H310">
        <v>5759.37</v>
      </c>
      <c r="I310">
        <v>576.02</v>
      </c>
      <c r="J310">
        <v>5183.3500000000004</v>
      </c>
      <c r="K310">
        <v>250</v>
      </c>
      <c r="L310" s="11" t="s">
        <v>103</v>
      </c>
      <c r="M310">
        <f t="shared" si="21"/>
        <v>14</v>
      </c>
      <c r="N310">
        <f t="shared" si="22"/>
        <v>10</v>
      </c>
      <c r="O310">
        <f t="shared" si="23"/>
        <v>2024</v>
      </c>
      <c r="P310" s="4">
        <f t="shared" si="24"/>
        <v>45579</v>
      </c>
      <c r="Q310" t="s">
        <v>1136</v>
      </c>
      <c r="R310" t="s">
        <v>1135</v>
      </c>
      <c r="S310">
        <v>5</v>
      </c>
      <c r="T310" t="s">
        <v>1150</v>
      </c>
      <c r="U310" s="11" t="str">
        <f t="shared" si="25"/>
        <v>06:34:46 PM</v>
      </c>
      <c r="AC310" s="4">
        <v>45476</v>
      </c>
      <c r="AD310" s="25">
        <v>1941.37</v>
      </c>
      <c r="BL310" s="2" t="s">
        <v>1460</v>
      </c>
      <c r="BM310" s="4">
        <v>45464</v>
      </c>
      <c r="BN310" s="25">
        <v>3783.14</v>
      </c>
    </row>
    <row r="311" spans="1:66" x14ac:dyDescent="0.35">
      <c r="A311">
        <v>6198</v>
      </c>
      <c r="B311" t="s">
        <v>8</v>
      </c>
      <c r="C311" s="1">
        <v>45731</v>
      </c>
      <c r="D311" t="s">
        <v>11</v>
      </c>
      <c r="E311" t="s">
        <v>18</v>
      </c>
      <c r="F311">
        <v>2</v>
      </c>
      <c r="G311">
        <v>1816.04</v>
      </c>
      <c r="H311">
        <v>3632.08</v>
      </c>
      <c r="I311">
        <v>411.68</v>
      </c>
      <c r="J311">
        <v>3220.4</v>
      </c>
      <c r="K311">
        <v>250</v>
      </c>
      <c r="L311" s="11" t="s">
        <v>104</v>
      </c>
      <c r="M311">
        <f t="shared" si="21"/>
        <v>15</v>
      </c>
      <c r="N311">
        <f t="shared" si="22"/>
        <v>3</v>
      </c>
      <c r="O311">
        <f t="shared" si="23"/>
        <v>2025</v>
      </c>
      <c r="P311" s="4">
        <f t="shared" si="24"/>
        <v>45731</v>
      </c>
      <c r="Q311" t="s">
        <v>1139</v>
      </c>
      <c r="R311" t="s">
        <v>1135</v>
      </c>
      <c r="S311">
        <v>3</v>
      </c>
      <c r="T311" t="s">
        <v>1143</v>
      </c>
      <c r="U311" s="11" t="str">
        <f t="shared" si="25"/>
        <v>03:21:11 PM</v>
      </c>
      <c r="AC311" s="4">
        <v>45477</v>
      </c>
      <c r="AD311" s="25">
        <v>9240.39</v>
      </c>
      <c r="BL311" s="2" t="s">
        <v>1461</v>
      </c>
      <c r="BM311" s="4">
        <v>45465</v>
      </c>
      <c r="BN311" s="25">
        <v>10584.99</v>
      </c>
    </row>
    <row r="312" spans="1:66" x14ac:dyDescent="0.35">
      <c r="A312">
        <v>8251</v>
      </c>
      <c r="B312" t="s">
        <v>20</v>
      </c>
      <c r="C312" s="1">
        <v>45620</v>
      </c>
      <c r="D312" t="s">
        <v>27</v>
      </c>
      <c r="E312" t="s">
        <v>29</v>
      </c>
      <c r="F312">
        <v>1</v>
      </c>
      <c r="G312">
        <v>2357.1999999999998</v>
      </c>
      <c r="H312">
        <v>2357.1999999999998</v>
      </c>
      <c r="I312">
        <v>219.95</v>
      </c>
      <c r="J312">
        <v>2137.25</v>
      </c>
      <c r="K312">
        <v>342</v>
      </c>
      <c r="L312" s="11" t="s">
        <v>105</v>
      </c>
      <c r="M312">
        <f t="shared" si="21"/>
        <v>24</v>
      </c>
      <c r="N312">
        <f t="shared" si="22"/>
        <v>11</v>
      </c>
      <c r="O312">
        <f t="shared" si="23"/>
        <v>2024</v>
      </c>
      <c r="P312" s="4">
        <f t="shared" si="24"/>
        <v>45620</v>
      </c>
      <c r="Q312" t="s">
        <v>1136</v>
      </c>
      <c r="R312" t="s">
        <v>1137</v>
      </c>
      <c r="S312">
        <v>1</v>
      </c>
      <c r="T312" t="s">
        <v>1144</v>
      </c>
      <c r="U312" s="11" t="str">
        <f t="shared" si="25"/>
        <v>02:04:48 PM</v>
      </c>
      <c r="AC312" s="4">
        <v>45478</v>
      </c>
      <c r="AD312" s="25">
        <v>13190.36</v>
      </c>
      <c r="BL312" s="2" t="s">
        <v>1462</v>
      </c>
      <c r="BM312" s="4">
        <v>45466</v>
      </c>
      <c r="BN312" s="25">
        <v>4262.05</v>
      </c>
    </row>
    <row r="313" spans="1:66" x14ac:dyDescent="0.35">
      <c r="A313">
        <v>9270</v>
      </c>
      <c r="B313" t="s">
        <v>31</v>
      </c>
      <c r="C313" s="1">
        <v>45476</v>
      </c>
      <c r="D313" t="s">
        <v>4</v>
      </c>
      <c r="E313" t="s">
        <v>30</v>
      </c>
      <c r="F313">
        <v>1</v>
      </c>
      <c r="G313">
        <v>608.39</v>
      </c>
      <c r="H313">
        <v>608.39</v>
      </c>
      <c r="I313">
        <v>288.01</v>
      </c>
      <c r="J313">
        <v>320.38</v>
      </c>
      <c r="K313">
        <v>233</v>
      </c>
      <c r="L313" s="11" t="s">
        <v>106</v>
      </c>
      <c r="M313">
        <f t="shared" si="21"/>
        <v>3</v>
      </c>
      <c r="N313">
        <f t="shared" si="22"/>
        <v>7</v>
      </c>
      <c r="O313">
        <f t="shared" si="23"/>
        <v>2024</v>
      </c>
      <c r="P313" s="4">
        <f t="shared" si="24"/>
        <v>45476</v>
      </c>
      <c r="Q313" t="s">
        <v>1134</v>
      </c>
      <c r="R313" t="s">
        <v>1137</v>
      </c>
      <c r="S313">
        <v>3</v>
      </c>
      <c r="T313" t="s">
        <v>1150</v>
      </c>
      <c r="U313" s="11" t="str">
        <f t="shared" si="25"/>
        <v>12:56:24 AM</v>
      </c>
      <c r="AC313" s="4">
        <v>45479</v>
      </c>
      <c r="AD313" s="25">
        <v>9495.2000000000007</v>
      </c>
      <c r="BL313" s="2" t="s">
        <v>1463</v>
      </c>
      <c r="BM313" s="4">
        <v>45467</v>
      </c>
      <c r="BN313" s="25">
        <v>18988.739999999998</v>
      </c>
    </row>
    <row r="314" spans="1:66" x14ac:dyDescent="0.35">
      <c r="A314">
        <v>9976</v>
      </c>
      <c r="B314" t="s">
        <v>15</v>
      </c>
      <c r="C314" s="1">
        <v>45491</v>
      </c>
      <c r="D314" t="s">
        <v>16</v>
      </c>
      <c r="E314" t="s">
        <v>37</v>
      </c>
      <c r="F314">
        <v>1</v>
      </c>
      <c r="G314">
        <v>97.94</v>
      </c>
      <c r="H314">
        <v>97.94</v>
      </c>
      <c r="I314">
        <v>88.81</v>
      </c>
      <c r="J314">
        <v>9.1300000000000008</v>
      </c>
      <c r="K314">
        <v>282</v>
      </c>
      <c r="L314" s="11" t="s">
        <v>107</v>
      </c>
      <c r="M314">
        <f t="shared" si="21"/>
        <v>18</v>
      </c>
      <c r="N314">
        <f t="shared" si="22"/>
        <v>7</v>
      </c>
      <c r="O314">
        <f t="shared" si="23"/>
        <v>2024</v>
      </c>
      <c r="P314" s="4">
        <f t="shared" si="24"/>
        <v>45491</v>
      </c>
      <c r="Q314" t="s">
        <v>1136</v>
      </c>
      <c r="R314" t="s">
        <v>1135</v>
      </c>
      <c r="S314">
        <v>1</v>
      </c>
      <c r="T314" t="s">
        <v>1144</v>
      </c>
      <c r="U314" s="11" t="str">
        <f t="shared" si="25"/>
        <v>11:50:36 PM</v>
      </c>
      <c r="AC314" s="4">
        <v>45480</v>
      </c>
      <c r="AD314" s="25">
        <v>4543.42</v>
      </c>
      <c r="BL314" s="2" t="s">
        <v>1464</v>
      </c>
      <c r="BM314" s="4">
        <v>45468</v>
      </c>
      <c r="BN314" s="25">
        <v>14451.960000000001</v>
      </c>
    </row>
    <row r="315" spans="1:66" x14ac:dyDescent="0.35">
      <c r="A315">
        <v>3607</v>
      </c>
      <c r="B315" t="s">
        <v>19</v>
      </c>
      <c r="C315" s="1">
        <v>45722</v>
      </c>
      <c r="D315" t="s">
        <v>27</v>
      </c>
      <c r="E315" t="s">
        <v>26</v>
      </c>
      <c r="F315">
        <v>1</v>
      </c>
      <c r="G315">
        <v>1290.6500000000001</v>
      </c>
      <c r="H315">
        <v>1290.6500000000001</v>
      </c>
      <c r="I315">
        <v>258.13</v>
      </c>
      <c r="J315">
        <v>1032.52</v>
      </c>
      <c r="K315">
        <v>357</v>
      </c>
      <c r="L315" s="11" t="s">
        <v>108</v>
      </c>
      <c r="M315">
        <f t="shared" si="21"/>
        <v>6</v>
      </c>
      <c r="N315">
        <f t="shared" si="22"/>
        <v>3</v>
      </c>
      <c r="O315">
        <f t="shared" si="23"/>
        <v>2025</v>
      </c>
      <c r="P315" s="4">
        <f t="shared" si="24"/>
        <v>45722</v>
      </c>
      <c r="Q315" t="s">
        <v>1134</v>
      </c>
      <c r="R315" t="s">
        <v>1137</v>
      </c>
      <c r="S315">
        <v>4</v>
      </c>
      <c r="T315" t="s">
        <v>1143</v>
      </c>
      <c r="U315" s="11" t="str">
        <f t="shared" si="25"/>
        <v>11:13:18 AM</v>
      </c>
      <c r="AC315" s="4">
        <v>45481</v>
      </c>
      <c r="AD315" s="25">
        <v>3990.64</v>
      </c>
      <c r="BL315" s="2" t="s">
        <v>1465</v>
      </c>
      <c r="BM315" s="4">
        <v>45469</v>
      </c>
      <c r="BN315" s="25">
        <v>8778.91</v>
      </c>
    </row>
    <row r="316" spans="1:66" x14ac:dyDescent="0.35">
      <c r="A316">
        <v>8777</v>
      </c>
      <c r="B316" t="s">
        <v>0</v>
      </c>
      <c r="C316" s="1">
        <v>45494</v>
      </c>
      <c r="D316" t="s">
        <v>4</v>
      </c>
      <c r="E316" t="s">
        <v>36</v>
      </c>
      <c r="F316">
        <v>2</v>
      </c>
      <c r="G316">
        <v>662.34</v>
      </c>
      <c r="H316">
        <v>1324.68</v>
      </c>
      <c r="I316">
        <v>198.37</v>
      </c>
      <c r="J316">
        <v>1126.31</v>
      </c>
      <c r="K316">
        <v>317</v>
      </c>
      <c r="L316" s="11" t="s">
        <v>109</v>
      </c>
      <c r="M316">
        <f t="shared" si="21"/>
        <v>21</v>
      </c>
      <c r="N316">
        <f t="shared" si="22"/>
        <v>7</v>
      </c>
      <c r="O316">
        <f t="shared" si="23"/>
        <v>2024</v>
      </c>
      <c r="P316" s="4">
        <f t="shared" si="24"/>
        <v>45494</v>
      </c>
      <c r="Q316" t="s">
        <v>1134</v>
      </c>
      <c r="R316" t="s">
        <v>1137</v>
      </c>
      <c r="S316">
        <v>3</v>
      </c>
      <c r="T316" t="s">
        <v>1148</v>
      </c>
      <c r="U316" s="11" t="str">
        <f t="shared" si="25"/>
        <v>09:33:43 PM</v>
      </c>
      <c r="AC316" s="4">
        <v>45482</v>
      </c>
      <c r="AD316" s="25">
        <v>5868.1</v>
      </c>
      <c r="BL316" s="2" t="s">
        <v>1466</v>
      </c>
      <c r="BM316" s="4">
        <v>45470</v>
      </c>
      <c r="BN316" s="25">
        <v>19700.88</v>
      </c>
    </row>
    <row r="317" spans="1:66" x14ac:dyDescent="0.35">
      <c r="A317">
        <v>5246</v>
      </c>
      <c r="B317" t="s">
        <v>19</v>
      </c>
      <c r="C317" s="1">
        <v>45728</v>
      </c>
      <c r="D317" t="s">
        <v>9</v>
      </c>
      <c r="E317" t="s">
        <v>32</v>
      </c>
      <c r="F317">
        <v>3</v>
      </c>
      <c r="G317">
        <v>2391.23</v>
      </c>
      <c r="H317">
        <v>7173.69</v>
      </c>
      <c r="I317">
        <v>0</v>
      </c>
      <c r="J317">
        <v>7173.69</v>
      </c>
      <c r="K317">
        <v>235</v>
      </c>
      <c r="L317" s="11" t="s">
        <v>110</v>
      </c>
      <c r="M317">
        <f t="shared" si="21"/>
        <v>12</v>
      </c>
      <c r="N317">
        <f t="shared" si="22"/>
        <v>3</v>
      </c>
      <c r="O317">
        <f t="shared" si="23"/>
        <v>2025</v>
      </c>
      <c r="P317" s="4">
        <f t="shared" si="24"/>
        <v>45728</v>
      </c>
      <c r="Q317" t="s">
        <v>1136</v>
      </c>
      <c r="R317" t="s">
        <v>1137</v>
      </c>
      <c r="S317">
        <v>4</v>
      </c>
      <c r="T317" t="s">
        <v>1145</v>
      </c>
      <c r="U317" s="11" t="str">
        <f t="shared" si="25"/>
        <v>06:34:17 AM</v>
      </c>
      <c r="AC317" s="4">
        <v>45483</v>
      </c>
      <c r="AD317" s="25">
        <v>11129.470000000001</v>
      </c>
      <c r="BL317" s="2" t="s">
        <v>1467</v>
      </c>
      <c r="BM317" s="4">
        <v>45471</v>
      </c>
      <c r="BN317" s="25">
        <v>10067.9</v>
      </c>
    </row>
    <row r="318" spans="1:66" x14ac:dyDescent="0.35">
      <c r="A318">
        <v>5050</v>
      </c>
      <c r="B318" t="s">
        <v>31</v>
      </c>
      <c r="C318" s="1">
        <v>45797</v>
      </c>
      <c r="D318" t="s">
        <v>24</v>
      </c>
      <c r="E318" t="s">
        <v>32</v>
      </c>
      <c r="F318">
        <v>1</v>
      </c>
      <c r="G318">
        <v>307.10000000000002</v>
      </c>
      <c r="H318">
        <v>307.10000000000002</v>
      </c>
      <c r="I318">
        <v>240.7</v>
      </c>
      <c r="J318">
        <v>66.400000000000006</v>
      </c>
      <c r="K318">
        <v>194</v>
      </c>
      <c r="L318" s="11" t="s">
        <v>35</v>
      </c>
      <c r="M318">
        <f t="shared" si="21"/>
        <v>20</v>
      </c>
      <c r="N318">
        <f t="shared" si="22"/>
        <v>5</v>
      </c>
      <c r="O318">
        <f t="shared" si="23"/>
        <v>2025</v>
      </c>
      <c r="P318" s="4">
        <f t="shared" si="24"/>
        <v>45797</v>
      </c>
      <c r="Q318" t="s">
        <v>1134</v>
      </c>
      <c r="R318" t="s">
        <v>1135</v>
      </c>
      <c r="S318">
        <v>4</v>
      </c>
      <c r="T318" t="s">
        <v>1143</v>
      </c>
      <c r="U318" s="11" t="str">
        <f t="shared" si="25"/>
        <v>04:34:19 PM</v>
      </c>
      <c r="AC318" s="4">
        <v>45484</v>
      </c>
      <c r="AD318" s="25">
        <v>9696.89</v>
      </c>
      <c r="BL318" s="2" t="s">
        <v>1468</v>
      </c>
      <c r="BM318" s="4">
        <v>45472</v>
      </c>
      <c r="BN318" s="25">
        <v>4516.03</v>
      </c>
    </row>
    <row r="319" spans="1:66" x14ac:dyDescent="0.35">
      <c r="A319">
        <v>5543</v>
      </c>
      <c r="B319" t="s">
        <v>20</v>
      </c>
      <c r="C319" s="1">
        <v>45739</v>
      </c>
      <c r="D319" t="s">
        <v>23</v>
      </c>
      <c r="E319" t="s">
        <v>32</v>
      </c>
      <c r="F319">
        <v>4</v>
      </c>
      <c r="G319">
        <v>2116.5</v>
      </c>
      <c r="H319">
        <v>8466</v>
      </c>
      <c r="I319">
        <v>407.53</v>
      </c>
      <c r="J319">
        <v>8058.47</v>
      </c>
      <c r="K319">
        <v>330</v>
      </c>
      <c r="L319" s="11" t="s">
        <v>111</v>
      </c>
      <c r="M319">
        <f t="shared" si="21"/>
        <v>23</v>
      </c>
      <c r="N319">
        <f t="shared" si="22"/>
        <v>3</v>
      </c>
      <c r="O319">
        <f t="shared" si="23"/>
        <v>2025</v>
      </c>
      <c r="P319" s="4">
        <f t="shared" si="24"/>
        <v>45739</v>
      </c>
      <c r="Q319" t="s">
        <v>1138</v>
      </c>
      <c r="R319" t="s">
        <v>1135</v>
      </c>
      <c r="S319">
        <v>2</v>
      </c>
      <c r="T319" t="s">
        <v>1149</v>
      </c>
      <c r="U319" s="11" t="str">
        <f t="shared" si="25"/>
        <v>04:15:37 AM</v>
      </c>
      <c r="AC319" s="4">
        <v>45485</v>
      </c>
      <c r="AD319" s="25">
        <v>5486.2999999999993</v>
      </c>
      <c r="BL319" s="2" t="s">
        <v>1469</v>
      </c>
      <c r="BM319" s="4">
        <v>45473</v>
      </c>
      <c r="BN319" s="25">
        <v>9445.4000000000015</v>
      </c>
    </row>
    <row r="320" spans="1:66" x14ac:dyDescent="0.35">
      <c r="A320">
        <v>9540</v>
      </c>
      <c r="B320" t="s">
        <v>0</v>
      </c>
      <c r="C320" s="1">
        <v>45521</v>
      </c>
      <c r="D320" t="s">
        <v>27</v>
      </c>
      <c r="E320" t="s">
        <v>29</v>
      </c>
      <c r="F320">
        <v>2</v>
      </c>
      <c r="G320">
        <v>590.96</v>
      </c>
      <c r="H320">
        <v>1181.92</v>
      </c>
      <c r="I320">
        <v>177.62</v>
      </c>
      <c r="J320">
        <v>1004.3</v>
      </c>
      <c r="K320">
        <v>444</v>
      </c>
      <c r="L320" s="11" t="s">
        <v>112</v>
      </c>
      <c r="M320">
        <f t="shared" si="21"/>
        <v>17</v>
      </c>
      <c r="N320">
        <f t="shared" si="22"/>
        <v>8</v>
      </c>
      <c r="O320">
        <f t="shared" si="23"/>
        <v>2024</v>
      </c>
      <c r="P320" s="4">
        <f t="shared" si="24"/>
        <v>45521</v>
      </c>
      <c r="Q320" t="s">
        <v>1134</v>
      </c>
      <c r="R320" t="s">
        <v>1135</v>
      </c>
      <c r="S320">
        <v>1</v>
      </c>
      <c r="T320" t="s">
        <v>1150</v>
      </c>
      <c r="U320" s="11" t="str">
        <f t="shared" si="25"/>
        <v>08:28:15 AM</v>
      </c>
      <c r="AC320" s="4">
        <v>45486</v>
      </c>
      <c r="AD320" s="25">
        <v>27673.859999999997</v>
      </c>
      <c r="BL320" s="2" t="s">
        <v>1470</v>
      </c>
      <c r="BM320" s="4">
        <v>45474</v>
      </c>
      <c r="BN320" s="25">
        <v>2773.0299999999997</v>
      </c>
    </row>
    <row r="321" spans="1:66" x14ac:dyDescent="0.35">
      <c r="A321">
        <v>4919</v>
      </c>
      <c r="B321" t="s">
        <v>20</v>
      </c>
      <c r="C321" s="1">
        <v>45358</v>
      </c>
      <c r="D321" t="s">
        <v>4</v>
      </c>
      <c r="E321" t="s">
        <v>2</v>
      </c>
      <c r="F321">
        <v>5</v>
      </c>
      <c r="G321">
        <v>1438.39</v>
      </c>
      <c r="H321">
        <v>7191.95</v>
      </c>
      <c r="I321">
        <v>1079</v>
      </c>
      <c r="J321">
        <v>6112.95</v>
      </c>
      <c r="K321">
        <v>16</v>
      </c>
      <c r="L321" s="11" t="s">
        <v>113</v>
      </c>
      <c r="M321">
        <f t="shared" si="21"/>
        <v>7</v>
      </c>
      <c r="N321">
        <f t="shared" si="22"/>
        <v>3</v>
      </c>
      <c r="O321">
        <f t="shared" si="23"/>
        <v>2024</v>
      </c>
      <c r="P321" s="4">
        <f t="shared" si="24"/>
        <v>45358</v>
      </c>
      <c r="Q321" t="s">
        <v>1139</v>
      </c>
      <c r="R321" t="s">
        <v>1137</v>
      </c>
      <c r="S321">
        <v>5</v>
      </c>
      <c r="T321" t="s">
        <v>1141</v>
      </c>
      <c r="U321" s="11" t="str">
        <f t="shared" si="25"/>
        <v>06:35:34 AM</v>
      </c>
      <c r="AC321" s="4">
        <v>45487</v>
      </c>
      <c r="AD321" s="25">
        <v>18502.36</v>
      </c>
      <c r="BL321" s="2" t="s">
        <v>1471</v>
      </c>
      <c r="BM321" s="4">
        <v>45475</v>
      </c>
      <c r="BN321" s="25">
        <v>7572.92</v>
      </c>
    </row>
    <row r="322" spans="1:66" x14ac:dyDescent="0.35">
      <c r="A322">
        <v>8206</v>
      </c>
      <c r="B322" t="s">
        <v>20</v>
      </c>
      <c r="C322" s="1">
        <v>45205</v>
      </c>
      <c r="D322" t="s">
        <v>6</v>
      </c>
      <c r="E322" t="s">
        <v>30</v>
      </c>
      <c r="F322">
        <v>4</v>
      </c>
      <c r="G322">
        <v>2318.19</v>
      </c>
      <c r="H322">
        <v>9272.76</v>
      </c>
      <c r="I322">
        <v>162.68</v>
      </c>
      <c r="J322">
        <v>9110.08</v>
      </c>
      <c r="K322">
        <v>153</v>
      </c>
      <c r="L322" s="11" t="s">
        <v>114</v>
      </c>
      <c r="M322">
        <f t="shared" ref="M322:M385" si="26">DAY(C322)</f>
        <v>6</v>
      </c>
      <c r="N322">
        <f t="shared" ref="N322:N385" si="27">MONTH(C322)</f>
        <v>10</v>
      </c>
      <c r="O322">
        <f t="shared" ref="O322:O385" si="28">YEAR(C322)</f>
        <v>2023</v>
      </c>
      <c r="P322" s="4">
        <f t="shared" si="24"/>
        <v>45205</v>
      </c>
      <c r="Q322" t="s">
        <v>1136</v>
      </c>
      <c r="R322" t="s">
        <v>1135</v>
      </c>
      <c r="S322">
        <v>1</v>
      </c>
      <c r="T322" t="s">
        <v>1142</v>
      </c>
      <c r="U322" s="11" t="str">
        <f t="shared" si="25"/>
        <v>10:55:09 AM</v>
      </c>
      <c r="AC322" s="4">
        <v>45488</v>
      </c>
      <c r="AD322" s="25">
        <v>15745.93</v>
      </c>
      <c r="BL322" s="2" t="s">
        <v>1472</v>
      </c>
      <c r="BM322" s="4">
        <v>45476</v>
      </c>
      <c r="BN322" s="25">
        <v>1941.37</v>
      </c>
    </row>
    <row r="323" spans="1:66" x14ac:dyDescent="0.35">
      <c r="A323">
        <v>5681</v>
      </c>
      <c r="B323" t="s">
        <v>13</v>
      </c>
      <c r="C323" s="1">
        <v>45327</v>
      </c>
      <c r="D323" t="s">
        <v>16</v>
      </c>
      <c r="E323" t="s">
        <v>7</v>
      </c>
      <c r="F323">
        <v>3</v>
      </c>
      <c r="G323">
        <v>1005.96</v>
      </c>
      <c r="H323">
        <v>3017.88</v>
      </c>
      <c r="I323">
        <v>0</v>
      </c>
      <c r="J323">
        <v>3017.88</v>
      </c>
      <c r="K323">
        <v>378</v>
      </c>
      <c r="L323" s="11" t="s">
        <v>115</v>
      </c>
      <c r="M323">
        <f t="shared" si="26"/>
        <v>5</v>
      </c>
      <c r="N323">
        <f t="shared" si="27"/>
        <v>2</v>
      </c>
      <c r="O323">
        <f t="shared" si="28"/>
        <v>2024</v>
      </c>
      <c r="P323" s="4">
        <f t="shared" ref="P323:P386" si="29">DATE(O323,N323,M323)</f>
        <v>45327</v>
      </c>
      <c r="Q323" t="s">
        <v>1138</v>
      </c>
      <c r="R323" t="s">
        <v>1135</v>
      </c>
      <c r="S323">
        <v>5</v>
      </c>
      <c r="T323" t="s">
        <v>1149</v>
      </c>
      <c r="U323" s="11" t="str">
        <f t="shared" si="25"/>
        <v>12:28:35 AM</v>
      </c>
      <c r="AC323" s="4">
        <v>45489</v>
      </c>
      <c r="AD323" s="25">
        <v>4894.51</v>
      </c>
      <c r="BL323" s="2" t="s">
        <v>1473</v>
      </c>
      <c r="BM323" s="4">
        <v>45477</v>
      </c>
      <c r="BN323" s="25">
        <v>9240.39</v>
      </c>
    </row>
    <row r="324" spans="1:66" x14ac:dyDescent="0.35">
      <c r="A324">
        <v>5451</v>
      </c>
      <c r="B324" t="s">
        <v>0</v>
      </c>
      <c r="C324" s="1">
        <v>45405</v>
      </c>
      <c r="D324" t="s">
        <v>27</v>
      </c>
      <c r="E324" t="s">
        <v>12</v>
      </c>
      <c r="F324">
        <v>1</v>
      </c>
      <c r="G324">
        <v>317.06</v>
      </c>
      <c r="H324">
        <v>317.06</v>
      </c>
      <c r="I324">
        <v>47.31</v>
      </c>
      <c r="J324">
        <v>269.75</v>
      </c>
      <c r="K324">
        <v>118</v>
      </c>
      <c r="L324" s="11" t="s">
        <v>116</v>
      </c>
      <c r="M324">
        <f t="shared" si="26"/>
        <v>23</v>
      </c>
      <c r="N324">
        <f t="shared" si="27"/>
        <v>4</v>
      </c>
      <c r="O324">
        <f t="shared" si="28"/>
        <v>2024</v>
      </c>
      <c r="P324" s="4">
        <f t="shared" si="29"/>
        <v>45405</v>
      </c>
      <c r="Q324" t="s">
        <v>1136</v>
      </c>
      <c r="R324" t="s">
        <v>1135</v>
      </c>
      <c r="S324">
        <v>1</v>
      </c>
      <c r="T324" t="s">
        <v>1147</v>
      </c>
      <c r="U324" s="11" t="str">
        <f t="shared" si="25"/>
        <v>11:31:13 PM</v>
      </c>
      <c r="AC324" s="4">
        <v>45490</v>
      </c>
      <c r="AD324" s="25">
        <v>10745.18</v>
      </c>
      <c r="BL324" s="2" t="s">
        <v>1474</v>
      </c>
      <c r="BM324" s="4">
        <v>45478</v>
      </c>
      <c r="BN324" s="25">
        <v>13190.36</v>
      </c>
    </row>
    <row r="325" spans="1:66" x14ac:dyDescent="0.35">
      <c r="A325">
        <v>6238</v>
      </c>
      <c r="B325" t="s">
        <v>13</v>
      </c>
      <c r="C325" s="1">
        <v>45838</v>
      </c>
      <c r="D325" t="s">
        <v>11</v>
      </c>
      <c r="E325" t="s">
        <v>28</v>
      </c>
      <c r="F325">
        <v>3</v>
      </c>
      <c r="G325">
        <v>1967.93</v>
      </c>
      <c r="H325">
        <v>5903.79</v>
      </c>
      <c r="I325">
        <v>1181.0899999999999</v>
      </c>
      <c r="J325">
        <v>4722.7</v>
      </c>
      <c r="K325">
        <v>230</v>
      </c>
      <c r="L325" s="11" t="s">
        <v>117</v>
      </c>
      <c r="M325">
        <f t="shared" si="26"/>
        <v>30</v>
      </c>
      <c r="N325">
        <f t="shared" si="27"/>
        <v>6</v>
      </c>
      <c r="O325">
        <f t="shared" si="28"/>
        <v>2025</v>
      </c>
      <c r="P325" s="4">
        <f t="shared" si="29"/>
        <v>45838</v>
      </c>
      <c r="Q325" t="s">
        <v>1139</v>
      </c>
      <c r="R325" t="s">
        <v>1135</v>
      </c>
      <c r="S325">
        <v>4</v>
      </c>
      <c r="T325" t="s">
        <v>1147</v>
      </c>
      <c r="U325" s="11" t="str">
        <f t="shared" si="25"/>
        <v>07:49:46 PM</v>
      </c>
      <c r="AC325" s="4">
        <v>45491</v>
      </c>
      <c r="AD325" s="25">
        <v>16113.619999999999</v>
      </c>
      <c r="BL325" s="2" t="s">
        <v>1475</v>
      </c>
      <c r="BM325" s="4">
        <v>45479</v>
      </c>
      <c r="BN325" s="25">
        <v>9495.2000000000007</v>
      </c>
    </row>
    <row r="326" spans="1:66" x14ac:dyDescent="0.35">
      <c r="A326">
        <v>9849</v>
      </c>
      <c r="B326" t="s">
        <v>25</v>
      </c>
      <c r="C326" s="1">
        <v>45207</v>
      </c>
      <c r="D326" t="s">
        <v>27</v>
      </c>
      <c r="E326" t="s">
        <v>21</v>
      </c>
      <c r="F326">
        <v>4</v>
      </c>
      <c r="G326">
        <v>529.54</v>
      </c>
      <c r="H326">
        <v>2118.16</v>
      </c>
      <c r="I326">
        <v>339.47</v>
      </c>
      <c r="J326">
        <v>1778.69</v>
      </c>
      <c r="K326">
        <v>299</v>
      </c>
      <c r="L326" s="11" t="s">
        <v>118</v>
      </c>
      <c r="M326">
        <f t="shared" si="26"/>
        <v>8</v>
      </c>
      <c r="N326">
        <f t="shared" si="27"/>
        <v>10</v>
      </c>
      <c r="O326">
        <f t="shared" si="28"/>
        <v>2023</v>
      </c>
      <c r="P326" s="4">
        <f t="shared" si="29"/>
        <v>45207</v>
      </c>
      <c r="Q326" t="s">
        <v>1139</v>
      </c>
      <c r="R326" t="s">
        <v>1135</v>
      </c>
      <c r="S326">
        <v>3</v>
      </c>
      <c r="T326" t="s">
        <v>1141</v>
      </c>
      <c r="U326" s="11" t="str">
        <f t="shared" si="25"/>
        <v>11:17:32 PM</v>
      </c>
      <c r="AC326" s="4">
        <v>45493</v>
      </c>
      <c r="AD326" s="25">
        <v>18725.63</v>
      </c>
      <c r="BL326" s="2" t="s">
        <v>1476</v>
      </c>
      <c r="BM326" s="4">
        <v>45480</v>
      </c>
      <c r="BN326" s="25">
        <v>4543.42</v>
      </c>
    </row>
    <row r="327" spans="1:66" x14ac:dyDescent="0.35">
      <c r="A327">
        <v>3267</v>
      </c>
      <c r="B327" t="s">
        <v>19</v>
      </c>
      <c r="C327" s="1">
        <v>45262</v>
      </c>
      <c r="D327" t="s">
        <v>6</v>
      </c>
      <c r="E327" t="s">
        <v>32</v>
      </c>
      <c r="F327">
        <v>1</v>
      </c>
      <c r="G327">
        <v>727.08</v>
      </c>
      <c r="H327">
        <v>727.08</v>
      </c>
      <c r="I327">
        <v>0</v>
      </c>
      <c r="J327">
        <v>727.08</v>
      </c>
      <c r="K327">
        <v>194</v>
      </c>
      <c r="L327" s="11" t="s">
        <v>119</v>
      </c>
      <c r="M327">
        <f t="shared" si="26"/>
        <v>2</v>
      </c>
      <c r="N327">
        <f t="shared" si="27"/>
        <v>12</v>
      </c>
      <c r="O327">
        <f t="shared" si="28"/>
        <v>2023</v>
      </c>
      <c r="P327" s="4">
        <f t="shared" si="29"/>
        <v>45262</v>
      </c>
      <c r="Q327" t="s">
        <v>1139</v>
      </c>
      <c r="R327" t="s">
        <v>1135</v>
      </c>
      <c r="S327">
        <v>3</v>
      </c>
      <c r="T327" t="s">
        <v>1141</v>
      </c>
      <c r="U327" s="11" t="str">
        <f t="shared" si="25"/>
        <v>03:19:51 PM</v>
      </c>
      <c r="AC327" s="4">
        <v>45494</v>
      </c>
      <c r="AD327" s="25">
        <v>16228.16</v>
      </c>
      <c r="BL327" s="2" t="s">
        <v>1477</v>
      </c>
      <c r="BM327" s="4">
        <v>45481</v>
      </c>
      <c r="BN327" s="25">
        <v>3990.64</v>
      </c>
    </row>
    <row r="328" spans="1:66" x14ac:dyDescent="0.35">
      <c r="A328">
        <v>4788</v>
      </c>
      <c r="B328" t="s">
        <v>13</v>
      </c>
      <c r="C328" s="1">
        <v>45442</v>
      </c>
      <c r="D328" t="s">
        <v>11</v>
      </c>
      <c r="E328" t="s">
        <v>12</v>
      </c>
      <c r="F328">
        <v>1</v>
      </c>
      <c r="G328">
        <v>302.12</v>
      </c>
      <c r="H328">
        <v>302.12</v>
      </c>
      <c r="I328">
        <v>29.88</v>
      </c>
      <c r="J328">
        <v>272.24</v>
      </c>
      <c r="K328">
        <v>482</v>
      </c>
      <c r="L328" s="11" t="s">
        <v>120</v>
      </c>
      <c r="M328">
        <f t="shared" si="26"/>
        <v>30</v>
      </c>
      <c r="N328">
        <f t="shared" si="27"/>
        <v>5</v>
      </c>
      <c r="O328">
        <f t="shared" si="28"/>
        <v>2024</v>
      </c>
      <c r="P328" s="4">
        <f t="shared" si="29"/>
        <v>45442</v>
      </c>
      <c r="Q328" t="s">
        <v>1134</v>
      </c>
      <c r="R328" t="s">
        <v>1137</v>
      </c>
      <c r="S328">
        <v>2</v>
      </c>
      <c r="T328" t="s">
        <v>1146</v>
      </c>
      <c r="U328" s="11" t="str">
        <f t="shared" si="25"/>
        <v>02:21:11 AM</v>
      </c>
      <c r="AC328" s="4">
        <v>45495</v>
      </c>
      <c r="AD328" s="25">
        <v>2064.21</v>
      </c>
      <c r="BL328" s="2" t="s">
        <v>1478</v>
      </c>
      <c r="BM328" s="4">
        <v>45482</v>
      </c>
      <c r="BN328" s="25">
        <v>5868.1</v>
      </c>
    </row>
    <row r="329" spans="1:66" x14ac:dyDescent="0.35">
      <c r="A329">
        <v>3503</v>
      </c>
      <c r="B329" t="s">
        <v>25</v>
      </c>
      <c r="C329" s="1">
        <v>45693</v>
      </c>
      <c r="D329" t="s">
        <v>24</v>
      </c>
      <c r="E329" t="s">
        <v>38</v>
      </c>
      <c r="F329">
        <v>2</v>
      </c>
      <c r="G329">
        <v>292.16000000000003</v>
      </c>
      <c r="H329">
        <v>584.32000000000005</v>
      </c>
      <c r="I329">
        <v>267.26</v>
      </c>
      <c r="J329">
        <v>317.06</v>
      </c>
      <c r="K329">
        <v>220</v>
      </c>
      <c r="L329" s="11" t="s">
        <v>121</v>
      </c>
      <c r="M329">
        <f t="shared" si="26"/>
        <v>5</v>
      </c>
      <c r="N329">
        <f t="shared" si="27"/>
        <v>2</v>
      </c>
      <c r="O329">
        <f t="shared" si="28"/>
        <v>2025</v>
      </c>
      <c r="P329" s="4">
        <f t="shared" si="29"/>
        <v>45693</v>
      </c>
      <c r="Q329" t="s">
        <v>1134</v>
      </c>
      <c r="R329" t="s">
        <v>1137</v>
      </c>
      <c r="S329">
        <v>5</v>
      </c>
      <c r="T329" t="s">
        <v>1144</v>
      </c>
      <c r="U329" s="11" t="str">
        <f t="shared" si="25"/>
        <v>07:26:22 AM</v>
      </c>
      <c r="AC329" s="4">
        <v>45496</v>
      </c>
      <c r="AD329" s="25">
        <v>7826.9</v>
      </c>
      <c r="BL329" s="2" t="s">
        <v>1479</v>
      </c>
      <c r="BM329" s="4">
        <v>45483</v>
      </c>
      <c r="BN329" s="25">
        <v>11129.470000000001</v>
      </c>
    </row>
    <row r="330" spans="1:66" x14ac:dyDescent="0.35">
      <c r="A330">
        <v>4505</v>
      </c>
      <c r="B330" t="s">
        <v>13</v>
      </c>
      <c r="C330" s="1">
        <v>45194</v>
      </c>
      <c r="D330" t="s">
        <v>4</v>
      </c>
      <c r="E330" t="s">
        <v>28</v>
      </c>
      <c r="F330">
        <v>1</v>
      </c>
      <c r="G330">
        <v>933.75</v>
      </c>
      <c r="H330">
        <v>933.75</v>
      </c>
      <c r="I330">
        <v>92.96</v>
      </c>
      <c r="J330">
        <v>840.79</v>
      </c>
      <c r="K330">
        <v>47</v>
      </c>
      <c r="L330" s="11" t="s">
        <v>122</v>
      </c>
      <c r="M330">
        <f t="shared" si="26"/>
        <v>25</v>
      </c>
      <c r="N330">
        <f t="shared" si="27"/>
        <v>9</v>
      </c>
      <c r="O330">
        <f t="shared" si="28"/>
        <v>2023</v>
      </c>
      <c r="P330" s="4">
        <f t="shared" si="29"/>
        <v>45194</v>
      </c>
      <c r="Q330" t="s">
        <v>1136</v>
      </c>
      <c r="R330" t="s">
        <v>1135</v>
      </c>
      <c r="S330">
        <v>5</v>
      </c>
      <c r="T330" t="s">
        <v>1146</v>
      </c>
      <c r="U330" s="11" t="str">
        <f t="shared" si="25"/>
        <v>10:14:02 AM</v>
      </c>
      <c r="AC330" s="4">
        <v>45497</v>
      </c>
      <c r="AD330" s="25">
        <v>8767.2900000000009</v>
      </c>
      <c r="BL330" s="2" t="s">
        <v>1480</v>
      </c>
      <c r="BM330" s="4">
        <v>45484</v>
      </c>
      <c r="BN330" s="25">
        <v>9696.89</v>
      </c>
    </row>
    <row r="331" spans="1:66" x14ac:dyDescent="0.35">
      <c r="A331">
        <v>7797</v>
      </c>
      <c r="B331" t="s">
        <v>20</v>
      </c>
      <c r="C331" s="1">
        <v>45461</v>
      </c>
      <c r="D331" t="s">
        <v>24</v>
      </c>
      <c r="E331" t="s">
        <v>5</v>
      </c>
      <c r="F331">
        <v>4</v>
      </c>
      <c r="G331">
        <v>1957.97</v>
      </c>
      <c r="H331">
        <v>7831.88</v>
      </c>
      <c r="I331">
        <v>255.64</v>
      </c>
      <c r="J331">
        <v>7576.24</v>
      </c>
      <c r="K331">
        <v>371</v>
      </c>
      <c r="L331" s="11" t="s">
        <v>123</v>
      </c>
      <c r="M331">
        <f t="shared" si="26"/>
        <v>18</v>
      </c>
      <c r="N331">
        <f t="shared" si="27"/>
        <v>6</v>
      </c>
      <c r="O331">
        <f t="shared" si="28"/>
        <v>2024</v>
      </c>
      <c r="P331" s="4">
        <f t="shared" si="29"/>
        <v>45461</v>
      </c>
      <c r="Q331" t="s">
        <v>1136</v>
      </c>
      <c r="R331" t="s">
        <v>1135</v>
      </c>
      <c r="S331">
        <v>5</v>
      </c>
      <c r="T331" t="s">
        <v>1143</v>
      </c>
      <c r="U331" s="11" t="str">
        <f t="shared" si="25"/>
        <v>03:04:25 PM</v>
      </c>
      <c r="AC331" s="4">
        <v>45498</v>
      </c>
      <c r="AD331" s="25">
        <v>16729.48</v>
      </c>
      <c r="BL331" s="2" t="s">
        <v>1481</v>
      </c>
      <c r="BM331" s="4">
        <v>45485</v>
      </c>
      <c r="BN331" s="25">
        <v>5486.2999999999993</v>
      </c>
    </row>
    <row r="332" spans="1:66" x14ac:dyDescent="0.35">
      <c r="A332">
        <v>6421</v>
      </c>
      <c r="B332" t="s">
        <v>13</v>
      </c>
      <c r="C332" s="1">
        <v>45566</v>
      </c>
      <c r="D332" t="s">
        <v>23</v>
      </c>
      <c r="E332" t="s">
        <v>30</v>
      </c>
      <c r="F332">
        <v>3</v>
      </c>
      <c r="G332">
        <v>806.76</v>
      </c>
      <c r="H332">
        <v>2420.2800000000002</v>
      </c>
      <c r="I332">
        <v>138.61000000000001</v>
      </c>
      <c r="J332">
        <v>2281.67</v>
      </c>
      <c r="K332">
        <v>252</v>
      </c>
      <c r="L332" s="11" t="s">
        <v>124</v>
      </c>
      <c r="M332">
        <f t="shared" si="26"/>
        <v>1</v>
      </c>
      <c r="N332">
        <f t="shared" si="27"/>
        <v>10</v>
      </c>
      <c r="O332">
        <f t="shared" si="28"/>
        <v>2024</v>
      </c>
      <c r="P332" s="4">
        <f t="shared" si="29"/>
        <v>45566</v>
      </c>
      <c r="Q332" t="s">
        <v>1138</v>
      </c>
      <c r="R332" t="s">
        <v>1137</v>
      </c>
      <c r="S332">
        <v>4</v>
      </c>
      <c r="T332" t="s">
        <v>1145</v>
      </c>
      <c r="U332" s="11" t="str">
        <f t="shared" si="25"/>
        <v>11:37:28 PM</v>
      </c>
      <c r="AC332" s="4">
        <v>45499</v>
      </c>
      <c r="AD332" s="25">
        <v>8666.0300000000007</v>
      </c>
      <c r="BL332" s="2" t="s">
        <v>1482</v>
      </c>
      <c r="BM332" s="4">
        <v>45486</v>
      </c>
      <c r="BN332" s="25">
        <v>27673.859999999997</v>
      </c>
    </row>
    <row r="333" spans="1:66" x14ac:dyDescent="0.35">
      <c r="A333">
        <v>8633</v>
      </c>
      <c r="B333" t="s">
        <v>19</v>
      </c>
      <c r="C333" s="1">
        <v>45467</v>
      </c>
      <c r="D333" t="s">
        <v>9</v>
      </c>
      <c r="E333" t="s">
        <v>26</v>
      </c>
      <c r="F333">
        <v>4</v>
      </c>
      <c r="G333">
        <v>1966.27</v>
      </c>
      <c r="H333">
        <v>7865.08</v>
      </c>
      <c r="I333">
        <v>1572.85</v>
      </c>
      <c r="J333">
        <v>6292.23</v>
      </c>
      <c r="K333">
        <v>184</v>
      </c>
      <c r="L333" s="11" t="s">
        <v>125</v>
      </c>
      <c r="M333">
        <f t="shared" si="26"/>
        <v>24</v>
      </c>
      <c r="N333">
        <f t="shared" si="27"/>
        <v>6</v>
      </c>
      <c r="O333">
        <f t="shared" si="28"/>
        <v>2024</v>
      </c>
      <c r="P333" s="4">
        <f t="shared" si="29"/>
        <v>45467</v>
      </c>
      <c r="Q333" t="s">
        <v>1138</v>
      </c>
      <c r="R333" t="s">
        <v>1137</v>
      </c>
      <c r="S333">
        <v>5</v>
      </c>
      <c r="T333" t="s">
        <v>1150</v>
      </c>
      <c r="U333" s="11" t="str">
        <f t="shared" si="25"/>
        <v>04:07:42 AM</v>
      </c>
      <c r="AC333" s="4">
        <v>45500</v>
      </c>
      <c r="AD333" s="25">
        <v>17636.669999999998</v>
      </c>
      <c r="BL333" s="2" t="s">
        <v>1483</v>
      </c>
      <c r="BM333" s="4">
        <v>45487</v>
      </c>
      <c r="BN333" s="25">
        <v>18502.36</v>
      </c>
    </row>
    <row r="334" spans="1:66" x14ac:dyDescent="0.35">
      <c r="A334">
        <v>2020</v>
      </c>
      <c r="B334" t="s">
        <v>15</v>
      </c>
      <c r="C334" s="1">
        <v>45305</v>
      </c>
      <c r="D334" t="s">
        <v>17</v>
      </c>
      <c r="E334" t="s">
        <v>33</v>
      </c>
      <c r="F334">
        <v>4</v>
      </c>
      <c r="G334">
        <v>339.47</v>
      </c>
      <c r="H334">
        <v>1357.88</v>
      </c>
      <c r="I334">
        <v>136.12</v>
      </c>
      <c r="J334">
        <v>1221.76</v>
      </c>
      <c r="K334">
        <v>155</v>
      </c>
      <c r="L334" s="11" t="s">
        <v>126</v>
      </c>
      <c r="M334">
        <f t="shared" si="26"/>
        <v>14</v>
      </c>
      <c r="N334">
        <f t="shared" si="27"/>
        <v>1</v>
      </c>
      <c r="O334">
        <f t="shared" si="28"/>
        <v>2024</v>
      </c>
      <c r="P334" s="4">
        <f t="shared" si="29"/>
        <v>45305</v>
      </c>
      <c r="Q334" t="s">
        <v>1136</v>
      </c>
      <c r="R334" t="s">
        <v>1135</v>
      </c>
      <c r="S334">
        <v>3</v>
      </c>
      <c r="T334" t="s">
        <v>1141</v>
      </c>
      <c r="U334" s="11" t="str">
        <f t="shared" si="25"/>
        <v>06:50:31 PM</v>
      </c>
      <c r="AC334" s="4">
        <v>45501</v>
      </c>
      <c r="AD334" s="25">
        <v>6816.79</v>
      </c>
      <c r="BL334" s="2" t="s">
        <v>1484</v>
      </c>
      <c r="BM334" s="4">
        <v>45488</v>
      </c>
      <c r="BN334" s="25">
        <v>15745.93</v>
      </c>
    </row>
    <row r="335" spans="1:66" x14ac:dyDescent="0.35">
      <c r="A335">
        <v>7883</v>
      </c>
      <c r="B335" t="s">
        <v>25</v>
      </c>
      <c r="C335" s="1">
        <v>45447</v>
      </c>
      <c r="D335" t="s">
        <v>17</v>
      </c>
      <c r="E335" t="s">
        <v>21</v>
      </c>
      <c r="F335">
        <v>3</v>
      </c>
      <c r="G335">
        <v>1142.08</v>
      </c>
      <c r="H335">
        <v>3426.24</v>
      </c>
      <c r="I335">
        <v>513.77</v>
      </c>
      <c r="J335">
        <v>2912.47</v>
      </c>
      <c r="K335">
        <v>220</v>
      </c>
      <c r="L335" s="11" t="s">
        <v>127</v>
      </c>
      <c r="M335">
        <f t="shared" si="26"/>
        <v>4</v>
      </c>
      <c r="N335">
        <f t="shared" si="27"/>
        <v>6</v>
      </c>
      <c r="O335">
        <f t="shared" si="28"/>
        <v>2024</v>
      </c>
      <c r="P335" s="4">
        <f t="shared" si="29"/>
        <v>45447</v>
      </c>
      <c r="Q335" t="s">
        <v>1134</v>
      </c>
      <c r="R335" t="s">
        <v>1135</v>
      </c>
      <c r="S335">
        <v>4</v>
      </c>
      <c r="T335" t="s">
        <v>1144</v>
      </c>
      <c r="U335" s="11" t="str">
        <f t="shared" si="25"/>
        <v>02:44:10 AM</v>
      </c>
      <c r="AC335" s="4">
        <v>45502</v>
      </c>
      <c r="AD335" s="25">
        <v>3278.5</v>
      </c>
      <c r="BL335" s="2" t="s">
        <v>1485</v>
      </c>
      <c r="BM335" s="4">
        <v>45489</v>
      </c>
      <c r="BN335" s="25">
        <v>4894.51</v>
      </c>
    </row>
    <row r="336" spans="1:66" x14ac:dyDescent="0.35">
      <c r="A336">
        <v>1320</v>
      </c>
      <c r="B336" t="s">
        <v>25</v>
      </c>
      <c r="C336" s="1">
        <v>45810</v>
      </c>
      <c r="D336" t="s">
        <v>17</v>
      </c>
      <c r="E336" t="s">
        <v>33</v>
      </c>
      <c r="F336">
        <v>4</v>
      </c>
      <c r="G336">
        <v>838.3</v>
      </c>
      <c r="H336">
        <v>3353.2</v>
      </c>
      <c r="I336">
        <v>502.98</v>
      </c>
      <c r="J336">
        <v>2850.22</v>
      </c>
      <c r="K336">
        <v>493</v>
      </c>
      <c r="L336" s="11" t="s">
        <v>128</v>
      </c>
      <c r="M336">
        <f t="shared" si="26"/>
        <v>2</v>
      </c>
      <c r="N336">
        <f t="shared" si="27"/>
        <v>6</v>
      </c>
      <c r="O336">
        <f t="shared" si="28"/>
        <v>2025</v>
      </c>
      <c r="P336" s="4">
        <f t="shared" si="29"/>
        <v>45810</v>
      </c>
      <c r="Q336" t="s">
        <v>1139</v>
      </c>
      <c r="R336" t="s">
        <v>1135</v>
      </c>
      <c r="S336">
        <v>1</v>
      </c>
      <c r="T336" t="s">
        <v>1150</v>
      </c>
      <c r="U336" s="11" t="str">
        <f t="shared" si="25"/>
        <v>10:09:48 PM</v>
      </c>
      <c r="AC336" s="4">
        <v>45503</v>
      </c>
      <c r="AD336" s="25">
        <v>20116.71</v>
      </c>
      <c r="BL336" s="2" t="s">
        <v>1486</v>
      </c>
      <c r="BM336" s="4">
        <v>45490</v>
      </c>
      <c r="BN336" s="25">
        <v>10745.18</v>
      </c>
    </row>
    <row r="337" spans="1:66" x14ac:dyDescent="0.35">
      <c r="A337">
        <v>7232</v>
      </c>
      <c r="B337" t="s">
        <v>19</v>
      </c>
      <c r="C337" s="1">
        <v>45515</v>
      </c>
      <c r="D337" t="s">
        <v>16</v>
      </c>
      <c r="E337" t="s">
        <v>37</v>
      </c>
      <c r="F337">
        <v>5</v>
      </c>
      <c r="G337">
        <v>1964.61</v>
      </c>
      <c r="H337">
        <v>9823.0499999999993</v>
      </c>
      <c r="I337">
        <v>1473.25</v>
      </c>
      <c r="J337">
        <v>8349.7999999999993</v>
      </c>
      <c r="K337">
        <v>166</v>
      </c>
      <c r="L337" s="11" t="s">
        <v>129</v>
      </c>
      <c r="M337">
        <f t="shared" si="26"/>
        <v>11</v>
      </c>
      <c r="N337">
        <f t="shared" si="27"/>
        <v>8</v>
      </c>
      <c r="O337">
        <f t="shared" si="28"/>
        <v>2024</v>
      </c>
      <c r="P337" s="4">
        <f t="shared" si="29"/>
        <v>45515</v>
      </c>
      <c r="Q337" t="s">
        <v>1136</v>
      </c>
      <c r="R337" t="s">
        <v>1135</v>
      </c>
      <c r="S337">
        <v>5</v>
      </c>
      <c r="T337" t="s">
        <v>1143</v>
      </c>
      <c r="U337" s="11" t="str">
        <f t="shared" si="25"/>
        <v>09:01:51 PM</v>
      </c>
      <c r="AC337" s="4">
        <v>45504</v>
      </c>
      <c r="AD337" s="25">
        <v>366.86</v>
      </c>
      <c r="BL337" s="2" t="s">
        <v>1487</v>
      </c>
      <c r="BM337" s="4">
        <v>45491</v>
      </c>
      <c r="BN337" s="25">
        <v>16113.619999999999</v>
      </c>
    </row>
    <row r="338" spans="1:66" x14ac:dyDescent="0.35">
      <c r="A338">
        <v>1096</v>
      </c>
      <c r="B338" t="s">
        <v>13</v>
      </c>
      <c r="C338" s="1">
        <v>45418</v>
      </c>
      <c r="D338" t="s">
        <v>11</v>
      </c>
      <c r="E338" t="s">
        <v>38</v>
      </c>
      <c r="F338">
        <v>5</v>
      </c>
      <c r="G338">
        <v>562.74</v>
      </c>
      <c r="H338">
        <v>2813.7</v>
      </c>
      <c r="I338">
        <v>0</v>
      </c>
      <c r="J338">
        <v>2813.7</v>
      </c>
      <c r="K338">
        <v>279</v>
      </c>
      <c r="L338" s="11" t="s">
        <v>130</v>
      </c>
      <c r="M338">
        <f t="shared" si="26"/>
        <v>6</v>
      </c>
      <c r="N338">
        <f t="shared" si="27"/>
        <v>5</v>
      </c>
      <c r="O338">
        <f t="shared" si="28"/>
        <v>2024</v>
      </c>
      <c r="P338" s="4">
        <f t="shared" si="29"/>
        <v>45418</v>
      </c>
      <c r="Q338" t="s">
        <v>1138</v>
      </c>
      <c r="R338" t="s">
        <v>1137</v>
      </c>
      <c r="S338">
        <v>5</v>
      </c>
      <c r="T338" t="s">
        <v>1145</v>
      </c>
      <c r="U338" s="11" t="str">
        <f t="shared" si="25"/>
        <v>11:35:43 PM</v>
      </c>
      <c r="AC338" s="4">
        <v>45505</v>
      </c>
      <c r="AD338" s="25">
        <v>15965.05</v>
      </c>
      <c r="BL338" s="2" t="s">
        <v>1488</v>
      </c>
      <c r="BM338" s="4">
        <v>45493</v>
      </c>
      <c r="BN338" s="25">
        <v>18725.63</v>
      </c>
    </row>
    <row r="339" spans="1:66" x14ac:dyDescent="0.35">
      <c r="A339">
        <v>5892</v>
      </c>
      <c r="B339" t="s">
        <v>3</v>
      </c>
      <c r="C339" s="1">
        <v>45730</v>
      </c>
      <c r="D339" t="s">
        <v>1</v>
      </c>
      <c r="E339" t="s">
        <v>22</v>
      </c>
      <c r="F339">
        <v>2</v>
      </c>
      <c r="G339">
        <v>1137.93</v>
      </c>
      <c r="H339">
        <v>2275.86</v>
      </c>
      <c r="I339">
        <v>227.42</v>
      </c>
      <c r="J339">
        <v>2048.44</v>
      </c>
      <c r="K339">
        <v>149</v>
      </c>
      <c r="L339" s="11" t="s">
        <v>131</v>
      </c>
      <c r="M339">
        <f t="shared" si="26"/>
        <v>14</v>
      </c>
      <c r="N339">
        <f t="shared" si="27"/>
        <v>3</v>
      </c>
      <c r="O339">
        <f t="shared" si="28"/>
        <v>2025</v>
      </c>
      <c r="P339" s="4">
        <f t="shared" si="29"/>
        <v>45730</v>
      </c>
      <c r="Q339" t="s">
        <v>1134</v>
      </c>
      <c r="R339" t="s">
        <v>1135</v>
      </c>
      <c r="S339">
        <v>1</v>
      </c>
      <c r="T339" t="s">
        <v>1149</v>
      </c>
      <c r="U339" s="11" t="str">
        <f t="shared" si="25"/>
        <v>05:57:58 PM</v>
      </c>
      <c r="AC339" s="4">
        <v>45506</v>
      </c>
      <c r="AD339" s="25">
        <v>22454.82</v>
      </c>
      <c r="BL339" s="2" t="s">
        <v>1489</v>
      </c>
      <c r="BM339" s="4">
        <v>45494</v>
      </c>
      <c r="BN339" s="25">
        <v>16228.16</v>
      </c>
    </row>
    <row r="340" spans="1:66" x14ac:dyDescent="0.35">
      <c r="A340">
        <v>7389</v>
      </c>
      <c r="B340" t="s">
        <v>15</v>
      </c>
      <c r="C340" s="1">
        <v>45807</v>
      </c>
      <c r="D340" t="s">
        <v>23</v>
      </c>
      <c r="E340" t="s">
        <v>26</v>
      </c>
      <c r="F340">
        <v>2</v>
      </c>
      <c r="G340">
        <v>690.56</v>
      </c>
      <c r="H340">
        <v>1381.12</v>
      </c>
      <c r="I340">
        <v>137.78</v>
      </c>
      <c r="J340">
        <v>1243.3399999999999</v>
      </c>
      <c r="K340">
        <v>78</v>
      </c>
      <c r="L340" s="11" t="s">
        <v>132</v>
      </c>
      <c r="M340">
        <f t="shared" si="26"/>
        <v>30</v>
      </c>
      <c r="N340">
        <f t="shared" si="27"/>
        <v>5</v>
      </c>
      <c r="O340">
        <f t="shared" si="28"/>
        <v>2025</v>
      </c>
      <c r="P340" s="4">
        <f t="shared" si="29"/>
        <v>45807</v>
      </c>
      <c r="Q340" t="s">
        <v>1136</v>
      </c>
      <c r="R340" t="s">
        <v>1135</v>
      </c>
      <c r="S340">
        <v>5</v>
      </c>
      <c r="T340" t="s">
        <v>1146</v>
      </c>
      <c r="U340" s="11" t="str">
        <f t="shared" si="25"/>
        <v>09:20:46 PM</v>
      </c>
      <c r="AC340" s="4">
        <v>45507</v>
      </c>
      <c r="AD340" s="25">
        <v>2412.81</v>
      </c>
      <c r="BL340" s="2" t="s">
        <v>1490</v>
      </c>
      <c r="BM340" s="4">
        <v>45495</v>
      </c>
      <c r="BN340" s="25">
        <v>2064.21</v>
      </c>
    </row>
    <row r="341" spans="1:66" x14ac:dyDescent="0.35">
      <c r="A341">
        <v>7865</v>
      </c>
      <c r="B341" t="s">
        <v>0</v>
      </c>
      <c r="C341" s="1">
        <v>45563</v>
      </c>
      <c r="D341" t="s">
        <v>34</v>
      </c>
      <c r="E341" t="s">
        <v>37</v>
      </c>
      <c r="F341">
        <v>5</v>
      </c>
      <c r="G341">
        <v>1046.6300000000001</v>
      </c>
      <c r="H341">
        <v>5233.1499999999996</v>
      </c>
      <c r="I341">
        <v>95.45</v>
      </c>
      <c r="J341">
        <v>5137.7</v>
      </c>
      <c r="K341">
        <v>259</v>
      </c>
      <c r="L341" s="11" t="s">
        <v>133</v>
      </c>
      <c r="M341">
        <f t="shared" si="26"/>
        <v>28</v>
      </c>
      <c r="N341">
        <f t="shared" si="27"/>
        <v>9</v>
      </c>
      <c r="O341">
        <f t="shared" si="28"/>
        <v>2024</v>
      </c>
      <c r="P341" s="4">
        <f t="shared" si="29"/>
        <v>45563</v>
      </c>
      <c r="Q341" t="s">
        <v>1136</v>
      </c>
      <c r="R341" t="s">
        <v>1135</v>
      </c>
      <c r="S341">
        <v>1</v>
      </c>
      <c r="T341" t="s">
        <v>1143</v>
      </c>
      <c r="U341" s="11" t="str">
        <f t="shared" si="25"/>
        <v>03:30:54 PM</v>
      </c>
      <c r="AC341" s="4">
        <v>45508</v>
      </c>
      <c r="AD341" s="25">
        <v>9480.26</v>
      </c>
      <c r="BL341" s="2" t="s">
        <v>1491</v>
      </c>
      <c r="BM341" s="4">
        <v>45496</v>
      </c>
      <c r="BN341" s="25">
        <v>7826.9</v>
      </c>
    </row>
    <row r="342" spans="1:66" x14ac:dyDescent="0.35">
      <c r="A342">
        <v>9947</v>
      </c>
      <c r="B342" t="s">
        <v>25</v>
      </c>
      <c r="C342" s="1">
        <v>45766</v>
      </c>
      <c r="D342" t="s">
        <v>27</v>
      </c>
      <c r="E342" t="s">
        <v>32</v>
      </c>
      <c r="F342">
        <v>1</v>
      </c>
      <c r="G342">
        <v>1933.07</v>
      </c>
      <c r="H342">
        <v>1933.07</v>
      </c>
      <c r="I342">
        <v>386.78</v>
      </c>
      <c r="J342">
        <v>1546.29</v>
      </c>
      <c r="K342">
        <v>336</v>
      </c>
      <c r="L342" s="11" t="s">
        <v>134</v>
      </c>
      <c r="M342">
        <f t="shared" si="26"/>
        <v>19</v>
      </c>
      <c r="N342">
        <f t="shared" si="27"/>
        <v>4</v>
      </c>
      <c r="O342">
        <f t="shared" si="28"/>
        <v>2025</v>
      </c>
      <c r="P342" s="4">
        <f t="shared" si="29"/>
        <v>45766</v>
      </c>
      <c r="Q342" t="s">
        <v>1134</v>
      </c>
      <c r="R342" t="s">
        <v>1135</v>
      </c>
      <c r="S342">
        <v>4</v>
      </c>
      <c r="T342" t="s">
        <v>1147</v>
      </c>
      <c r="U342" s="11" t="str">
        <f t="shared" si="25"/>
        <v>12:31:54 AM</v>
      </c>
      <c r="AC342" s="4">
        <v>45509</v>
      </c>
      <c r="AD342" s="25">
        <v>16658.099999999999</v>
      </c>
      <c r="BL342" s="2" t="s">
        <v>1492</v>
      </c>
      <c r="BM342" s="4">
        <v>45497</v>
      </c>
      <c r="BN342" s="25">
        <v>8767.2900000000009</v>
      </c>
    </row>
    <row r="343" spans="1:66" x14ac:dyDescent="0.35">
      <c r="A343">
        <v>4613</v>
      </c>
      <c r="B343" t="s">
        <v>20</v>
      </c>
      <c r="C343" s="1">
        <v>45524</v>
      </c>
      <c r="D343" t="s">
        <v>17</v>
      </c>
      <c r="E343" t="s">
        <v>21</v>
      </c>
      <c r="F343">
        <v>3</v>
      </c>
      <c r="G343">
        <v>2407</v>
      </c>
      <c r="H343">
        <v>7221</v>
      </c>
      <c r="I343">
        <v>115.37</v>
      </c>
      <c r="J343">
        <v>7105.63</v>
      </c>
      <c r="K343">
        <v>220</v>
      </c>
      <c r="L343" s="11" t="s">
        <v>135</v>
      </c>
      <c r="M343">
        <f t="shared" si="26"/>
        <v>20</v>
      </c>
      <c r="N343">
        <f t="shared" si="27"/>
        <v>8</v>
      </c>
      <c r="O343">
        <f t="shared" si="28"/>
        <v>2024</v>
      </c>
      <c r="P343" s="4">
        <f t="shared" si="29"/>
        <v>45524</v>
      </c>
      <c r="Q343" t="s">
        <v>1136</v>
      </c>
      <c r="R343" t="s">
        <v>1137</v>
      </c>
      <c r="S343">
        <v>3</v>
      </c>
      <c r="T343" t="s">
        <v>1146</v>
      </c>
      <c r="U343" s="11" t="str">
        <f t="shared" si="25"/>
        <v>06:10:46 AM</v>
      </c>
      <c r="AC343" s="4">
        <v>45510</v>
      </c>
      <c r="AD343" s="25">
        <v>8392.9599999999991</v>
      </c>
      <c r="BL343" s="2" t="s">
        <v>1493</v>
      </c>
      <c r="BM343" s="4">
        <v>45498</v>
      </c>
      <c r="BN343" s="25">
        <v>16729.48</v>
      </c>
    </row>
    <row r="344" spans="1:66" x14ac:dyDescent="0.35">
      <c r="A344">
        <v>4595</v>
      </c>
      <c r="B344" t="s">
        <v>31</v>
      </c>
      <c r="C344" s="1">
        <v>45356</v>
      </c>
      <c r="D344" t="s">
        <v>27</v>
      </c>
      <c r="E344" t="s">
        <v>36</v>
      </c>
      <c r="F344">
        <v>5</v>
      </c>
      <c r="G344">
        <v>1479.89</v>
      </c>
      <c r="H344">
        <v>7399.45</v>
      </c>
      <c r="I344">
        <v>740.36</v>
      </c>
      <c r="J344">
        <v>6659.09</v>
      </c>
      <c r="K344">
        <v>294</v>
      </c>
      <c r="L344" s="11" t="s">
        <v>136</v>
      </c>
      <c r="M344">
        <f t="shared" si="26"/>
        <v>5</v>
      </c>
      <c r="N344">
        <f t="shared" si="27"/>
        <v>3</v>
      </c>
      <c r="O344">
        <f t="shared" si="28"/>
        <v>2024</v>
      </c>
      <c r="P344" s="4">
        <f t="shared" si="29"/>
        <v>45356</v>
      </c>
      <c r="Q344" t="s">
        <v>1134</v>
      </c>
      <c r="R344" t="s">
        <v>1137</v>
      </c>
      <c r="S344">
        <v>1</v>
      </c>
      <c r="T344" t="s">
        <v>1142</v>
      </c>
      <c r="U344" s="11" t="str">
        <f t="shared" si="25"/>
        <v>04:58:02 AM</v>
      </c>
      <c r="AC344" s="4">
        <v>45511</v>
      </c>
      <c r="AD344" s="25">
        <v>13708.28</v>
      </c>
      <c r="BL344" s="2" t="s">
        <v>1494</v>
      </c>
      <c r="BM344" s="4">
        <v>45499</v>
      </c>
      <c r="BN344" s="25">
        <v>8666.0300000000007</v>
      </c>
    </row>
    <row r="345" spans="1:66" x14ac:dyDescent="0.35">
      <c r="A345">
        <v>8140</v>
      </c>
      <c r="B345" t="s">
        <v>25</v>
      </c>
      <c r="C345" s="1">
        <v>45522</v>
      </c>
      <c r="D345" t="s">
        <v>9</v>
      </c>
      <c r="E345" t="s">
        <v>22</v>
      </c>
      <c r="F345">
        <v>5</v>
      </c>
      <c r="G345">
        <v>1743.83</v>
      </c>
      <c r="H345">
        <v>8719.15</v>
      </c>
      <c r="I345">
        <v>243.19</v>
      </c>
      <c r="J345">
        <v>8475.9599999999991</v>
      </c>
      <c r="K345">
        <v>77</v>
      </c>
      <c r="L345" s="11" t="s">
        <v>137</v>
      </c>
      <c r="M345">
        <f t="shared" si="26"/>
        <v>18</v>
      </c>
      <c r="N345">
        <f t="shared" si="27"/>
        <v>8</v>
      </c>
      <c r="O345">
        <f t="shared" si="28"/>
        <v>2024</v>
      </c>
      <c r="P345" s="4">
        <f t="shared" si="29"/>
        <v>45522</v>
      </c>
      <c r="Q345" t="s">
        <v>1139</v>
      </c>
      <c r="R345" t="s">
        <v>1137</v>
      </c>
      <c r="S345">
        <v>2</v>
      </c>
      <c r="T345" t="s">
        <v>1146</v>
      </c>
      <c r="U345" s="11" t="str">
        <f t="shared" si="25"/>
        <v>02:08:20 AM</v>
      </c>
      <c r="AC345" s="4">
        <v>45512</v>
      </c>
      <c r="AD345" s="25">
        <v>12575.33</v>
      </c>
      <c r="BL345" s="2" t="s">
        <v>1495</v>
      </c>
      <c r="BM345" s="4">
        <v>45500</v>
      </c>
      <c r="BN345" s="25">
        <v>17636.669999999998</v>
      </c>
    </row>
    <row r="346" spans="1:66" x14ac:dyDescent="0.35">
      <c r="A346">
        <v>1475</v>
      </c>
      <c r="B346" t="s">
        <v>19</v>
      </c>
      <c r="C346" s="1">
        <v>45447</v>
      </c>
      <c r="D346" t="s">
        <v>9</v>
      </c>
      <c r="E346" t="s">
        <v>32</v>
      </c>
      <c r="F346">
        <v>1</v>
      </c>
      <c r="G346">
        <v>2083.3000000000002</v>
      </c>
      <c r="H346">
        <v>2083.3000000000002</v>
      </c>
      <c r="I346">
        <v>312.91000000000003</v>
      </c>
      <c r="J346">
        <v>1770.39</v>
      </c>
      <c r="K346">
        <v>373</v>
      </c>
      <c r="L346" s="11" t="s">
        <v>138</v>
      </c>
      <c r="M346">
        <f t="shared" si="26"/>
        <v>4</v>
      </c>
      <c r="N346">
        <f t="shared" si="27"/>
        <v>6</v>
      </c>
      <c r="O346">
        <f t="shared" si="28"/>
        <v>2024</v>
      </c>
      <c r="P346" s="4">
        <f t="shared" si="29"/>
        <v>45447</v>
      </c>
      <c r="Q346" t="s">
        <v>1134</v>
      </c>
      <c r="R346" t="s">
        <v>1135</v>
      </c>
      <c r="S346">
        <v>1</v>
      </c>
      <c r="T346" t="s">
        <v>1143</v>
      </c>
      <c r="U346" s="11" t="str">
        <f t="shared" si="25"/>
        <v>11:57:26 AM</v>
      </c>
      <c r="AC346" s="4">
        <v>45513</v>
      </c>
      <c r="AD346" s="25">
        <v>9090.16</v>
      </c>
      <c r="BL346" s="2" t="s">
        <v>1496</v>
      </c>
      <c r="BM346" s="4">
        <v>45501</v>
      </c>
      <c r="BN346" s="25">
        <v>6816.79</v>
      </c>
    </row>
    <row r="347" spans="1:66" x14ac:dyDescent="0.35">
      <c r="A347">
        <v>6507</v>
      </c>
      <c r="B347" t="s">
        <v>19</v>
      </c>
      <c r="C347" s="1">
        <v>45664</v>
      </c>
      <c r="D347" t="s">
        <v>11</v>
      </c>
      <c r="E347" t="s">
        <v>22</v>
      </c>
      <c r="F347">
        <v>2</v>
      </c>
      <c r="G347">
        <v>1336.3</v>
      </c>
      <c r="H347">
        <v>2672.6</v>
      </c>
      <c r="I347">
        <v>228.25</v>
      </c>
      <c r="J347">
        <v>2444.35</v>
      </c>
      <c r="K347">
        <v>178</v>
      </c>
      <c r="L347" s="11" t="s">
        <v>139</v>
      </c>
      <c r="M347">
        <f t="shared" si="26"/>
        <v>7</v>
      </c>
      <c r="N347">
        <f t="shared" si="27"/>
        <v>1</v>
      </c>
      <c r="O347">
        <f t="shared" si="28"/>
        <v>2025</v>
      </c>
      <c r="P347" s="4">
        <f t="shared" si="29"/>
        <v>45664</v>
      </c>
      <c r="Q347" t="s">
        <v>1134</v>
      </c>
      <c r="R347" t="s">
        <v>1135</v>
      </c>
      <c r="S347">
        <v>5</v>
      </c>
      <c r="T347" t="s">
        <v>1141</v>
      </c>
      <c r="U347" s="11" t="str">
        <f t="shared" si="25"/>
        <v>05:55:30 AM</v>
      </c>
      <c r="AC347" s="4">
        <v>45514</v>
      </c>
      <c r="AD347" s="25">
        <v>7475.8099999999995</v>
      </c>
      <c r="BL347" s="2" t="s">
        <v>1497</v>
      </c>
      <c r="BM347" s="4">
        <v>45502</v>
      </c>
      <c r="BN347" s="25">
        <v>3278.5</v>
      </c>
    </row>
    <row r="348" spans="1:66" x14ac:dyDescent="0.35">
      <c r="A348">
        <v>7624</v>
      </c>
      <c r="B348" t="s">
        <v>15</v>
      </c>
      <c r="C348" s="1">
        <v>45707</v>
      </c>
      <c r="D348" t="s">
        <v>11</v>
      </c>
      <c r="E348" t="s">
        <v>32</v>
      </c>
      <c r="F348">
        <v>3</v>
      </c>
      <c r="G348">
        <v>190.07</v>
      </c>
      <c r="H348">
        <v>570.21</v>
      </c>
      <c r="I348">
        <v>365.2</v>
      </c>
      <c r="J348">
        <v>205.01</v>
      </c>
      <c r="K348">
        <v>363</v>
      </c>
      <c r="L348" s="11" t="s">
        <v>140</v>
      </c>
      <c r="M348">
        <f t="shared" si="26"/>
        <v>19</v>
      </c>
      <c r="N348">
        <f t="shared" si="27"/>
        <v>2</v>
      </c>
      <c r="O348">
        <f t="shared" si="28"/>
        <v>2025</v>
      </c>
      <c r="P348" s="4">
        <f t="shared" si="29"/>
        <v>45707</v>
      </c>
      <c r="Q348" t="s">
        <v>1134</v>
      </c>
      <c r="R348" t="s">
        <v>1137</v>
      </c>
      <c r="S348">
        <v>4</v>
      </c>
      <c r="T348" t="s">
        <v>1145</v>
      </c>
      <c r="U348" s="11" t="str">
        <f t="shared" si="25"/>
        <v>05:53:26 PM</v>
      </c>
      <c r="AC348" s="4">
        <v>45515</v>
      </c>
      <c r="AD348" s="25">
        <v>9669.5</v>
      </c>
      <c r="BL348" s="2" t="s">
        <v>1498</v>
      </c>
      <c r="BM348" s="4">
        <v>45503</v>
      </c>
      <c r="BN348" s="25">
        <v>20116.71</v>
      </c>
    </row>
    <row r="349" spans="1:66" x14ac:dyDescent="0.35">
      <c r="A349">
        <v>3704</v>
      </c>
      <c r="B349" t="s">
        <v>0</v>
      </c>
      <c r="C349" s="1">
        <v>45797</v>
      </c>
      <c r="D349" t="s">
        <v>16</v>
      </c>
      <c r="E349" t="s">
        <v>18</v>
      </c>
      <c r="F349">
        <v>2</v>
      </c>
      <c r="G349">
        <v>1323.85</v>
      </c>
      <c r="H349">
        <v>2647.7</v>
      </c>
      <c r="I349">
        <v>396.74</v>
      </c>
      <c r="J349">
        <v>2250.96</v>
      </c>
      <c r="K349">
        <v>282</v>
      </c>
      <c r="L349" s="11" t="s">
        <v>141</v>
      </c>
      <c r="M349">
        <f t="shared" si="26"/>
        <v>20</v>
      </c>
      <c r="N349">
        <f t="shared" si="27"/>
        <v>5</v>
      </c>
      <c r="O349">
        <f t="shared" si="28"/>
        <v>2025</v>
      </c>
      <c r="P349" s="4">
        <f t="shared" si="29"/>
        <v>45797</v>
      </c>
      <c r="Q349" t="s">
        <v>1136</v>
      </c>
      <c r="R349" t="s">
        <v>1135</v>
      </c>
      <c r="S349">
        <v>4</v>
      </c>
      <c r="T349" t="s">
        <v>1143</v>
      </c>
      <c r="U349" s="11" t="str">
        <f t="shared" si="25"/>
        <v>01:25:00 AM</v>
      </c>
      <c r="AC349" s="4">
        <v>45516</v>
      </c>
      <c r="AD349" s="25">
        <v>1466.61</v>
      </c>
      <c r="BL349" s="2" t="s">
        <v>1499</v>
      </c>
      <c r="BM349" s="4">
        <v>45504</v>
      </c>
      <c r="BN349" s="25">
        <v>366.86</v>
      </c>
    </row>
    <row r="350" spans="1:66" x14ac:dyDescent="0.35">
      <c r="A350">
        <v>8657</v>
      </c>
      <c r="B350" t="s">
        <v>3</v>
      </c>
      <c r="C350" s="1">
        <v>45859</v>
      </c>
      <c r="D350" t="s">
        <v>9</v>
      </c>
      <c r="E350" t="s">
        <v>22</v>
      </c>
      <c r="F350">
        <v>2</v>
      </c>
      <c r="G350">
        <v>2001.96</v>
      </c>
      <c r="H350">
        <v>4003.92</v>
      </c>
      <c r="I350">
        <v>800.95</v>
      </c>
      <c r="J350">
        <v>3202.97</v>
      </c>
      <c r="K350">
        <v>322</v>
      </c>
      <c r="L350" s="11" t="s">
        <v>142</v>
      </c>
      <c r="M350">
        <f t="shared" si="26"/>
        <v>21</v>
      </c>
      <c r="N350">
        <f t="shared" si="27"/>
        <v>7</v>
      </c>
      <c r="O350">
        <f t="shared" si="28"/>
        <v>2025</v>
      </c>
      <c r="P350" s="4">
        <f t="shared" si="29"/>
        <v>45859</v>
      </c>
      <c r="Q350" t="s">
        <v>1136</v>
      </c>
      <c r="R350" t="s">
        <v>1135</v>
      </c>
      <c r="S350">
        <v>1</v>
      </c>
      <c r="T350" t="s">
        <v>1141</v>
      </c>
      <c r="U350" s="11" t="str">
        <f t="shared" si="25"/>
        <v>02:06:01 PM</v>
      </c>
      <c r="AC350" s="4">
        <v>45517</v>
      </c>
      <c r="AD350" s="25">
        <v>3498.45</v>
      </c>
      <c r="BL350" s="2" t="s">
        <v>1500</v>
      </c>
      <c r="BM350" s="4">
        <v>45505</v>
      </c>
      <c r="BN350" s="25">
        <v>15965.05</v>
      </c>
    </row>
    <row r="351" spans="1:66" x14ac:dyDescent="0.35">
      <c r="A351">
        <v>3091</v>
      </c>
      <c r="B351" t="s">
        <v>13</v>
      </c>
      <c r="C351" s="1">
        <v>45628</v>
      </c>
      <c r="D351" t="s">
        <v>9</v>
      </c>
      <c r="E351" t="s">
        <v>28</v>
      </c>
      <c r="F351">
        <v>5</v>
      </c>
      <c r="G351">
        <v>2207.8000000000002</v>
      </c>
      <c r="H351">
        <v>11039</v>
      </c>
      <c r="I351">
        <v>1103.9000000000001</v>
      </c>
      <c r="J351">
        <v>9935.1</v>
      </c>
      <c r="K351">
        <v>230</v>
      </c>
      <c r="L351" s="11" t="s">
        <v>143</v>
      </c>
      <c r="M351">
        <f t="shared" si="26"/>
        <v>2</v>
      </c>
      <c r="N351">
        <f t="shared" si="27"/>
        <v>12</v>
      </c>
      <c r="O351">
        <f t="shared" si="28"/>
        <v>2024</v>
      </c>
      <c r="P351" s="4">
        <f t="shared" si="29"/>
        <v>45628</v>
      </c>
      <c r="Q351" t="s">
        <v>1134</v>
      </c>
      <c r="R351" t="s">
        <v>1137</v>
      </c>
      <c r="S351">
        <v>3</v>
      </c>
      <c r="T351" t="s">
        <v>1141</v>
      </c>
      <c r="U351" s="11" t="str">
        <f t="shared" si="25"/>
        <v>11:20:00 AM</v>
      </c>
      <c r="AC351" s="4">
        <v>45520</v>
      </c>
      <c r="AD351" s="25">
        <v>2693.35</v>
      </c>
      <c r="BL351" s="2" t="s">
        <v>1501</v>
      </c>
      <c r="BM351" s="4">
        <v>45506</v>
      </c>
      <c r="BN351" s="25">
        <v>22454.82</v>
      </c>
    </row>
    <row r="352" spans="1:66" x14ac:dyDescent="0.35">
      <c r="A352">
        <v>9751</v>
      </c>
      <c r="B352" t="s">
        <v>20</v>
      </c>
      <c r="C352" s="1">
        <v>45165</v>
      </c>
      <c r="D352" t="s">
        <v>6</v>
      </c>
      <c r="E352" t="s">
        <v>33</v>
      </c>
      <c r="F352">
        <v>3</v>
      </c>
      <c r="G352">
        <v>1893.23</v>
      </c>
      <c r="H352">
        <v>5679.69</v>
      </c>
      <c r="I352">
        <v>117.03</v>
      </c>
      <c r="J352">
        <v>5562.66</v>
      </c>
      <c r="K352">
        <v>414</v>
      </c>
      <c r="L352" s="11" t="s">
        <v>144</v>
      </c>
      <c r="M352">
        <f t="shared" si="26"/>
        <v>27</v>
      </c>
      <c r="N352">
        <f t="shared" si="27"/>
        <v>8</v>
      </c>
      <c r="O352">
        <f t="shared" si="28"/>
        <v>2023</v>
      </c>
      <c r="P352" s="4">
        <f t="shared" si="29"/>
        <v>45165</v>
      </c>
      <c r="Q352" t="s">
        <v>1136</v>
      </c>
      <c r="R352" t="s">
        <v>1137</v>
      </c>
      <c r="S352">
        <v>2</v>
      </c>
      <c r="T352" t="s">
        <v>1146</v>
      </c>
      <c r="U352" s="11" t="str">
        <f t="shared" si="25"/>
        <v>07:55:12 AM</v>
      </c>
      <c r="AC352" s="4">
        <v>45521</v>
      </c>
      <c r="AD352" s="25">
        <v>5799.21</v>
      </c>
      <c r="BL352" s="2" t="s">
        <v>1502</v>
      </c>
      <c r="BM352" s="4">
        <v>45507</v>
      </c>
      <c r="BN352" s="25">
        <v>2412.81</v>
      </c>
    </row>
    <row r="353" spans="1:66" x14ac:dyDescent="0.35">
      <c r="A353">
        <v>7455</v>
      </c>
      <c r="B353" t="s">
        <v>3</v>
      </c>
      <c r="C353" s="1">
        <v>45604</v>
      </c>
      <c r="D353" t="s">
        <v>23</v>
      </c>
      <c r="E353" t="s">
        <v>12</v>
      </c>
      <c r="F353">
        <v>3</v>
      </c>
      <c r="G353">
        <v>556.92999999999995</v>
      </c>
      <c r="H353">
        <v>1670.79</v>
      </c>
      <c r="I353">
        <v>0</v>
      </c>
      <c r="J353">
        <v>1670.79</v>
      </c>
      <c r="K353">
        <v>58</v>
      </c>
      <c r="L353" s="11" t="s">
        <v>145</v>
      </c>
      <c r="M353">
        <f t="shared" si="26"/>
        <v>8</v>
      </c>
      <c r="N353">
        <f t="shared" si="27"/>
        <v>11</v>
      </c>
      <c r="O353">
        <f t="shared" si="28"/>
        <v>2024</v>
      </c>
      <c r="P353" s="4">
        <f t="shared" si="29"/>
        <v>45604</v>
      </c>
      <c r="Q353" t="s">
        <v>1138</v>
      </c>
      <c r="R353" t="s">
        <v>1137</v>
      </c>
      <c r="S353">
        <v>4</v>
      </c>
      <c r="T353" t="s">
        <v>1145</v>
      </c>
      <c r="U353" s="11" t="str">
        <f t="shared" si="25"/>
        <v>02:27:26 PM</v>
      </c>
      <c r="AC353" s="4">
        <v>45522</v>
      </c>
      <c r="AD353" s="25">
        <v>15810.669999999998</v>
      </c>
      <c r="BL353" s="2" t="s">
        <v>1503</v>
      </c>
      <c r="BM353" s="4">
        <v>45508</v>
      </c>
      <c r="BN353" s="25">
        <v>9480.26</v>
      </c>
    </row>
    <row r="354" spans="1:66" x14ac:dyDescent="0.35">
      <c r="A354">
        <v>1444</v>
      </c>
      <c r="B354" t="s">
        <v>15</v>
      </c>
      <c r="C354" s="1">
        <v>45210</v>
      </c>
      <c r="D354" t="s">
        <v>27</v>
      </c>
      <c r="E354" t="s">
        <v>10</v>
      </c>
      <c r="F354">
        <v>5</v>
      </c>
      <c r="G354">
        <v>1017.58</v>
      </c>
      <c r="H354">
        <v>5087.8999999999996</v>
      </c>
      <c r="I354">
        <v>762.77</v>
      </c>
      <c r="J354">
        <v>4325.13</v>
      </c>
      <c r="K354">
        <v>200</v>
      </c>
      <c r="L354" s="11" t="s">
        <v>146</v>
      </c>
      <c r="M354">
        <f t="shared" si="26"/>
        <v>11</v>
      </c>
      <c r="N354">
        <f t="shared" si="27"/>
        <v>10</v>
      </c>
      <c r="O354">
        <f t="shared" si="28"/>
        <v>2023</v>
      </c>
      <c r="P354" s="4">
        <f t="shared" si="29"/>
        <v>45210</v>
      </c>
      <c r="Q354" t="s">
        <v>1138</v>
      </c>
      <c r="R354" t="s">
        <v>1137</v>
      </c>
      <c r="S354">
        <v>5</v>
      </c>
      <c r="T354" t="s">
        <v>1143</v>
      </c>
      <c r="U354" s="11" t="str">
        <f t="shared" si="25"/>
        <v>06:50:15 AM</v>
      </c>
      <c r="AC354" s="4">
        <v>45523</v>
      </c>
      <c r="AD354" s="25">
        <v>4286.12</v>
      </c>
      <c r="BL354" s="2" t="s">
        <v>1504</v>
      </c>
      <c r="BM354" s="4">
        <v>45509</v>
      </c>
      <c r="BN354" s="25">
        <v>16658.099999999999</v>
      </c>
    </row>
    <row r="355" spans="1:66" x14ac:dyDescent="0.35">
      <c r="A355">
        <v>8022</v>
      </c>
      <c r="B355" t="s">
        <v>25</v>
      </c>
      <c r="C355" s="1">
        <v>45250</v>
      </c>
      <c r="D355" t="s">
        <v>34</v>
      </c>
      <c r="E355" t="s">
        <v>18</v>
      </c>
      <c r="F355">
        <v>3</v>
      </c>
      <c r="G355">
        <v>2293.29</v>
      </c>
      <c r="H355">
        <v>6879.87</v>
      </c>
      <c r="I355">
        <v>0</v>
      </c>
      <c r="J355">
        <v>6879.87</v>
      </c>
      <c r="K355">
        <v>302</v>
      </c>
      <c r="L355" s="11" t="s">
        <v>147</v>
      </c>
      <c r="M355">
        <f t="shared" si="26"/>
        <v>20</v>
      </c>
      <c r="N355">
        <f t="shared" si="27"/>
        <v>11</v>
      </c>
      <c r="O355">
        <f t="shared" si="28"/>
        <v>2023</v>
      </c>
      <c r="P355" s="4">
        <f t="shared" si="29"/>
        <v>45250</v>
      </c>
      <c r="Q355" t="s">
        <v>1136</v>
      </c>
      <c r="R355" t="s">
        <v>1135</v>
      </c>
      <c r="S355">
        <v>5</v>
      </c>
      <c r="T355" t="s">
        <v>1143</v>
      </c>
      <c r="U355" s="11" t="str">
        <f t="shared" si="25"/>
        <v>04:05:56 AM</v>
      </c>
      <c r="AC355" s="4">
        <v>45524</v>
      </c>
      <c r="AD355" s="25">
        <v>18984.59</v>
      </c>
      <c r="BL355" s="2" t="s">
        <v>1505</v>
      </c>
      <c r="BM355" s="4">
        <v>45510</v>
      </c>
      <c r="BN355" s="25">
        <v>8392.9599999999991</v>
      </c>
    </row>
    <row r="356" spans="1:66" x14ac:dyDescent="0.35">
      <c r="A356">
        <v>8564</v>
      </c>
      <c r="B356" t="s">
        <v>8</v>
      </c>
      <c r="C356" s="1">
        <v>45286</v>
      </c>
      <c r="D356" t="s">
        <v>11</v>
      </c>
      <c r="E356" t="s">
        <v>38</v>
      </c>
      <c r="F356">
        <v>2</v>
      </c>
      <c r="G356">
        <v>817.55</v>
      </c>
      <c r="H356">
        <v>1635.1</v>
      </c>
      <c r="I356">
        <v>0</v>
      </c>
      <c r="J356">
        <v>1635.1</v>
      </c>
      <c r="K356">
        <v>93</v>
      </c>
      <c r="L356" s="11" t="s">
        <v>148</v>
      </c>
      <c r="M356">
        <f t="shared" si="26"/>
        <v>26</v>
      </c>
      <c r="N356">
        <f t="shared" si="27"/>
        <v>12</v>
      </c>
      <c r="O356">
        <f t="shared" si="28"/>
        <v>2023</v>
      </c>
      <c r="P356" s="4">
        <f t="shared" si="29"/>
        <v>45286</v>
      </c>
      <c r="Q356" t="s">
        <v>1136</v>
      </c>
      <c r="R356" t="s">
        <v>1135</v>
      </c>
      <c r="S356">
        <v>3</v>
      </c>
      <c r="T356" t="s">
        <v>1147</v>
      </c>
      <c r="U356" s="11" t="str">
        <f t="shared" si="25"/>
        <v>05:16:15 AM</v>
      </c>
      <c r="AC356" s="4">
        <v>45525</v>
      </c>
      <c r="AD356" s="25">
        <v>7681.65</v>
      </c>
      <c r="BL356" s="2" t="s">
        <v>1506</v>
      </c>
      <c r="BM356" s="4">
        <v>45511</v>
      </c>
      <c r="BN356" s="25">
        <v>13708.28</v>
      </c>
    </row>
    <row r="357" spans="1:66" x14ac:dyDescent="0.35">
      <c r="A357">
        <v>1823</v>
      </c>
      <c r="B357" t="s">
        <v>8</v>
      </c>
      <c r="C357" s="1">
        <v>45347</v>
      </c>
      <c r="D357" t="s">
        <v>27</v>
      </c>
      <c r="E357" t="s">
        <v>21</v>
      </c>
      <c r="F357">
        <v>4</v>
      </c>
      <c r="G357">
        <v>1518.07</v>
      </c>
      <c r="H357">
        <v>6072.28</v>
      </c>
      <c r="I357">
        <v>607.55999999999995</v>
      </c>
      <c r="J357">
        <v>5464.72</v>
      </c>
      <c r="K357">
        <v>294</v>
      </c>
      <c r="L357" s="11" t="s">
        <v>149</v>
      </c>
      <c r="M357">
        <f t="shared" si="26"/>
        <v>25</v>
      </c>
      <c r="N357">
        <f t="shared" si="27"/>
        <v>2</v>
      </c>
      <c r="O357">
        <f t="shared" si="28"/>
        <v>2024</v>
      </c>
      <c r="P357" s="4">
        <f t="shared" si="29"/>
        <v>45347</v>
      </c>
      <c r="Q357" t="s">
        <v>1134</v>
      </c>
      <c r="R357" t="s">
        <v>1137</v>
      </c>
      <c r="S357">
        <v>4</v>
      </c>
      <c r="T357" t="s">
        <v>1144</v>
      </c>
      <c r="U357" s="11" t="str">
        <f t="shared" si="25"/>
        <v>08:32:52 PM</v>
      </c>
      <c r="AC357" s="4">
        <v>45526</v>
      </c>
      <c r="AD357" s="25">
        <v>344.45</v>
      </c>
      <c r="BL357" s="2" t="s">
        <v>1507</v>
      </c>
      <c r="BM357" s="4">
        <v>45512</v>
      </c>
      <c r="BN357" s="25">
        <v>12575.33</v>
      </c>
    </row>
    <row r="358" spans="1:66" x14ac:dyDescent="0.35">
      <c r="A358">
        <v>7211</v>
      </c>
      <c r="B358" t="s">
        <v>8</v>
      </c>
      <c r="C358" s="1">
        <v>45399</v>
      </c>
      <c r="D358" t="s">
        <v>34</v>
      </c>
      <c r="E358" t="s">
        <v>7</v>
      </c>
      <c r="F358">
        <v>2</v>
      </c>
      <c r="G358">
        <v>1417.64</v>
      </c>
      <c r="H358">
        <v>2835.28</v>
      </c>
      <c r="I358">
        <v>566.89</v>
      </c>
      <c r="J358">
        <v>2268.39</v>
      </c>
      <c r="K358">
        <v>250</v>
      </c>
      <c r="L358" s="11" t="s">
        <v>150</v>
      </c>
      <c r="M358">
        <f t="shared" si="26"/>
        <v>17</v>
      </c>
      <c r="N358">
        <f t="shared" si="27"/>
        <v>4</v>
      </c>
      <c r="O358">
        <f t="shared" si="28"/>
        <v>2024</v>
      </c>
      <c r="P358" s="4">
        <f t="shared" si="29"/>
        <v>45399</v>
      </c>
      <c r="Q358" t="s">
        <v>1139</v>
      </c>
      <c r="R358" t="s">
        <v>1135</v>
      </c>
      <c r="S358">
        <v>1</v>
      </c>
      <c r="T358" t="s">
        <v>1150</v>
      </c>
      <c r="U358" s="11" t="str">
        <f t="shared" si="25"/>
        <v>11:27:34 PM</v>
      </c>
      <c r="AC358" s="4">
        <v>45528</v>
      </c>
      <c r="AD358" s="25">
        <v>9888.6200000000008</v>
      </c>
      <c r="BL358" s="2" t="s">
        <v>1508</v>
      </c>
      <c r="BM358" s="4">
        <v>45513</v>
      </c>
      <c r="BN358" s="25">
        <v>9090.16</v>
      </c>
    </row>
    <row r="359" spans="1:66" x14ac:dyDescent="0.35">
      <c r="A359">
        <v>4467</v>
      </c>
      <c r="B359" t="s">
        <v>8</v>
      </c>
      <c r="C359" s="1">
        <v>45498</v>
      </c>
      <c r="D359" t="s">
        <v>11</v>
      </c>
      <c r="E359" t="s">
        <v>22</v>
      </c>
      <c r="F359">
        <v>5</v>
      </c>
      <c r="G359">
        <v>210.82</v>
      </c>
      <c r="H359">
        <v>1054.0999999999999</v>
      </c>
      <c r="I359">
        <v>105.41</v>
      </c>
      <c r="J359">
        <v>948.69</v>
      </c>
      <c r="K359">
        <v>183</v>
      </c>
      <c r="L359" s="11" t="s">
        <v>151</v>
      </c>
      <c r="M359">
        <f t="shared" si="26"/>
        <v>25</v>
      </c>
      <c r="N359">
        <f t="shared" si="27"/>
        <v>7</v>
      </c>
      <c r="O359">
        <f t="shared" si="28"/>
        <v>2024</v>
      </c>
      <c r="P359" s="4">
        <f t="shared" si="29"/>
        <v>45498</v>
      </c>
      <c r="Q359" t="s">
        <v>1136</v>
      </c>
      <c r="R359" t="s">
        <v>1137</v>
      </c>
      <c r="S359">
        <v>5</v>
      </c>
      <c r="T359" t="s">
        <v>1144</v>
      </c>
      <c r="U359" s="11" t="str">
        <f t="shared" si="25"/>
        <v>08:30:31 AM</v>
      </c>
      <c r="AC359" s="4">
        <v>45529</v>
      </c>
      <c r="AD359" s="25">
        <v>7759.67</v>
      </c>
      <c r="BL359" s="2" t="s">
        <v>1509</v>
      </c>
      <c r="BM359" s="4">
        <v>45514</v>
      </c>
      <c r="BN359" s="25">
        <v>7475.8099999999995</v>
      </c>
    </row>
    <row r="360" spans="1:66" x14ac:dyDescent="0.35">
      <c r="A360">
        <v>6355</v>
      </c>
      <c r="B360" t="s">
        <v>8</v>
      </c>
      <c r="C360" s="1">
        <v>45407</v>
      </c>
      <c r="D360" t="s">
        <v>6</v>
      </c>
      <c r="E360" t="s">
        <v>21</v>
      </c>
      <c r="F360">
        <v>5</v>
      </c>
      <c r="G360">
        <v>1298.95</v>
      </c>
      <c r="H360">
        <v>6494.75</v>
      </c>
      <c r="I360">
        <v>0</v>
      </c>
      <c r="J360">
        <v>6494.75</v>
      </c>
      <c r="K360">
        <v>253</v>
      </c>
      <c r="L360" s="11" t="s">
        <v>152</v>
      </c>
      <c r="M360">
        <f t="shared" si="26"/>
        <v>25</v>
      </c>
      <c r="N360">
        <f t="shared" si="27"/>
        <v>4</v>
      </c>
      <c r="O360">
        <f t="shared" si="28"/>
        <v>2024</v>
      </c>
      <c r="P360" s="4">
        <f t="shared" si="29"/>
        <v>45407</v>
      </c>
      <c r="Q360" t="s">
        <v>1138</v>
      </c>
      <c r="R360" t="s">
        <v>1137</v>
      </c>
      <c r="S360">
        <v>3</v>
      </c>
      <c r="T360" t="s">
        <v>1143</v>
      </c>
      <c r="U360" s="11" t="str">
        <f t="shared" si="25"/>
        <v>02:18:19 PM</v>
      </c>
      <c r="AC360" s="4">
        <v>45530</v>
      </c>
      <c r="AD360" s="25">
        <v>12687.380000000001</v>
      </c>
      <c r="BL360" s="2" t="s">
        <v>1510</v>
      </c>
      <c r="BM360" s="4">
        <v>45515</v>
      </c>
      <c r="BN360" s="25">
        <v>9669.5</v>
      </c>
    </row>
    <row r="361" spans="1:66" x14ac:dyDescent="0.35">
      <c r="A361">
        <v>7211</v>
      </c>
      <c r="B361" t="s">
        <v>15</v>
      </c>
      <c r="C361" s="1">
        <v>45361</v>
      </c>
      <c r="D361" t="s">
        <v>9</v>
      </c>
      <c r="E361" t="s">
        <v>22</v>
      </c>
      <c r="F361">
        <v>4</v>
      </c>
      <c r="G361">
        <v>484.72</v>
      </c>
      <c r="H361">
        <v>1938.88</v>
      </c>
      <c r="I361">
        <v>387.61</v>
      </c>
      <c r="J361">
        <v>1551.27</v>
      </c>
      <c r="K361">
        <v>289</v>
      </c>
      <c r="L361" s="11" t="s">
        <v>153</v>
      </c>
      <c r="M361">
        <f t="shared" si="26"/>
        <v>10</v>
      </c>
      <c r="N361">
        <f t="shared" si="27"/>
        <v>3</v>
      </c>
      <c r="O361">
        <f t="shared" si="28"/>
        <v>2024</v>
      </c>
      <c r="P361" s="4">
        <f t="shared" si="29"/>
        <v>45361</v>
      </c>
      <c r="Q361" t="s">
        <v>1134</v>
      </c>
      <c r="R361" t="s">
        <v>1135</v>
      </c>
      <c r="S361">
        <v>4</v>
      </c>
      <c r="T361" t="s">
        <v>1146</v>
      </c>
      <c r="U361" s="11" t="str">
        <f t="shared" si="25"/>
        <v>09:41:40 PM</v>
      </c>
      <c r="AC361" s="4">
        <v>45531</v>
      </c>
      <c r="AD361" s="25">
        <v>11709.64</v>
      </c>
      <c r="BL361" s="2" t="s">
        <v>1511</v>
      </c>
      <c r="BM361" s="4">
        <v>45516</v>
      </c>
      <c r="BN361" s="25">
        <v>1466.61</v>
      </c>
    </row>
    <row r="362" spans="1:66" x14ac:dyDescent="0.35">
      <c r="A362">
        <v>7906</v>
      </c>
      <c r="B362" t="s">
        <v>19</v>
      </c>
      <c r="C362" s="1">
        <v>45340</v>
      </c>
      <c r="D362" t="s">
        <v>1</v>
      </c>
      <c r="E362" t="s">
        <v>2</v>
      </c>
      <c r="F362">
        <v>2</v>
      </c>
      <c r="G362">
        <v>1376.14</v>
      </c>
      <c r="H362">
        <v>2752.28</v>
      </c>
      <c r="I362">
        <v>329.51</v>
      </c>
      <c r="J362">
        <v>2422.77</v>
      </c>
      <c r="K362">
        <v>86</v>
      </c>
      <c r="L362" s="11" t="s">
        <v>154</v>
      </c>
      <c r="M362">
        <f t="shared" si="26"/>
        <v>18</v>
      </c>
      <c r="N362">
        <f t="shared" si="27"/>
        <v>2</v>
      </c>
      <c r="O362">
        <f t="shared" si="28"/>
        <v>2024</v>
      </c>
      <c r="P362" s="4">
        <f t="shared" si="29"/>
        <v>45340</v>
      </c>
      <c r="Q362" t="s">
        <v>1136</v>
      </c>
      <c r="R362" t="s">
        <v>1137</v>
      </c>
      <c r="S362">
        <v>4</v>
      </c>
      <c r="T362" t="s">
        <v>1149</v>
      </c>
      <c r="U362" s="11" t="str">
        <f t="shared" ref="U362:U425" si="30">TEXT(L362,"hh:mm:ss AM/PM")</f>
        <v>02:39:19 PM</v>
      </c>
      <c r="AC362" s="4">
        <v>45532</v>
      </c>
      <c r="AD362" s="25">
        <v>20844.620000000003</v>
      </c>
      <c r="BL362" s="2" t="s">
        <v>1512</v>
      </c>
      <c r="BM362" s="4">
        <v>45517</v>
      </c>
      <c r="BN362" s="25">
        <v>3498.45</v>
      </c>
    </row>
    <row r="363" spans="1:66" x14ac:dyDescent="0.35">
      <c r="A363">
        <v>2341</v>
      </c>
      <c r="B363" t="s">
        <v>15</v>
      </c>
      <c r="C363" s="1">
        <v>45510</v>
      </c>
      <c r="D363" t="s">
        <v>27</v>
      </c>
      <c r="E363" t="s">
        <v>36</v>
      </c>
      <c r="F363">
        <v>1</v>
      </c>
      <c r="G363">
        <v>1460.8</v>
      </c>
      <c r="H363">
        <v>1460.8</v>
      </c>
      <c r="I363">
        <v>356.07</v>
      </c>
      <c r="J363">
        <v>1104.73</v>
      </c>
      <c r="K363">
        <v>137</v>
      </c>
      <c r="L363" s="11" t="s">
        <v>155</v>
      </c>
      <c r="M363">
        <f t="shared" si="26"/>
        <v>6</v>
      </c>
      <c r="N363">
        <f t="shared" si="27"/>
        <v>8</v>
      </c>
      <c r="O363">
        <f t="shared" si="28"/>
        <v>2024</v>
      </c>
      <c r="P363" s="4">
        <f t="shared" si="29"/>
        <v>45510</v>
      </c>
      <c r="Q363" t="s">
        <v>1138</v>
      </c>
      <c r="R363" t="s">
        <v>1135</v>
      </c>
      <c r="S363">
        <v>4</v>
      </c>
      <c r="T363" t="s">
        <v>1143</v>
      </c>
      <c r="U363" s="11" t="str">
        <f t="shared" si="30"/>
        <v>10:34:16 AM</v>
      </c>
      <c r="AC363" s="4">
        <v>45533</v>
      </c>
      <c r="AD363" s="25">
        <v>10455.51</v>
      </c>
      <c r="BL363" s="2" t="s">
        <v>1513</v>
      </c>
      <c r="BM363" s="4">
        <v>45520</v>
      </c>
      <c r="BN363" s="25">
        <v>2693.35</v>
      </c>
    </row>
    <row r="364" spans="1:66" x14ac:dyDescent="0.35">
      <c r="A364">
        <v>1317</v>
      </c>
      <c r="B364" t="s">
        <v>20</v>
      </c>
      <c r="C364" s="1">
        <v>45726</v>
      </c>
      <c r="D364" t="s">
        <v>34</v>
      </c>
      <c r="E364" t="s">
        <v>7</v>
      </c>
      <c r="F364">
        <v>2</v>
      </c>
      <c r="G364">
        <v>2464.27</v>
      </c>
      <c r="H364">
        <v>4928.54</v>
      </c>
      <c r="I364">
        <v>739.53</v>
      </c>
      <c r="J364">
        <v>4189.01</v>
      </c>
      <c r="K364">
        <v>52</v>
      </c>
      <c r="L364" s="11" t="s">
        <v>156</v>
      </c>
      <c r="M364">
        <f t="shared" si="26"/>
        <v>10</v>
      </c>
      <c r="N364">
        <f t="shared" si="27"/>
        <v>3</v>
      </c>
      <c r="O364">
        <f t="shared" si="28"/>
        <v>2025</v>
      </c>
      <c r="P364" s="4">
        <f t="shared" si="29"/>
        <v>45726</v>
      </c>
      <c r="Q364" t="s">
        <v>1138</v>
      </c>
      <c r="R364" t="s">
        <v>1135</v>
      </c>
      <c r="S364">
        <v>4</v>
      </c>
      <c r="T364" t="s">
        <v>1142</v>
      </c>
      <c r="U364" s="11" t="str">
        <f t="shared" si="30"/>
        <v>08:50:04 PM</v>
      </c>
      <c r="AC364" s="4">
        <v>45534</v>
      </c>
      <c r="AD364" s="25">
        <v>3301.74</v>
      </c>
      <c r="BL364" s="2" t="s">
        <v>1514</v>
      </c>
      <c r="BM364" s="4">
        <v>45521</v>
      </c>
      <c r="BN364" s="25">
        <v>5799.21</v>
      </c>
    </row>
    <row r="365" spans="1:66" x14ac:dyDescent="0.35">
      <c r="A365">
        <v>9837</v>
      </c>
      <c r="B365" t="s">
        <v>20</v>
      </c>
      <c r="C365" s="1">
        <v>45185</v>
      </c>
      <c r="D365" t="s">
        <v>34</v>
      </c>
      <c r="E365" t="s">
        <v>2</v>
      </c>
      <c r="F365">
        <v>3</v>
      </c>
      <c r="G365">
        <v>2157.17</v>
      </c>
      <c r="H365">
        <v>6471.51</v>
      </c>
      <c r="I365">
        <v>340.3</v>
      </c>
      <c r="J365">
        <v>6131.21</v>
      </c>
      <c r="K365">
        <v>44</v>
      </c>
      <c r="L365" s="11" t="s">
        <v>157</v>
      </c>
      <c r="M365">
        <f t="shared" si="26"/>
        <v>16</v>
      </c>
      <c r="N365">
        <f t="shared" si="27"/>
        <v>9</v>
      </c>
      <c r="O365">
        <f t="shared" si="28"/>
        <v>2023</v>
      </c>
      <c r="P365" s="4">
        <f t="shared" si="29"/>
        <v>45185</v>
      </c>
      <c r="Q365" t="s">
        <v>1139</v>
      </c>
      <c r="R365" t="s">
        <v>1135</v>
      </c>
      <c r="S365">
        <v>4</v>
      </c>
      <c r="T365" t="s">
        <v>1141</v>
      </c>
      <c r="U365" s="11" t="str">
        <f t="shared" si="30"/>
        <v>01:18:56 PM</v>
      </c>
      <c r="AC365" s="4">
        <v>45535</v>
      </c>
      <c r="AD365" s="25">
        <v>14886.05</v>
      </c>
      <c r="BL365" s="2" t="s">
        <v>1515</v>
      </c>
      <c r="BM365" s="4">
        <v>45522</v>
      </c>
      <c r="BN365" s="25">
        <v>15810.669999999998</v>
      </c>
    </row>
    <row r="366" spans="1:66" x14ac:dyDescent="0.35">
      <c r="A366">
        <v>6733</v>
      </c>
      <c r="B366" t="s">
        <v>31</v>
      </c>
      <c r="C366" s="1">
        <v>45319</v>
      </c>
      <c r="D366" t="s">
        <v>6</v>
      </c>
      <c r="E366" t="s">
        <v>12</v>
      </c>
      <c r="F366">
        <v>5</v>
      </c>
      <c r="G366">
        <v>1605.22</v>
      </c>
      <c r="H366">
        <v>8026.1</v>
      </c>
      <c r="I366">
        <v>1605.22</v>
      </c>
      <c r="J366">
        <v>6420.88</v>
      </c>
      <c r="K366">
        <v>84</v>
      </c>
      <c r="L366" s="11" t="s">
        <v>158</v>
      </c>
      <c r="M366">
        <f t="shared" si="26"/>
        <v>28</v>
      </c>
      <c r="N366">
        <f t="shared" si="27"/>
        <v>1</v>
      </c>
      <c r="O366">
        <f t="shared" si="28"/>
        <v>2024</v>
      </c>
      <c r="P366" s="4">
        <f t="shared" si="29"/>
        <v>45319</v>
      </c>
      <c r="Q366" t="s">
        <v>1134</v>
      </c>
      <c r="R366" t="s">
        <v>1135</v>
      </c>
      <c r="S366">
        <v>5</v>
      </c>
      <c r="T366" t="s">
        <v>1148</v>
      </c>
      <c r="U366" s="11" t="str">
        <f t="shared" si="30"/>
        <v>01:48:40 PM</v>
      </c>
      <c r="AC366" s="4">
        <v>45536</v>
      </c>
      <c r="AD366" s="25">
        <v>7397.79</v>
      </c>
      <c r="BL366" s="2" t="s">
        <v>1516</v>
      </c>
      <c r="BM366" s="4">
        <v>45523</v>
      </c>
      <c r="BN366" s="25">
        <v>4286.12</v>
      </c>
    </row>
    <row r="367" spans="1:66" x14ac:dyDescent="0.35">
      <c r="A367">
        <v>2124</v>
      </c>
      <c r="B367" t="s">
        <v>31</v>
      </c>
      <c r="C367" s="1">
        <v>45751</v>
      </c>
      <c r="D367" t="s">
        <v>1</v>
      </c>
      <c r="E367" t="s">
        <v>12</v>
      </c>
      <c r="F367">
        <v>5</v>
      </c>
      <c r="G367">
        <v>758.62</v>
      </c>
      <c r="H367">
        <v>3793.1</v>
      </c>
      <c r="I367">
        <v>569.38</v>
      </c>
      <c r="J367">
        <v>3223.72</v>
      </c>
      <c r="K367">
        <v>275</v>
      </c>
      <c r="L367" s="11" t="s">
        <v>159</v>
      </c>
      <c r="M367">
        <f t="shared" si="26"/>
        <v>4</v>
      </c>
      <c r="N367">
        <f t="shared" si="27"/>
        <v>4</v>
      </c>
      <c r="O367">
        <f t="shared" si="28"/>
        <v>2025</v>
      </c>
      <c r="P367" s="4">
        <f t="shared" si="29"/>
        <v>45751</v>
      </c>
      <c r="Q367" t="s">
        <v>1134</v>
      </c>
      <c r="R367" t="s">
        <v>1137</v>
      </c>
      <c r="S367">
        <v>3</v>
      </c>
      <c r="T367" t="s">
        <v>1143</v>
      </c>
      <c r="U367" s="11" t="str">
        <f t="shared" si="30"/>
        <v>07:57:18 PM</v>
      </c>
      <c r="AC367" s="4">
        <v>45537</v>
      </c>
      <c r="AD367" s="25">
        <v>14695.98</v>
      </c>
      <c r="BL367" s="2" t="s">
        <v>1517</v>
      </c>
      <c r="BM367" s="4">
        <v>45524</v>
      </c>
      <c r="BN367" s="25">
        <v>18984.59</v>
      </c>
    </row>
    <row r="368" spans="1:66" x14ac:dyDescent="0.35">
      <c r="A368">
        <v>1659</v>
      </c>
      <c r="B368" t="s">
        <v>19</v>
      </c>
      <c r="C368" s="1">
        <v>45730</v>
      </c>
      <c r="D368" t="s">
        <v>24</v>
      </c>
      <c r="E368" t="s">
        <v>2</v>
      </c>
      <c r="F368">
        <v>5</v>
      </c>
      <c r="G368">
        <v>2454.31</v>
      </c>
      <c r="H368">
        <v>12271.55</v>
      </c>
      <c r="I368">
        <v>2454.31</v>
      </c>
      <c r="J368">
        <v>9817.24</v>
      </c>
      <c r="K368">
        <v>347</v>
      </c>
      <c r="L368" s="11" t="s">
        <v>160</v>
      </c>
      <c r="M368">
        <f t="shared" si="26"/>
        <v>14</v>
      </c>
      <c r="N368">
        <f t="shared" si="27"/>
        <v>3</v>
      </c>
      <c r="O368">
        <f t="shared" si="28"/>
        <v>2025</v>
      </c>
      <c r="P368" s="4">
        <f t="shared" si="29"/>
        <v>45730</v>
      </c>
      <c r="Q368" t="s">
        <v>1139</v>
      </c>
      <c r="R368" t="s">
        <v>1135</v>
      </c>
      <c r="S368">
        <v>4</v>
      </c>
      <c r="T368" t="s">
        <v>1142</v>
      </c>
      <c r="U368" s="11" t="str">
        <f t="shared" si="30"/>
        <v>07:58:41 PM</v>
      </c>
      <c r="AC368" s="4">
        <v>45538</v>
      </c>
      <c r="AD368" s="25">
        <v>1293.97</v>
      </c>
      <c r="BL368" s="2" t="s">
        <v>1518</v>
      </c>
      <c r="BM368" s="4">
        <v>45525</v>
      </c>
      <c r="BN368" s="25">
        <v>7681.65</v>
      </c>
    </row>
    <row r="369" spans="1:66" x14ac:dyDescent="0.35">
      <c r="A369">
        <v>1508</v>
      </c>
      <c r="B369" t="s">
        <v>13</v>
      </c>
      <c r="C369" s="1">
        <v>45337</v>
      </c>
      <c r="D369" t="s">
        <v>1</v>
      </c>
      <c r="E369" t="s">
        <v>2</v>
      </c>
      <c r="F369">
        <v>2</v>
      </c>
      <c r="G369">
        <v>1770.39</v>
      </c>
      <c r="H369">
        <v>3540.78</v>
      </c>
      <c r="I369">
        <v>707.99</v>
      </c>
      <c r="J369">
        <v>2832.79</v>
      </c>
      <c r="K369">
        <v>67</v>
      </c>
      <c r="L369" s="11" t="s">
        <v>161</v>
      </c>
      <c r="M369">
        <f t="shared" si="26"/>
        <v>15</v>
      </c>
      <c r="N369">
        <f t="shared" si="27"/>
        <v>2</v>
      </c>
      <c r="O369">
        <f t="shared" si="28"/>
        <v>2024</v>
      </c>
      <c r="P369" s="4">
        <f t="shared" si="29"/>
        <v>45337</v>
      </c>
      <c r="Q369" t="s">
        <v>1139</v>
      </c>
      <c r="R369" t="s">
        <v>1137</v>
      </c>
      <c r="S369">
        <v>2</v>
      </c>
      <c r="T369" t="s">
        <v>1142</v>
      </c>
      <c r="U369" s="11" t="str">
        <f t="shared" si="30"/>
        <v>03:35:27 AM</v>
      </c>
      <c r="AC369" s="4">
        <v>45539</v>
      </c>
      <c r="AD369" s="25">
        <v>12371.15</v>
      </c>
      <c r="BL369" s="2" t="s">
        <v>1519</v>
      </c>
      <c r="BM369" s="4">
        <v>45526</v>
      </c>
      <c r="BN369" s="25">
        <v>344.45</v>
      </c>
    </row>
    <row r="370" spans="1:66" x14ac:dyDescent="0.35">
      <c r="A370">
        <v>4266</v>
      </c>
      <c r="B370" t="s">
        <v>25</v>
      </c>
      <c r="C370" s="1">
        <v>45796</v>
      </c>
      <c r="D370" t="s">
        <v>6</v>
      </c>
      <c r="E370" t="s">
        <v>21</v>
      </c>
      <c r="F370">
        <v>4</v>
      </c>
      <c r="G370">
        <v>424.13</v>
      </c>
      <c r="H370">
        <v>1696.52</v>
      </c>
      <c r="I370">
        <v>0</v>
      </c>
      <c r="J370">
        <v>1696.52</v>
      </c>
      <c r="K370">
        <v>323</v>
      </c>
      <c r="L370" s="11" t="s">
        <v>162</v>
      </c>
      <c r="M370">
        <f t="shared" si="26"/>
        <v>19</v>
      </c>
      <c r="N370">
        <f t="shared" si="27"/>
        <v>5</v>
      </c>
      <c r="O370">
        <f t="shared" si="28"/>
        <v>2025</v>
      </c>
      <c r="P370" s="4">
        <f t="shared" si="29"/>
        <v>45796</v>
      </c>
      <c r="Q370" t="s">
        <v>1134</v>
      </c>
      <c r="R370" t="s">
        <v>1137</v>
      </c>
      <c r="S370">
        <v>2</v>
      </c>
      <c r="T370" t="s">
        <v>1150</v>
      </c>
      <c r="U370" s="11" t="str">
        <f t="shared" si="30"/>
        <v>12:36:58 AM</v>
      </c>
      <c r="AC370" s="4">
        <v>45540</v>
      </c>
      <c r="AD370" s="25">
        <v>3265.2200000000003</v>
      </c>
      <c r="BL370" s="2" t="s">
        <v>1520</v>
      </c>
      <c r="BM370" s="4">
        <v>45528</v>
      </c>
      <c r="BN370" s="25">
        <v>9888.6200000000008</v>
      </c>
    </row>
    <row r="371" spans="1:66" x14ac:dyDescent="0.35">
      <c r="A371">
        <v>1333</v>
      </c>
      <c r="B371" t="s">
        <v>13</v>
      </c>
      <c r="C371" s="1">
        <v>45627</v>
      </c>
      <c r="D371" t="s">
        <v>9</v>
      </c>
      <c r="E371" t="s">
        <v>22</v>
      </c>
      <c r="F371">
        <v>1</v>
      </c>
      <c r="G371">
        <v>1607.71</v>
      </c>
      <c r="H371">
        <v>1607.71</v>
      </c>
      <c r="I371">
        <v>161.02000000000001</v>
      </c>
      <c r="J371">
        <v>1446.69</v>
      </c>
      <c r="K371">
        <v>450</v>
      </c>
      <c r="L371" s="11" t="s">
        <v>163</v>
      </c>
      <c r="M371">
        <f t="shared" si="26"/>
        <v>1</v>
      </c>
      <c r="N371">
        <f t="shared" si="27"/>
        <v>12</v>
      </c>
      <c r="O371">
        <f t="shared" si="28"/>
        <v>2024</v>
      </c>
      <c r="P371" s="4">
        <f t="shared" si="29"/>
        <v>45627</v>
      </c>
      <c r="Q371" t="s">
        <v>1134</v>
      </c>
      <c r="R371" t="s">
        <v>1137</v>
      </c>
      <c r="S371">
        <v>3</v>
      </c>
      <c r="T371" t="s">
        <v>1145</v>
      </c>
      <c r="U371" s="11" t="str">
        <f t="shared" si="30"/>
        <v>02:52:56 PM</v>
      </c>
      <c r="AC371" s="4">
        <v>45541</v>
      </c>
      <c r="AD371" s="25">
        <v>10010.629999999999</v>
      </c>
      <c r="BL371" s="2" t="s">
        <v>1521</v>
      </c>
      <c r="BM371" s="4">
        <v>45529</v>
      </c>
      <c r="BN371" s="25">
        <v>7759.67</v>
      </c>
    </row>
    <row r="372" spans="1:66" x14ac:dyDescent="0.35">
      <c r="A372">
        <v>3496</v>
      </c>
      <c r="B372" t="s">
        <v>3</v>
      </c>
      <c r="C372" s="1">
        <v>45330</v>
      </c>
      <c r="D372" t="s">
        <v>24</v>
      </c>
      <c r="E372" t="s">
        <v>12</v>
      </c>
      <c r="F372">
        <v>4</v>
      </c>
      <c r="G372">
        <v>2369.65</v>
      </c>
      <c r="H372">
        <v>9478.6</v>
      </c>
      <c r="I372">
        <v>0</v>
      </c>
      <c r="J372">
        <v>9478.6</v>
      </c>
      <c r="K372">
        <v>167</v>
      </c>
      <c r="L372" s="11" t="s">
        <v>164</v>
      </c>
      <c r="M372">
        <f t="shared" si="26"/>
        <v>8</v>
      </c>
      <c r="N372">
        <f t="shared" si="27"/>
        <v>2</v>
      </c>
      <c r="O372">
        <f t="shared" si="28"/>
        <v>2024</v>
      </c>
      <c r="P372" s="4">
        <f t="shared" si="29"/>
        <v>45330</v>
      </c>
      <c r="Q372" t="s">
        <v>1136</v>
      </c>
      <c r="R372" t="s">
        <v>1137</v>
      </c>
      <c r="S372">
        <v>1</v>
      </c>
      <c r="T372" t="s">
        <v>1143</v>
      </c>
      <c r="U372" s="11" t="str">
        <f t="shared" si="30"/>
        <v>10:21:25 PM</v>
      </c>
      <c r="AC372" s="4">
        <v>45542</v>
      </c>
      <c r="AD372" s="25">
        <v>6967.0199999999995</v>
      </c>
      <c r="BL372" s="2" t="s">
        <v>1522</v>
      </c>
      <c r="BM372" s="4">
        <v>45530</v>
      </c>
      <c r="BN372" s="25">
        <v>12687.380000000001</v>
      </c>
    </row>
    <row r="373" spans="1:66" x14ac:dyDescent="0.35">
      <c r="A373">
        <v>3068</v>
      </c>
      <c r="B373" t="s">
        <v>0</v>
      </c>
      <c r="C373" s="1">
        <v>45512</v>
      </c>
      <c r="D373" t="s">
        <v>34</v>
      </c>
      <c r="E373" t="s">
        <v>12</v>
      </c>
      <c r="F373">
        <v>1</v>
      </c>
      <c r="G373">
        <v>1996.98</v>
      </c>
      <c r="H373">
        <v>1996.98</v>
      </c>
      <c r="I373">
        <v>200.03</v>
      </c>
      <c r="J373">
        <v>1796.95</v>
      </c>
      <c r="K373">
        <v>203</v>
      </c>
      <c r="L373" s="11" t="s">
        <v>165</v>
      </c>
      <c r="M373">
        <f t="shared" si="26"/>
        <v>8</v>
      </c>
      <c r="N373">
        <f t="shared" si="27"/>
        <v>8</v>
      </c>
      <c r="O373">
        <f t="shared" si="28"/>
        <v>2024</v>
      </c>
      <c r="P373" s="4">
        <f t="shared" si="29"/>
        <v>45512</v>
      </c>
      <c r="Q373" t="s">
        <v>1136</v>
      </c>
      <c r="R373" t="s">
        <v>1135</v>
      </c>
      <c r="S373">
        <v>1</v>
      </c>
      <c r="T373" t="s">
        <v>1145</v>
      </c>
      <c r="U373" s="11" t="str">
        <f t="shared" si="30"/>
        <v>06:16:41 PM</v>
      </c>
      <c r="AC373" s="4">
        <v>45543</v>
      </c>
      <c r="AD373" s="25">
        <v>16600</v>
      </c>
      <c r="BL373" s="2" t="s">
        <v>1523</v>
      </c>
      <c r="BM373" s="4">
        <v>45531</v>
      </c>
      <c r="BN373" s="25">
        <v>11709.64</v>
      </c>
    </row>
    <row r="374" spans="1:66" x14ac:dyDescent="0.35">
      <c r="A374">
        <v>2874</v>
      </c>
      <c r="B374" t="s">
        <v>31</v>
      </c>
      <c r="C374" s="1">
        <v>45583</v>
      </c>
      <c r="D374" t="s">
        <v>34</v>
      </c>
      <c r="E374" t="s">
        <v>2</v>
      </c>
      <c r="F374">
        <v>3</v>
      </c>
      <c r="G374">
        <v>2075.83</v>
      </c>
      <c r="H374">
        <v>6227.49</v>
      </c>
      <c r="I374">
        <v>366.03</v>
      </c>
      <c r="J374">
        <v>5861.46</v>
      </c>
      <c r="K374">
        <v>172</v>
      </c>
      <c r="L374" s="11" t="s">
        <v>166</v>
      </c>
      <c r="M374">
        <f t="shared" si="26"/>
        <v>18</v>
      </c>
      <c r="N374">
        <f t="shared" si="27"/>
        <v>10</v>
      </c>
      <c r="O374">
        <f t="shared" si="28"/>
        <v>2024</v>
      </c>
      <c r="P374" s="4">
        <f t="shared" si="29"/>
        <v>45583</v>
      </c>
      <c r="Q374" t="s">
        <v>1139</v>
      </c>
      <c r="R374" t="s">
        <v>1135</v>
      </c>
      <c r="S374">
        <v>1</v>
      </c>
      <c r="T374" t="s">
        <v>1149</v>
      </c>
      <c r="U374" s="11" t="str">
        <f t="shared" si="30"/>
        <v>12:05:01 AM</v>
      </c>
      <c r="AC374" s="4">
        <v>45544</v>
      </c>
      <c r="AD374" s="25">
        <v>6208.4</v>
      </c>
      <c r="BL374" s="2" t="s">
        <v>1524</v>
      </c>
      <c r="BM374" s="4">
        <v>45532</v>
      </c>
      <c r="BN374" s="25">
        <v>20844.620000000003</v>
      </c>
    </row>
    <row r="375" spans="1:66" x14ac:dyDescent="0.35">
      <c r="A375">
        <v>4571</v>
      </c>
      <c r="B375" t="s">
        <v>25</v>
      </c>
      <c r="C375" s="1">
        <v>45506</v>
      </c>
      <c r="D375" t="s">
        <v>16</v>
      </c>
      <c r="E375" t="s">
        <v>29</v>
      </c>
      <c r="F375">
        <v>1</v>
      </c>
      <c r="G375">
        <v>322.04000000000002</v>
      </c>
      <c r="H375">
        <v>322.04000000000002</v>
      </c>
      <c r="I375">
        <v>124.5</v>
      </c>
      <c r="J375">
        <v>197.54</v>
      </c>
      <c r="K375">
        <v>401</v>
      </c>
      <c r="L375" s="11" t="s">
        <v>167</v>
      </c>
      <c r="M375">
        <f t="shared" si="26"/>
        <v>2</v>
      </c>
      <c r="N375">
        <f t="shared" si="27"/>
        <v>8</v>
      </c>
      <c r="O375">
        <f t="shared" si="28"/>
        <v>2024</v>
      </c>
      <c r="P375" s="4">
        <f t="shared" si="29"/>
        <v>45506</v>
      </c>
      <c r="Q375" t="s">
        <v>1136</v>
      </c>
      <c r="R375" t="s">
        <v>1137</v>
      </c>
      <c r="S375">
        <v>2</v>
      </c>
      <c r="T375" t="s">
        <v>1146</v>
      </c>
      <c r="U375" s="11" t="str">
        <f t="shared" si="30"/>
        <v>09:23:03 PM</v>
      </c>
      <c r="AC375" s="4">
        <v>45545</v>
      </c>
      <c r="AD375" s="25">
        <v>13920.759999999998</v>
      </c>
      <c r="BL375" s="2" t="s">
        <v>1525</v>
      </c>
      <c r="BM375" s="4">
        <v>45533</v>
      </c>
      <c r="BN375" s="25">
        <v>10455.51</v>
      </c>
    </row>
    <row r="376" spans="1:66" x14ac:dyDescent="0.35">
      <c r="A376">
        <v>5198</v>
      </c>
      <c r="B376" t="s">
        <v>8</v>
      </c>
      <c r="C376" s="1">
        <v>45740</v>
      </c>
      <c r="D376" t="s">
        <v>34</v>
      </c>
      <c r="E376" t="s">
        <v>22</v>
      </c>
      <c r="F376">
        <v>1</v>
      </c>
      <c r="G376">
        <v>2469.25</v>
      </c>
      <c r="H376">
        <v>2469.25</v>
      </c>
      <c r="I376">
        <v>0</v>
      </c>
      <c r="J376">
        <v>2469.25</v>
      </c>
      <c r="K376">
        <v>219</v>
      </c>
      <c r="L376" s="11" t="s">
        <v>168</v>
      </c>
      <c r="M376">
        <f t="shared" si="26"/>
        <v>24</v>
      </c>
      <c r="N376">
        <f t="shared" si="27"/>
        <v>3</v>
      </c>
      <c r="O376">
        <f t="shared" si="28"/>
        <v>2025</v>
      </c>
      <c r="P376" s="4">
        <f t="shared" si="29"/>
        <v>45740</v>
      </c>
      <c r="Q376" t="s">
        <v>1138</v>
      </c>
      <c r="R376" t="s">
        <v>1137</v>
      </c>
      <c r="S376">
        <v>1</v>
      </c>
      <c r="T376" t="s">
        <v>1148</v>
      </c>
      <c r="U376" s="11" t="str">
        <f t="shared" si="30"/>
        <v>10:49:31 AM</v>
      </c>
      <c r="AC376" s="4">
        <v>45546</v>
      </c>
      <c r="AD376" s="25">
        <v>3229.53</v>
      </c>
      <c r="BL376" s="2" t="s">
        <v>1526</v>
      </c>
      <c r="BM376" s="4">
        <v>45534</v>
      </c>
      <c r="BN376" s="25">
        <v>3301.74</v>
      </c>
    </row>
    <row r="377" spans="1:66" x14ac:dyDescent="0.35">
      <c r="A377">
        <v>7043</v>
      </c>
      <c r="B377" t="s">
        <v>8</v>
      </c>
      <c r="C377" s="1">
        <v>45275</v>
      </c>
      <c r="D377" t="s">
        <v>16</v>
      </c>
      <c r="E377" t="s">
        <v>26</v>
      </c>
      <c r="F377">
        <v>2</v>
      </c>
      <c r="G377">
        <v>2187.0500000000002</v>
      </c>
      <c r="H377">
        <v>4374.1000000000004</v>
      </c>
      <c r="I377">
        <v>300.45999999999998</v>
      </c>
      <c r="J377">
        <v>4073.64</v>
      </c>
      <c r="K377">
        <v>448</v>
      </c>
      <c r="L377" s="11" t="s">
        <v>169</v>
      </c>
      <c r="M377">
        <f t="shared" si="26"/>
        <v>15</v>
      </c>
      <c r="N377">
        <f t="shared" si="27"/>
        <v>12</v>
      </c>
      <c r="O377">
        <f t="shared" si="28"/>
        <v>2023</v>
      </c>
      <c r="P377" s="4">
        <f t="shared" si="29"/>
        <v>45275</v>
      </c>
      <c r="Q377" t="s">
        <v>1136</v>
      </c>
      <c r="R377" t="s">
        <v>1135</v>
      </c>
      <c r="S377">
        <v>5</v>
      </c>
      <c r="T377" t="s">
        <v>1146</v>
      </c>
      <c r="U377" s="11" t="str">
        <f t="shared" si="30"/>
        <v>01:35:10 AM</v>
      </c>
      <c r="AC377" s="4">
        <v>45547</v>
      </c>
      <c r="AD377" s="25">
        <v>9048.66</v>
      </c>
      <c r="BL377" s="2" t="s">
        <v>1527</v>
      </c>
      <c r="BM377" s="4">
        <v>45535</v>
      </c>
      <c r="BN377" s="25">
        <v>14886.05</v>
      </c>
    </row>
    <row r="378" spans="1:66" x14ac:dyDescent="0.35">
      <c r="A378">
        <v>2876</v>
      </c>
      <c r="B378" t="s">
        <v>19</v>
      </c>
      <c r="C378" s="1">
        <v>45749</v>
      </c>
      <c r="D378" t="s">
        <v>4</v>
      </c>
      <c r="E378" t="s">
        <v>12</v>
      </c>
      <c r="F378">
        <v>2</v>
      </c>
      <c r="G378">
        <v>206.67</v>
      </c>
      <c r="H378">
        <v>413.34</v>
      </c>
      <c r="I378">
        <v>0</v>
      </c>
      <c r="J378">
        <v>413.34</v>
      </c>
      <c r="K378">
        <v>320</v>
      </c>
      <c r="L378" s="11" t="s">
        <v>170</v>
      </c>
      <c r="M378">
        <f t="shared" si="26"/>
        <v>2</v>
      </c>
      <c r="N378">
        <f t="shared" si="27"/>
        <v>4</v>
      </c>
      <c r="O378">
        <f t="shared" si="28"/>
        <v>2025</v>
      </c>
      <c r="P378" s="4">
        <f t="shared" si="29"/>
        <v>45749</v>
      </c>
      <c r="Q378" t="s">
        <v>1136</v>
      </c>
      <c r="R378" t="s">
        <v>1137</v>
      </c>
      <c r="S378">
        <v>4</v>
      </c>
      <c r="T378" t="s">
        <v>1142</v>
      </c>
      <c r="U378" s="11" t="str">
        <f t="shared" si="30"/>
        <v>02:51:27 PM</v>
      </c>
      <c r="AC378" s="4">
        <v>45548</v>
      </c>
      <c r="AD378" s="25">
        <v>12993.65</v>
      </c>
      <c r="BL378" s="2" t="s">
        <v>1528</v>
      </c>
      <c r="BM378" s="4">
        <v>45536</v>
      </c>
      <c r="BN378" s="25">
        <v>7397.79</v>
      </c>
    </row>
    <row r="379" spans="1:66" x14ac:dyDescent="0.35">
      <c r="A379">
        <v>3683</v>
      </c>
      <c r="B379" t="s">
        <v>31</v>
      </c>
      <c r="C379" s="1">
        <v>45386</v>
      </c>
      <c r="D379" t="s">
        <v>9</v>
      </c>
      <c r="E379" t="s">
        <v>32</v>
      </c>
      <c r="F379">
        <v>1</v>
      </c>
      <c r="G379">
        <v>84.66</v>
      </c>
      <c r="H379">
        <v>84.66</v>
      </c>
      <c r="I379">
        <v>16.600000000000001</v>
      </c>
      <c r="J379">
        <v>68.06</v>
      </c>
      <c r="K379">
        <v>244</v>
      </c>
      <c r="L379" s="11" t="s">
        <v>171</v>
      </c>
      <c r="M379">
        <f t="shared" si="26"/>
        <v>4</v>
      </c>
      <c r="N379">
        <f t="shared" si="27"/>
        <v>4</v>
      </c>
      <c r="O379">
        <f t="shared" si="28"/>
        <v>2024</v>
      </c>
      <c r="P379" s="4">
        <f t="shared" si="29"/>
        <v>45386</v>
      </c>
      <c r="Q379" t="s">
        <v>1138</v>
      </c>
      <c r="R379" t="s">
        <v>1135</v>
      </c>
      <c r="S379">
        <v>2</v>
      </c>
      <c r="T379" t="s">
        <v>1141</v>
      </c>
      <c r="U379" s="11" t="str">
        <f t="shared" si="30"/>
        <v>08:27:49 AM</v>
      </c>
      <c r="AC379" s="4">
        <v>45549</v>
      </c>
      <c r="AD379" s="25">
        <v>1304.76</v>
      </c>
      <c r="BL379" s="2" t="s">
        <v>1529</v>
      </c>
      <c r="BM379" s="4">
        <v>45537</v>
      </c>
      <c r="BN379" s="25">
        <v>14695.98</v>
      </c>
    </row>
    <row r="380" spans="1:66" x14ac:dyDescent="0.35">
      <c r="A380">
        <v>2771</v>
      </c>
      <c r="B380" t="s">
        <v>31</v>
      </c>
      <c r="C380" s="1">
        <v>45594</v>
      </c>
      <c r="D380" t="s">
        <v>27</v>
      </c>
      <c r="E380" t="s">
        <v>22</v>
      </c>
      <c r="F380">
        <v>1</v>
      </c>
      <c r="G380">
        <v>101.26</v>
      </c>
      <c r="H380">
        <v>101.26</v>
      </c>
      <c r="I380">
        <v>9.9600000000000009</v>
      </c>
      <c r="J380">
        <v>91.3</v>
      </c>
      <c r="K380">
        <v>175</v>
      </c>
      <c r="L380" s="11" t="s">
        <v>172</v>
      </c>
      <c r="M380">
        <f t="shared" si="26"/>
        <v>29</v>
      </c>
      <c r="N380">
        <f t="shared" si="27"/>
        <v>10</v>
      </c>
      <c r="O380">
        <f t="shared" si="28"/>
        <v>2024</v>
      </c>
      <c r="P380" s="4">
        <f t="shared" si="29"/>
        <v>45594</v>
      </c>
      <c r="Q380" t="s">
        <v>1139</v>
      </c>
      <c r="R380" t="s">
        <v>1137</v>
      </c>
      <c r="S380">
        <v>3</v>
      </c>
      <c r="T380" t="s">
        <v>1141</v>
      </c>
      <c r="U380" s="11" t="str">
        <f t="shared" si="30"/>
        <v>05:40:54 PM</v>
      </c>
      <c r="AC380" s="4">
        <v>45551</v>
      </c>
      <c r="AD380" s="25">
        <v>9271.1</v>
      </c>
      <c r="BL380" s="2" t="s">
        <v>1530</v>
      </c>
      <c r="BM380" s="4">
        <v>45538</v>
      </c>
      <c r="BN380" s="25">
        <v>1293.97</v>
      </c>
    </row>
    <row r="381" spans="1:66" x14ac:dyDescent="0.35">
      <c r="A381">
        <v>1420</v>
      </c>
      <c r="B381" t="s">
        <v>8</v>
      </c>
      <c r="C381" s="1">
        <v>45866</v>
      </c>
      <c r="D381" t="s">
        <v>34</v>
      </c>
      <c r="E381" t="s">
        <v>32</v>
      </c>
      <c r="F381">
        <v>2</v>
      </c>
      <c r="G381">
        <v>1004.3</v>
      </c>
      <c r="H381">
        <v>2008.6</v>
      </c>
      <c r="I381">
        <v>186.75</v>
      </c>
      <c r="J381">
        <v>1821.85</v>
      </c>
      <c r="K381">
        <v>374</v>
      </c>
      <c r="L381" s="11" t="s">
        <v>173</v>
      </c>
      <c r="M381">
        <f t="shared" si="26"/>
        <v>28</v>
      </c>
      <c r="N381">
        <f t="shared" si="27"/>
        <v>7</v>
      </c>
      <c r="O381">
        <f t="shared" si="28"/>
        <v>2025</v>
      </c>
      <c r="P381" s="4">
        <f t="shared" si="29"/>
        <v>45866</v>
      </c>
      <c r="Q381" t="s">
        <v>1138</v>
      </c>
      <c r="R381" t="s">
        <v>1135</v>
      </c>
      <c r="S381">
        <v>3</v>
      </c>
      <c r="T381" t="s">
        <v>1145</v>
      </c>
      <c r="U381" s="11" t="str">
        <f t="shared" si="30"/>
        <v>11:53:42 AM</v>
      </c>
      <c r="AC381" s="4">
        <v>45552</v>
      </c>
      <c r="AD381" s="25">
        <v>14609.66</v>
      </c>
      <c r="BL381" s="2" t="s">
        <v>1531</v>
      </c>
      <c r="BM381" s="4">
        <v>45539</v>
      </c>
      <c r="BN381" s="25">
        <v>12371.15</v>
      </c>
    </row>
    <row r="382" spans="1:66" x14ac:dyDescent="0.35">
      <c r="A382">
        <v>6111</v>
      </c>
      <c r="B382" t="s">
        <v>19</v>
      </c>
      <c r="C382" s="1">
        <v>45592</v>
      </c>
      <c r="D382" t="s">
        <v>23</v>
      </c>
      <c r="E382" t="s">
        <v>21</v>
      </c>
      <c r="F382">
        <v>2</v>
      </c>
      <c r="G382">
        <v>1626.8</v>
      </c>
      <c r="H382">
        <v>3253.6</v>
      </c>
      <c r="I382">
        <v>258.95999999999998</v>
      </c>
      <c r="J382">
        <v>2994.64</v>
      </c>
      <c r="K382">
        <v>346</v>
      </c>
      <c r="L382" s="11" t="s">
        <v>174</v>
      </c>
      <c r="M382">
        <f t="shared" si="26"/>
        <v>27</v>
      </c>
      <c r="N382">
        <f t="shared" si="27"/>
        <v>10</v>
      </c>
      <c r="O382">
        <f t="shared" si="28"/>
        <v>2024</v>
      </c>
      <c r="P382" s="4">
        <f t="shared" si="29"/>
        <v>45592</v>
      </c>
      <c r="Q382" t="s">
        <v>1136</v>
      </c>
      <c r="R382" t="s">
        <v>1137</v>
      </c>
      <c r="S382">
        <v>4</v>
      </c>
      <c r="T382" t="s">
        <v>1146</v>
      </c>
      <c r="U382" s="11" t="str">
        <f t="shared" si="30"/>
        <v>12:13:57 AM</v>
      </c>
      <c r="AC382" s="4">
        <v>45553</v>
      </c>
      <c r="AD382" s="25">
        <v>9974.11</v>
      </c>
      <c r="BL382" s="2" t="s">
        <v>1532</v>
      </c>
      <c r="BM382" s="4">
        <v>45540</v>
      </c>
      <c r="BN382" s="25">
        <v>3265.2200000000003</v>
      </c>
    </row>
    <row r="383" spans="1:66" x14ac:dyDescent="0.35">
      <c r="A383">
        <v>7149</v>
      </c>
      <c r="B383" t="s">
        <v>20</v>
      </c>
      <c r="C383" s="1">
        <v>45453</v>
      </c>
      <c r="D383" t="s">
        <v>17</v>
      </c>
      <c r="E383" t="s">
        <v>18</v>
      </c>
      <c r="F383">
        <v>4</v>
      </c>
      <c r="G383">
        <v>927.11</v>
      </c>
      <c r="H383">
        <v>3708.44</v>
      </c>
      <c r="I383">
        <v>371.01</v>
      </c>
      <c r="J383">
        <v>3337.43</v>
      </c>
      <c r="K383">
        <v>109</v>
      </c>
      <c r="L383" s="11" t="s">
        <v>175</v>
      </c>
      <c r="M383">
        <f t="shared" si="26"/>
        <v>10</v>
      </c>
      <c r="N383">
        <f t="shared" si="27"/>
        <v>6</v>
      </c>
      <c r="O383">
        <f t="shared" si="28"/>
        <v>2024</v>
      </c>
      <c r="P383" s="4">
        <f t="shared" si="29"/>
        <v>45453</v>
      </c>
      <c r="Q383" t="s">
        <v>1139</v>
      </c>
      <c r="R383" t="s">
        <v>1137</v>
      </c>
      <c r="S383">
        <v>2</v>
      </c>
      <c r="T383" t="s">
        <v>1142</v>
      </c>
      <c r="U383" s="11" t="str">
        <f t="shared" si="30"/>
        <v>08:13:26 AM</v>
      </c>
      <c r="AC383" s="4">
        <v>45554</v>
      </c>
      <c r="AD383" s="25">
        <v>10815.73</v>
      </c>
      <c r="BL383" s="2" t="s">
        <v>1533</v>
      </c>
      <c r="BM383" s="4">
        <v>45541</v>
      </c>
      <c r="BN383" s="25">
        <v>10010.629999999999</v>
      </c>
    </row>
    <row r="384" spans="1:66" x14ac:dyDescent="0.35">
      <c r="A384">
        <v>4249</v>
      </c>
      <c r="B384" t="s">
        <v>15</v>
      </c>
      <c r="C384" s="1">
        <v>45204</v>
      </c>
      <c r="D384" t="s">
        <v>6</v>
      </c>
      <c r="E384" t="s">
        <v>32</v>
      </c>
      <c r="F384">
        <v>1</v>
      </c>
      <c r="G384">
        <v>419.15</v>
      </c>
      <c r="H384">
        <v>419.15</v>
      </c>
      <c r="I384">
        <v>63.08</v>
      </c>
      <c r="J384">
        <v>356.07</v>
      </c>
      <c r="K384">
        <v>63</v>
      </c>
      <c r="L384" s="11" t="s">
        <v>176</v>
      </c>
      <c r="M384">
        <f t="shared" si="26"/>
        <v>5</v>
      </c>
      <c r="N384">
        <f t="shared" si="27"/>
        <v>10</v>
      </c>
      <c r="O384">
        <f t="shared" si="28"/>
        <v>2023</v>
      </c>
      <c r="P384" s="4">
        <f t="shared" si="29"/>
        <v>45204</v>
      </c>
      <c r="Q384" t="s">
        <v>1136</v>
      </c>
      <c r="R384" t="s">
        <v>1135</v>
      </c>
      <c r="S384">
        <v>1</v>
      </c>
      <c r="T384" t="s">
        <v>1150</v>
      </c>
      <c r="U384" s="11" t="str">
        <f t="shared" si="30"/>
        <v>01:28:12 PM</v>
      </c>
      <c r="AC384" s="4">
        <v>45555</v>
      </c>
      <c r="AD384" s="25">
        <v>13173.76</v>
      </c>
      <c r="BL384" s="2" t="s">
        <v>1534</v>
      </c>
      <c r="BM384" s="4">
        <v>45542</v>
      </c>
      <c r="BN384" s="25">
        <v>6967.0199999999995</v>
      </c>
    </row>
    <row r="385" spans="1:66" x14ac:dyDescent="0.35">
      <c r="A385">
        <v>4978</v>
      </c>
      <c r="B385" t="s">
        <v>13</v>
      </c>
      <c r="C385" s="1">
        <v>45224</v>
      </c>
      <c r="D385" t="s">
        <v>11</v>
      </c>
      <c r="E385" t="s">
        <v>30</v>
      </c>
      <c r="F385">
        <v>2</v>
      </c>
      <c r="G385">
        <v>748.66</v>
      </c>
      <c r="H385">
        <v>1497.32</v>
      </c>
      <c r="I385">
        <v>282.2</v>
      </c>
      <c r="J385">
        <v>1215.1199999999999</v>
      </c>
      <c r="K385">
        <v>43</v>
      </c>
      <c r="L385" s="11" t="s">
        <v>177</v>
      </c>
      <c r="M385">
        <f t="shared" si="26"/>
        <v>25</v>
      </c>
      <c r="N385">
        <f t="shared" si="27"/>
        <v>10</v>
      </c>
      <c r="O385">
        <f t="shared" si="28"/>
        <v>2023</v>
      </c>
      <c r="P385" s="4">
        <f t="shared" si="29"/>
        <v>45224</v>
      </c>
      <c r="Q385" t="s">
        <v>1138</v>
      </c>
      <c r="R385" t="s">
        <v>1137</v>
      </c>
      <c r="S385">
        <v>1</v>
      </c>
      <c r="T385" t="s">
        <v>1147</v>
      </c>
      <c r="U385" s="11" t="str">
        <f t="shared" si="30"/>
        <v>11:29:55 PM</v>
      </c>
      <c r="AC385" s="4">
        <v>45556</v>
      </c>
      <c r="AD385" s="25">
        <v>5008.22</v>
      </c>
      <c r="BL385" s="2" t="s">
        <v>1535</v>
      </c>
      <c r="BM385" s="4">
        <v>45543</v>
      </c>
      <c r="BN385" s="25">
        <v>16600</v>
      </c>
    </row>
    <row r="386" spans="1:66" x14ac:dyDescent="0.35">
      <c r="A386">
        <v>5941</v>
      </c>
      <c r="B386" t="s">
        <v>19</v>
      </c>
      <c r="C386" s="1">
        <v>45805</v>
      </c>
      <c r="D386" t="s">
        <v>1</v>
      </c>
      <c r="E386" t="s">
        <v>26</v>
      </c>
      <c r="F386">
        <v>2</v>
      </c>
      <c r="G386">
        <v>1328</v>
      </c>
      <c r="H386">
        <v>2656</v>
      </c>
      <c r="I386">
        <v>0</v>
      </c>
      <c r="J386">
        <v>2656</v>
      </c>
      <c r="K386">
        <v>260</v>
      </c>
      <c r="L386" s="11" t="s">
        <v>178</v>
      </c>
      <c r="M386">
        <f t="shared" ref="M386:M449" si="31">DAY(C386)</f>
        <v>28</v>
      </c>
      <c r="N386">
        <f t="shared" ref="N386:N449" si="32">MONTH(C386)</f>
        <v>5</v>
      </c>
      <c r="O386">
        <f t="shared" ref="O386:O449" si="33">YEAR(C386)</f>
        <v>2025</v>
      </c>
      <c r="P386" s="4">
        <f t="shared" si="29"/>
        <v>45805</v>
      </c>
      <c r="Q386" t="s">
        <v>1138</v>
      </c>
      <c r="R386" t="s">
        <v>1137</v>
      </c>
      <c r="S386">
        <v>5</v>
      </c>
      <c r="T386" t="s">
        <v>1146</v>
      </c>
      <c r="U386" s="11" t="str">
        <f t="shared" si="30"/>
        <v>01:17:06 AM</v>
      </c>
      <c r="AC386" s="4">
        <v>45557</v>
      </c>
      <c r="AD386" s="25">
        <v>19281.73</v>
      </c>
      <c r="BL386" s="2" t="s">
        <v>1536</v>
      </c>
      <c r="BM386" s="4">
        <v>45544</v>
      </c>
      <c r="BN386" s="25">
        <v>6208.4</v>
      </c>
    </row>
    <row r="387" spans="1:66" x14ac:dyDescent="0.35">
      <c r="A387">
        <v>2983</v>
      </c>
      <c r="B387" t="s">
        <v>13</v>
      </c>
      <c r="C387" s="1">
        <v>45763</v>
      </c>
      <c r="D387" t="s">
        <v>24</v>
      </c>
      <c r="E387" t="s">
        <v>29</v>
      </c>
      <c r="F387">
        <v>2</v>
      </c>
      <c r="G387">
        <v>1273.22</v>
      </c>
      <c r="H387">
        <v>2546.44</v>
      </c>
      <c r="I387">
        <v>254.81</v>
      </c>
      <c r="J387">
        <v>2291.63</v>
      </c>
      <c r="K387">
        <v>57</v>
      </c>
      <c r="L387" s="11" t="s">
        <v>179</v>
      </c>
      <c r="M387">
        <f t="shared" si="31"/>
        <v>16</v>
      </c>
      <c r="N387">
        <f t="shared" si="32"/>
        <v>4</v>
      </c>
      <c r="O387">
        <f t="shared" si="33"/>
        <v>2025</v>
      </c>
      <c r="P387" s="4">
        <f t="shared" ref="P387:P450" si="34">DATE(O387,N387,M387)</f>
        <v>45763</v>
      </c>
      <c r="Q387" t="s">
        <v>1136</v>
      </c>
      <c r="R387" t="s">
        <v>1135</v>
      </c>
      <c r="S387">
        <v>5</v>
      </c>
      <c r="T387" t="s">
        <v>1145</v>
      </c>
      <c r="U387" s="11" t="str">
        <f t="shared" si="30"/>
        <v>07:17:21 PM</v>
      </c>
      <c r="AC387" s="4">
        <v>45558</v>
      </c>
      <c r="AD387" s="25">
        <v>19346.47</v>
      </c>
      <c r="BL387" s="2" t="s">
        <v>1537</v>
      </c>
      <c r="BM387" s="4">
        <v>45545</v>
      </c>
      <c r="BN387" s="25">
        <v>13920.759999999998</v>
      </c>
    </row>
    <row r="388" spans="1:66" x14ac:dyDescent="0.35">
      <c r="A388">
        <v>1672</v>
      </c>
      <c r="B388" t="s">
        <v>0</v>
      </c>
      <c r="C388" s="1">
        <v>45414</v>
      </c>
      <c r="D388" t="s">
        <v>27</v>
      </c>
      <c r="E388" t="s">
        <v>28</v>
      </c>
      <c r="F388">
        <v>3</v>
      </c>
      <c r="G388">
        <v>2329.81</v>
      </c>
      <c r="H388">
        <v>6989.43</v>
      </c>
      <c r="I388">
        <v>222.44</v>
      </c>
      <c r="J388">
        <v>6766.99</v>
      </c>
      <c r="K388">
        <v>67</v>
      </c>
      <c r="L388" s="11" t="s">
        <v>180</v>
      </c>
      <c r="M388">
        <f t="shared" si="31"/>
        <v>2</v>
      </c>
      <c r="N388">
        <f t="shared" si="32"/>
        <v>5</v>
      </c>
      <c r="O388">
        <f t="shared" si="33"/>
        <v>2024</v>
      </c>
      <c r="P388" s="4">
        <f t="shared" si="34"/>
        <v>45414</v>
      </c>
      <c r="Q388" t="s">
        <v>1134</v>
      </c>
      <c r="R388" t="s">
        <v>1137</v>
      </c>
      <c r="S388">
        <v>1</v>
      </c>
      <c r="T388" t="s">
        <v>1148</v>
      </c>
      <c r="U388" s="11" t="str">
        <f t="shared" si="30"/>
        <v>11:37:37 AM</v>
      </c>
      <c r="AC388" s="4">
        <v>45559</v>
      </c>
      <c r="AD388" s="25">
        <v>4768.3499999999995</v>
      </c>
      <c r="BL388" s="2" t="s">
        <v>1538</v>
      </c>
      <c r="BM388" s="4">
        <v>45546</v>
      </c>
      <c r="BN388" s="25">
        <v>3229.53</v>
      </c>
    </row>
    <row r="389" spans="1:66" x14ac:dyDescent="0.35">
      <c r="A389">
        <v>9728</v>
      </c>
      <c r="B389" t="s">
        <v>3</v>
      </c>
      <c r="C389" s="1">
        <v>45477</v>
      </c>
      <c r="D389" t="s">
        <v>16</v>
      </c>
      <c r="E389" t="s">
        <v>18</v>
      </c>
      <c r="F389">
        <v>4</v>
      </c>
      <c r="G389">
        <v>2379.61</v>
      </c>
      <c r="H389">
        <v>9518.44</v>
      </c>
      <c r="I389">
        <v>278.05</v>
      </c>
      <c r="J389">
        <v>9240.39</v>
      </c>
      <c r="K389">
        <v>394</v>
      </c>
      <c r="L389" s="11" t="s">
        <v>181</v>
      </c>
      <c r="M389">
        <f t="shared" si="31"/>
        <v>4</v>
      </c>
      <c r="N389">
        <f t="shared" si="32"/>
        <v>7</v>
      </c>
      <c r="O389">
        <f t="shared" si="33"/>
        <v>2024</v>
      </c>
      <c r="P389" s="4">
        <f t="shared" si="34"/>
        <v>45477</v>
      </c>
      <c r="Q389" t="s">
        <v>1134</v>
      </c>
      <c r="R389" t="s">
        <v>1135</v>
      </c>
      <c r="S389">
        <v>3</v>
      </c>
      <c r="T389" t="s">
        <v>1145</v>
      </c>
      <c r="U389" s="11" t="str">
        <f t="shared" si="30"/>
        <v>10:44:25 PM</v>
      </c>
      <c r="AC389" s="4">
        <v>45560</v>
      </c>
      <c r="AD389" s="25">
        <v>4912.7700000000004</v>
      </c>
      <c r="BL389" s="2" t="s">
        <v>1539</v>
      </c>
      <c r="BM389" s="4">
        <v>45547</v>
      </c>
      <c r="BN389" s="25">
        <v>9048.66</v>
      </c>
    </row>
    <row r="390" spans="1:66" x14ac:dyDescent="0.35">
      <c r="A390">
        <v>7071</v>
      </c>
      <c r="B390" t="s">
        <v>20</v>
      </c>
      <c r="C390" s="1">
        <v>45198</v>
      </c>
      <c r="D390" t="s">
        <v>24</v>
      </c>
      <c r="E390" t="s">
        <v>33</v>
      </c>
      <c r="F390">
        <v>1</v>
      </c>
      <c r="G390">
        <v>2302.42</v>
      </c>
      <c r="H390">
        <v>2302.42</v>
      </c>
      <c r="I390">
        <v>178.45</v>
      </c>
      <c r="J390">
        <v>2123.9699999999998</v>
      </c>
      <c r="K390">
        <v>485</v>
      </c>
      <c r="L390" s="11" t="s">
        <v>182</v>
      </c>
      <c r="M390">
        <f t="shared" si="31"/>
        <v>29</v>
      </c>
      <c r="N390">
        <f t="shared" si="32"/>
        <v>9</v>
      </c>
      <c r="O390">
        <f t="shared" si="33"/>
        <v>2023</v>
      </c>
      <c r="P390" s="4">
        <f t="shared" si="34"/>
        <v>45198</v>
      </c>
      <c r="Q390" t="s">
        <v>1138</v>
      </c>
      <c r="R390" t="s">
        <v>1135</v>
      </c>
      <c r="S390">
        <v>3</v>
      </c>
      <c r="T390" t="s">
        <v>1142</v>
      </c>
      <c r="U390" s="11" t="str">
        <f t="shared" si="30"/>
        <v>06:07:23 PM</v>
      </c>
      <c r="AC390" s="4">
        <v>45561</v>
      </c>
      <c r="AD390" s="25">
        <v>9270.27</v>
      </c>
      <c r="BL390" s="2" t="s">
        <v>1540</v>
      </c>
      <c r="BM390" s="4">
        <v>45548</v>
      </c>
      <c r="BN390" s="25">
        <v>12993.65</v>
      </c>
    </row>
    <row r="391" spans="1:66" x14ac:dyDescent="0.35">
      <c r="A391">
        <v>9289</v>
      </c>
      <c r="B391" t="s">
        <v>19</v>
      </c>
      <c r="C391" s="1">
        <v>45647</v>
      </c>
      <c r="D391" t="s">
        <v>9</v>
      </c>
      <c r="E391" t="s">
        <v>5</v>
      </c>
      <c r="F391">
        <v>4</v>
      </c>
      <c r="G391">
        <v>280.54000000000002</v>
      </c>
      <c r="H391">
        <v>1122.1600000000001</v>
      </c>
      <c r="I391">
        <v>168.49</v>
      </c>
      <c r="J391">
        <v>953.67</v>
      </c>
      <c r="K391">
        <v>274</v>
      </c>
      <c r="L391" s="11" t="s">
        <v>183</v>
      </c>
      <c r="M391">
        <f t="shared" si="31"/>
        <v>21</v>
      </c>
      <c r="N391">
        <f t="shared" si="32"/>
        <v>12</v>
      </c>
      <c r="O391">
        <f t="shared" si="33"/>
        <v>2024</v>
      </c>
      <c r="P391" s="4">
        <f t="shared" si="34"/>
        <v>45647</v>
      </c>
      <c r="Q391" t="s">
        <v>1138</v>
      </c>
      <c r="R391" t="s">
        <v>1137</v>
      </c>
      <c r="S391">
        <v>5</v>
      </c>
      <c r="T391" t="s">
        <v>1143</v>
      </c>
      <c r="U391" s="11" t="str">
        <f t="shared" si="30"/>
        <v>12:57:02 PM</v>
      </c>
      <c r="AC391" s="4">
        <v>45562</v>
      </c>
      <c r="AD391" s="25">
        <v>7589.5199999999995</v>
      </c>
      <c r="BL391" s="2" t="s">
        <v>1541</v>
      </c>
      <c r="BM391" s="4">
        <v>45549</v>
      </c>
      <c r="BN391" s="25">
        <v>1304.76</v>
      </c>
    </row>
    <row r="392" spans="1:66" x14ac:dyDescent="0.35">
      <c r="A392">
        <v>6590</v>
      </c>
      <c r="B392" t="s">
        <v>0</v>
      </c>
      <c r="C392" s="1">
        <v>45154</v>
      </c>
      <c r="D392" t="s">
        <v>24</v>
      </c>
      <c r="E392" t="s">
        <v>32</v>
      </c>
      <c r="F392">
        <v>5</v>
      </c>
      <c r="G392">
        <v>2299.1</v>
      </c>
      <c r="H392">
        <v>11495.5</v>
      </c>
      <c r="I392">
        <v>191.73</v>
      </c>
      <c r="J392">
        <v>11303.77</v>
      </c>
      <c r="K392">
        <v>498</v>
      </c>
      <c r="L392" s="11" t="s">
        <v>184</v>
      </c>
      <c r="M392">
        <f t="shared" si="31"/>
        <v>16</v>
      </c>
      <c r="N392">
        <f t="shared" si="32"/>
        <v>8</v>
      </c>
      <c r="O392">
        <f t="shared" si="33"/>
        <v>2023</v>
      </c>
      <c r="P392" s="4">
        <f t="shared" si="34"/>
        <v>45154</v>
      </c>
      <c r="Q392" t="s">
        <v>1134</v>
      </c>
      <c r="R392" t="s">
        <v>1137</v>
      </c>
      <c r="S392">
        <v>4</v>
      </c>
      <c r="T392" t="s">
        <v>1150</v>
      </c>
      <c r="U392" s="11" t="str">
        <f t="shared" si="30"/>
        <v>03:29:18 PM</v>
      </c>
      <c r="AC392" s="4">
        <v>45563</v>
      </c>
      <c r="AD392" s="25">
        <v>6729.6399999999994</v>
      </c>
      <c r="BL392" s="2" t="s">
        <v>1542</v>
      </c>
      <c r="BM392" s="4">
        <v>45551</v>
      </c>
      <c r="BN392" s="25">
        <v>9271.1</v>
      </c>
    </row>
    <row r="393" spans="1:66" x14ac:dyDescent="0.35">
      <c r="A393">
        <v>7882</v>
      </c>
      <c r="B393" t="s">
        <v>0</v>
      </c>
      <c r="C393" s="1">
        <v>45783</v>
      </c>
      <c r="D393" t="s">
        <v>24</v>
      </c>
      <c r="E393" t="s">
        <v>5</v>
      </c>
      <c r="F393">
        <v>2</v>
      </c>
      <c r="G393">
        <v>221.61</v>
      </c>
      <c r="H393">
        <v>443.22</v>
      </c>
      <c r="I393">
        <v>233.23</v>
      </c>
      <c r="J393">
        <v>209.99</v>
      </c>
      <c r="K393">
        <v>44</v>
      </c>
      <c r="L393" s="11" t="s">
        <v>185</v>
      </c>
      <c r="M393">
        <f t="shared" si="31"/>
        <v>6</v>
      </c>
      <c r="N393">
        <f t="shared" si="32"/>
        <v>5</v>
      </c>
      <c r="O393">
        <f t="shared" si="33"/>
        <v>2025</v>
      </c>
      <c r="P393" s="4">
        <f t="shared" si="34"/>
        <v>45783</v>
      </c>
      <c r="Q393" t="s">
        <v>1134</v>
      </c>
      <c r="R393" t="s">
        <v>1137</v>
      </c>
      <c r="S393">
        <v>1</v>
      </c>
      <c r="T393" t="s">
        <v>1142</v>
      </c>
      <c r="U393" s="11" t="str">
        <f t="shared" si="30"/>
        <v>01:50:05 AM</v>
      </c>
      <c r="AC393" s="4">
        <v>45564</v>
      </c>
      <c r="AD393" s="25">
        <v>3294.27</v>
      </c>
      <c r="BL393" s="2" t="s">
        <v>1543</v>
      </c>
      <c r="BM393" s="4">
        <v>45552</v>
      </c>
      <c r="BN393" s="25">
        <v>14609.66</v>
      </c>
    </row>
    <row r="394" spans="1:66" x14ac:dyDescent="0.35">
      <c r="A394">
        <v>9031</v>
      </c>
      <c r="B394" t="s">
        <v>20</v>
      </c>
      <c r="C394" s="1">
        <v>45226</v>
      </c>
      <c r="D394" t="s">
        <v>24</v>
      </c>
      <c r="E394" t="s">
        <v>18</v>
      </c>
      <c r="F394">
        <v>1</v>
      </c>
      <c r="G394">
        <v>112.88</v>
      </c>
      <c r="H394">
        <v>112.88</v>
      </c>
      <c r="I394">
        <v>22.41</v>
      </c>
      <c r="J394">
        <v>90.47</v>
      </c>
      <c r="K394">
        <v>70</v>
      </c>
      <c r="L394" s="11" t="s">
        <v>186</v>
      </c>
      <c r="M394">
        <f t="shared" si="31"/>
        <v>27</v>
      </c>
      <c r="N394">
        <f t="shared" si="32"/>
        <v>10</v>
      </c>
      <c r="O394">
        <f t="shared" si="33"/>
        <v>2023</v>
      </c>
      <c r="P394" s="4">
        <f t="shared" si="34"/>
        <v>45226</v>
      </c>
      <c r="Q394" t="s">
        <v>1136</v>
      </c>
      <c r="R394" t="s">
        <v>1137</v>
      </c>
      <c r="S394">
        <v>5</v>
      </c>
      <c r="T394" t="s">
        <v>1150</v>
      </c>
      <c r="U394" s="11" t="str">
        <f t="shared" si="30"/>
        <v>01:35:01 AM</v>
      </c>
      <c r="AC394" s="4">
        <v>45565</v>
      </c>
      <c r="AD394" s="25">
        <v>6767.82</v>
      </c>
      <c r="BL394" s="2" t="s">
        <v>1544</v>
      </c>
      <c r="BM394" s="4">
        <v>45553</v>
      </c>
      <c r="BN394" s="25">
        <v>9974.11</v>
      </c>
    </row>
    <row r="395" spans="1:66" x14ac:dyDescent="0.35">
      <c r="A395">
        <v>8102</v>
      </c>
      <c r="B395" t="s">
        <v>15</v>
      </c>
      <c r="C395" s="1">
        <v>45426</v>
      </c>
      <c r="D395" t="s">
        <v>11</v>
      </c>
      <c r="E395" t="s">
        <v>36</v>
      </c>
      <c r="F395">
        <v>5</v>
      </c>
      <c r="G395">
        <v>1967.1</v>
      </c>
      <c r="H395">
        <v>9835.5</v>
      </c>
      <c r="I395">
        <v>1967.1</v>
      </c>
      <c r="J395">
        <v>7868.4</v>
      </c>
      <c r="K395">
        <v>369</v>
      </c>
      <c r="L395" s="11" t="s">
        <v>187</v>
      </c>
      <c r="M395">
        <f t="shared" si="31"/>
        <v>14</v>
      </c>
      <c r="N395">
        <f t="shared" si="32"/>
        <v>5</v>
      </c>
      <c r="O395">
        <f t="shared" si="33"/>
        <v>2024</v>
      </c>
      <c r="P395" s="4">
        <f t="shared" si="34"/>
        <v>45426</v>
      </c>
      <c r="Q395" t="s">
        <v>1136</v>
      </c>
      <c r="R395" t="s">
        <v>1137</v>
      </c>
      <c r="S395">
        <v>5</v>
      </c>
      <c r="T395" t="s">
        <v>1144</v>
      </c>
      <c r="U395" s="11" t="str">
        <f t="shared" si="30"/>
        <v>06:57:25 PM</v>
      </c>
      <c r="AC395" s="4">
        <v>45566</v>
      </c>
      <c r="AD395" s="25">
        <v>4132.57</v>
      </c>
      <c r="BL395" s="2" t="s">
        <v>1545</v>
      </c>
      <c r="BM395" s="4">
        <v>45554</v>
      </c>
      <c r="BN395" s="25">
        <v>10815.73</v>
      </c>
    </row>
    <row r="396" spans="1:66" x14ac:dyDescent="0.35">
      <c r="A396">
        <v>8532</v>
      </c>
      <c r="B396" t="s">
        <v>25</v>
      </c>
      <c r="C396" s="1">
        <v>45694</v>
      </c>
      <c r="D396" t="s">
        <v>23</v>
      </c>
      <c r="E396" t="s">
        <v>2</v>
      </c>
      <c r="F396">
        <v>1</v>
      </c>
      <c r="G396">
        <v>1938.88</v>
      </c>
      <c r="H396">
        <v>1938.88</v>
      </c>
      <c r="I396">
        <v>194.22</v>
      </c>
      <c r="J396">
        <v>1744.66</v>
      </c>
      <c r="K396">
        <v>15</v>
      </c>
      <c r="L396" s="11" t="s">
        <v>188</v>
      </c>
      <c r="M396">
        <f t="shared" si="31"/>
        <v>6</v>
      </c>
      <c r="N396">
        <f t="shared" si="32"/>
        <v>2</v>
      </c>
      <c r="O396">
        <f t="shared" si="33"/>
        <v>2025</v>
      </c>
      <c r="P396" s="4">
        <f t="shared" si="34"/>
        <v>45694</v>
      </c>
      <c r="Q396" t="s">
        <v>1134</v>
      </c>
      <c r="R396" t="s">
        <v>1137</v>
      </c>
      <c r="S396">
        <v>1</v>
      </c>
      <c r="T396" t="s">
        <v>1144</v>
      </c>
      <c r="U396" s="11" t="str">
        <f t="shared" si="30"/>
        <v>05:57:32 AM</v>
      </c>
      <c r="AC396" s="4">
        <v>45567</v>
      </c>
      <c r="AD396" s="25">
        <v>9939.25</v>
      </c>
      <c r="BL396" s="2" t="s">
        <v>1546</v>
      </c>
      <c r="BM396" s="4">
        <v>45555</v>
      </c>
      <c r="BN396" s="25">
        <v>13173.76</v>
      </c>
    </row>
    <row r="397" spans="1:66" x14ac:dyDescent="0.35">
      <c r="A397">
        <v>3506</v>
      </c>
      <c r="B397" t="s">
        <v>19</v>
      </c>
      <c r="C397" s="1">
        <v>45483</v>
      </c>
      <c r="D397" t="s">
        <v>27</v>
      </c>
      <c r="E397" t="s">
        <v>32</v>
      </c>
      <c r="F397">
        <v>3</v>
      </c>
      <c r="G397">
        <v>1796.95</v>
      </c>
      <c r="H397">
        <v>5390.85</v>
      </c>
      <c r="I397">
        <v>539.5</v>
      </c>
      <c r="J397">
        <v>4851.3500000000004</v>
      </c>
      <c r="K397">
        <v>295</v>
      </c>
      <c r="L397" s="11" t="s">
        <v>189</v>
      </c>
      <c r="M397">
        <f t="shared" si="31"/>
        <v>10</v>
      </c>
      <c r="N397">
        <f t="shared" si="32"/>
        <v>7</v>
      </c>
      <c r="O397">
        <f t="shared" si="33"/>
        <v>2024</v>
      </c>
      <c r="P397" s="4">
        <f t="shared" si="34"/>
        <v>45483</v>
      </c>
      <c r="Q397" t="s">
        <v>1136</v>
      </c>
      <c r="R397" t="s">
        <v>1137</v>
      </c>
      <c r="S397">
        <v>1</v>
      </c>
      <c r="T397" t="s">
        <v>1141</v>
      </c>
      <c r="U397" s="11" t="str">
        <f t="shared" si="30"/>
        <v>12:33:42 PM</v>
      </c>
      <c r="AC397" s="4">
        <v>45568</v>
      </c>
      <c r="AD397" s="25">
        <v>8498.369999999999</v>
      </c>
      <c r="BL397" s="2" t="s">
        <v>1547</v>
      </c>
      <c r="BM397" s="4">
        <v>45556</v>
      </c>
      <c r="BN397" s="25">
        <v>5008.22</v>
      </c>
    </row>
    <row r="398" spans="1:66" x14ac:dyDescent="0.35">
      <c r="A398">
        <v>3885</v>
      </c>
      <c r="B398" t="s">
        <v>15</v>
      </c>
      <c r="C398" s="1">
        <v>45714</v>
      </c>
      <c r="D398" t="s">
        <v>27</v>
      </c>
      <c r="E398" t="s">
        <v>12</v>
      </c>
      <c r="F398">
        <v>1</v>
      </c>
      <c r="G398">
        <v>1284.8399999999999</v>
      </c>
      <c r="H398">
        <v>1284.8399999999999</v>
      </c>
      <c r="I398">
        <v>192.56</v>
      </c>
      <c r="J398">
        <v>1092.28</v>
      </c>
      <c r="K398">
        <v>290</v>
      </c>
      <c r="L398" s="11" t="s">
        <v>190</v>
      </c>
      <c r="M398">
        <f t="shared" si="31"/>
        <v>26</v>
      </c>
      <c r="N398">
        <f t="shared" si="32"/>
        <v>2</v>
      </c>
      <c r="O398">
        <f t="shared" si="33"/>
        <v>2025</v>
      </c>
      <c r="P398" s="4">
        <f t="shared" si="34"/>
        <v>45714</v>
      </c>
      <c r="Q398" t="s">
        <v>1136</v>
      </c>
      <c r="R398" t="s">
        <v>1135</v>
      </c>
      <c r="S398">
        <v>3</v>
      </c>
      <c r="T398" t="s">
        <v>1150</v>
      </c>
      <c r="U398" s="11" t="str">
        <f t="shared" si="30"/>
        <v>10:27:52 AM</v>
      </c>
      <c r="AC398" s="4">
        <v>45569</v>
      </c>
      <c r="AD398" s="25">
        <v>3683.54</v>
      </c>
      <c r="BL398" s="2" t="s">
        <v>1548</v>
      </c>
      <c r="BM398" s="4">
        <v>45557</v>
      </c>
      <c r="BN398" s="25">
        <v>19281.73</v>
      </c>
    </row>
    <row r="399" spans="1:66" x14ac:dyDescent="0.35">
      <c r="A399">
        <v>9548</v>
      </c>
      <c r="B399" t="s">
        <v>8</v>
      </c>
      <c r="C399" s="1">
        <v>45650</v>
      </c>
      <c r="D399" t="s">
        <v>24</v>
      </c>
      <c r="E399" t="s">
        <v>38</v>
      </c>
      <c r="F399">
        <v>5</v>
      </c>
      <c r="G399">
        <v>1704.82</v>
      </c>
      <c r="H399">
        <v>8524.1</v>
      </c>
      <c r="I399">
        <v>0</v>
      </c>
      <c r="J399">
        <v>8524.1</v>
      </c>
      <c r="K399">
        <v>59</v>
      </c>
      <c r="L399" s="11" t="s">
        <v>191</v>
      </c>
      <c r="M399">
        <f t="shared" si="31"/>
        <v>24</v>
      </c>
      <c r="N399">
        <f t="shared" si="32"/>
        <v>12</v>
      </c>
      <c r="O399">
        <f t="shared" si="33"/>
        <v>2024</v>
      </c>
      <c r="P399" s="4">
        <f t="shared" si="34"/>
        <v>45650</v>
      </c>
      <c r="Q399" t="s">
        <v>1139</v>
      </c>
      <c r="R399" t="s">
        <v>1137</v>
      </c>
      <c r="S399">
        <v>4</v>
      </c>
      <c r="T399" t="s">
        <v>1146</v>
      </c>
      <c r="U399" s="11" t="str">
        <f t="shared" si="30"/>
        <v>09:28:48 PM</v>
      </c>
      <c r="AC399" s="4">
        <v>45571</v>
      </c>
      <c r="AD399" s="25">
        <v>16224.009999999998</v>
      </c>
      <c r="BL399" s="2" t="s">
        <v>1549</v>
      </c>
      <c r="BM399" s="4">
        <v>45558</v>
      </c>
      <c r="BN399" s="25">
        <v>19346.47</v>
      </c>
    </row>
    <row r="400" spans="1:66" x14ac:dyDescent="0.35">
      <c r="A400">
        <v>5425</v>
      </c>
      <c r="B400" t="s">
        <v>3</v>
      </c>
      <c r="C400" s="1">
        <v>45623</v>
      </c>
      <c r="D400" t="s">
        <v>1</v>
      </c>
      <c r="E400" t="s">
        <v>29</v>
      </c>
      <c r="F400">
        <v>1</v>
      </c>
      <c r="G400">
        <v>670.64</v>
      </c>
      <c r="H400">
        <v>670.64</v>
      </c>
      <c r="I400">
        <v>67.23</v>
      </c>
      <c r="J400">
        <v>603.41</v>
      </c>
      <c r="K400">
        <v>241</v>
      </c>
      <c r="L400" s="11" t="s">
        <v>192</v>
      </c>
      <c r="M400">
        <f t="shared" si="31"/>
        <v>27</v>
      </c>
      <c r="N400">
        <f t="shared" si="32"/>
        <v>11</v>
      </c>
      <c r="O400">
        <f t="shared" si="33"/>
        <v>2024</v>
      </c>
      <c r="P400" s="4">
        <f t="shared" si="34"/>
        <v>45623</v>
      </c>
      <c r="Q400" t="s">
        <v>1136</v>
      </c>
      <c r="R400" t="s">
        <v>1135</v>
      </c>
      <c r="S400">
        <v>4</v>
      </c>
      <c r="T400" t="s">
        <v>1148</v>
      </c>
      <c r="U400" s="11" t="str">
        <f t="shared" si="30"/>
        <v>11:06:06 PM</v>
      </c>
      <c r="AC400" s="4">
        <v>45572</v>
      </c>
      <c r="AD400" s="25">
        <v>4318.49</v>
      </c>
      <c r="BL400" s="2" t="s">
        <v>1550</v>
      </c>
      <c r="BM400" s="4">
        <v>45559</v>
      </c>
      <c r="BN400" s="25">
        <v>4768.3499999999995</v>
      </c>
    </row>
    <row r="401" spans="1:66" x14ac:dyDescent="0.35">
      <c r="A401">
        <v>9817</v>
      </c>
      <c r="B401" t="s">
        <v>8</v>
      </c>
      <c r="C401" s="1">
        <v>45746</v>
      </c>
      <c r="D401" t="s">
        <v>23</v>
      </c>
      <c r="E401" t="s">
        <v>29</v>
      </c>
      <c r="F401">
        <v>5</v>
      </c>
      <c r="G401">
        <v>2015.24</v>
      </c>
      <c r="H401">
        <v>10076.200000000001</v>
      </c>
      <c r="I401">
        <v>2015.24</v>
      </c>
      <c r="J401">
        <v>8060.96</v>
      </c>
      <c r="K401">
        <v>365</v>
      </c>
      <c r="L401" s="11" t="s">
        <v>193</v>
      </c>
      <c r="M401">
        <f t="shared" si="31"/>
        <v>30</v>
      </c>
      <c r="N401">
        <f t="shared" si="32"/>
        <v>3</v>
      </c>
      <c r="O401">
        <f t="shared" si="33"/>
        <v>2025</v>
      </c>
      <c r="P401" s="4">
        <f t="shared" si="34"/>
        <v>45746</v>
      </c>
      <c r="Q401" t="s">
        <v>1138</v>
      </c>
      <c r="R401" t="s">
        <v>1137</v>
      </c>
      <c r="S401">
        <v>1</v>
      </c>
      <c r="T401" t="s">
        <v>1147</v>
      </c>
      <c r="U401" s="11" t="str">
        <f t="shared" si="30"/>
        <v>11:49:04 AM</v>
      </c>
      <c r="AC401" s="4">
        <v>45573</v>
      </c>
      <c r="AD401" s="25">
        <v>5091.22</v>
      </c>
      <c r="BL401" s="2" t="s">
        <v>1551</v>
      </c>
      <c r="BM401" s="4">
        <v>45560</v>
      </c>
      <c r="BN401" s="25">
        <v>4912.7700000000004</v>
      </c>
    </row>
    <row r="402" spans="1:66" x14ac:dyDescent="0.35">
      <c r="A402">
        <v>8921</v>
      </c>
      <c r="B402" t="s">
        <v>25</v>
      </c>
      <c r="C402" s="1">
        <v>45506</v>
      </c>
      <c r="D402" t="s">
        <v>6</v>
      </c>
      <c r="E402" t="s">
        <v>5</v>
      </c>
      <c r="F402">
        <v>3</v>
      </c>
      <c r="G402">
        <v>735.38</v>
      </c>
      <c r="H402">
        <v>2206.14</v>
      </c>
      <c r="I402">
        <v>249.83</v>
      </c>
      <c r="J402">
        <v>1956.31</v>
      </c>
      <c r="K402">
        <v>39</v>
      </c>
      <c r="L402" s="11" t="s">
        <v>194</v>
      </c>
      <c r="M402">
        <f t="shared" si="31"/>
        <v>2</v>
      </c>
      <c r="N402">
        <f t="shared" si="32"/>
        <v>8</v>
      </c>
      <c r="O402">
        <f t="shared" si="33"/>
        <v>2024</v>
      </c>
      <c r="P402" s="4">
        <f t="shared" si="34"/>
        <v>45506</v>
      </c>
      <c r="Q402" t="s">
        <v>1136</v>
      </c>
      <c r="R402" t="s">
        <v>1137</v>
      </c>
      <c r="S402">
        <v>2</v>
      </c>
      <c r="T402" t="s">
        <v>1145</v>
      </c>
      <c r="U402" s="11" t="str">
        <f t="shared" si="30"/>
        <v>10:05:15 AM</v>
      </c>
      <c r="AC402" s="4">
        <v>45574</v>
      </c>
      <c r="AD402" s="25">
        <v>35129.750000000007</v>
      </c>
      <c r="BL402" s="2" t="s">
        <v>1552</v>
      </c>
      <c r="BM402" s="4">
        <v>45561</v>
      </c>
      <c r="BN402" s="25">
        <v>9270.27</v>
      </c>
    </row>
    <row r="403" spans="1:66" x14ac:dyDescent="0.35">
      <c r="A403">
        <v>8136</v>
      </c>
      <c r="B403" t="s">
        <v>20</v>
      </c>
      <c r="C403" s="1">
        <v>45786</v>
      </c>
      <c r="D403" t="s">
        <v>23</v>
      </c>
      <c r="E403" t="s">
        <v>14</v>
      </c>
      <c r="F403">
        <v>5</v>
      </c>
      <c r="G403">
        <v>2444.35</v>
      </c>
      <c r="H403">
        <v>12221.75</v>
      </c>
      <c r="I403">
        <v>374.33</v>
      </c>
      <c r="J403">
        <v>11847.42</v>
      </c>
      <c r="K403">
        <v>488</v>
      </c>
      <c r="L403" s="11" t="s">
        <v>195</v>
      </c>
      <c r="M403">
        <f t="shared" si="31"/>
        <v>9</v>
      </c>
      <c r="N403">
        <f t="shared" si="32"/>
        <v>5</v>
      </c>
      <c r="O403">
        <f t="shared" si="33"/>
        <v>2025</v>
      </c>
      <c r="P403" s="4">
        <f t="shared" si="34"/>
        <v>45786</v>
      </c>
      <c r="Q403" t="s">
        <v>1136</v>
      </c>
      <c r="R403" t="s">
        <v>1135</v>
      </c>
      <c r="S403">
        <v>5</v>
      </c>
      <c r="T403" t="s">
        <v>1144</v>
      </c>
      <c r="U403" s="11" t="str">
        <f t="shared" si="30"/>
        <v>09:44:09 PM</v>
      </c>
      <c r="AC403" s="4">
        <v>45575</v>
      </c>
      <c r="AD403" s="25">
        <v>10271.25</v>
      </c>
      <c r="BL403" s="2" t="s">
        <v>1553</v>
      </c>
      <c r="BM403" s="4">
        <v>45562</v>
      </c>
      <c r="BN403" s="25">
        <v>7589.5199999999995</v>
      </c>
    </row>
    <row r="404" spans="1:66" x14ac:dyDescent="0.35">
      <c r="A404">
        <v>5397</v>
      </c>
      <c r="B404" t="s">
        <v>19</v>
      </c>
      <c r="C404" s="1">
        <v>45395</v>
      </c>
      <c r="D404" t="s">
        <v>24</v>
      </c>
      <c r="E404" t="s">
        <v>10</v>
      </c>
      <c r="F404">
        <v>1</v>
      </c>
      <c r="G404">
        <v>1413.49</v>
      </c>
      <c r="H404">
        <v>1413.49</v>
      </c>
      <c r="I404">
        <v>283.02999999999997</v>
      </c>
      <c r="J404">
        <v>1130.46</v>
      </c>
      <c r="K404">
        <v>4</v>
      </c>
      <c r="L404" s="11" t="s">
        <v>196</v>
      </c>
      <c r="M404">
        <f t="shared" si="31"/>
        <v>13</v>
      </c>
      <c r="N404">
        <f t="shared" si="32"/>
        <v>4</v>
      </c>
      <c r="O404">
        <f t="shared" si="33"/>
        <v>2024</v>
      </c>
      <c r="P404" s="4">
        <f t="shared" si="34"/>
        <v>45395</v>
      </c>
      <c r="Q404" t="s">
        <v>1134</v>
      </c>
      <c r="R404" t="s">
        <v>1137</v>
      </c>
      <c r="S404">
        <v>5</v>
      </c>
      <c r="T404" t="s">
        <v>1145</v>
      </c>
      <c r="U404" s="11" t="str">
        <f t="shared" si="30"/>
        <v>08:38:49 PM</v>
      </c>
      <c r="AC404" s="4">
        <v>45576</v>
      </c>
      <c r="AD404" s="25">
        <v>10726.089999999998</v>
      </c>
      <c r="BL404" s="2" t="s">
        <v>1554</v>
      </c>
      <c r="BM404" s="4">
        <v>45563</v>
      </c>
      <c r="BN404" s="25">
        <v>6729.6399999999994</v>
      </c>
    </row>
    <row r="405" spans="1:66" x14ac:dyDescent="0.35">
      <c r="A405">
        <v>5022</v>
      </c>
      <c r="B405" t="s">
        <v>19</v>
      </c>
      <c r="C405" s="1">
        <v>45790</v>
      </c>
      <c r="D405" t="s">
        <v>17</v>
      </c>
      <c r="E405" t="s">
        <v>26</v>
      </c>
      <c r="F405">
        <v>5</v>
      </c>
      <c r="G405">
        <v>665.66</v>
      </c>
      <c r="H405">
        <v>3328.3</v>
      </c>
      <c r="I405">
        <v>665.66</v>
      </c>
      <c r="J405">
        <v>2662.64</v>
      </c>
      <c r="K405">
        <v>188</v>
      </c>
      <c r="L405" s="11" t="s">
        <v>197</v>
      </c>
      <c r="M405">
        <f t="shared" si="31"/>
        <v>13</v>
      </c>
      <c r="N405">
        <f t="shared" si="32"/>
        <v>5</v>
      </c>
      <c r="O405">
        <f t="shared" si="33"/>
        <v>2025</v>
      </c>
      <c r="P405" s="4">
        <f t="shared" si="34"/>
        <v>45790</v>
      </c>
      <c r="Q405" t="s">
        <v>1138</v>
      </c>
      <c r="R405" t="s">
        <v>1137</v>
      </c>
      <c r="S405">
        <v>1</v>
      </c>
      <c r="T405" t="s">
        <v>1145</v>
      </c>
      <c r="U405" s="11" t="str">
        <f t="shared" si="30"/>
        <v>08:40:11 AM</v>
      </c>
      <c r="AC405" s="4">
        <v>45577</v>
      </c>
      <c r="AD405" s="25">
        <v>11034.85</v>
      </c>
      <c r="BL405" s="2" t="s">
        <v>1555</v>
      </c>
      <c r="BM405" s="4">
        <v>45564</v>
      </c>
      <c r="BN405" s="25">
        <v>3294.27</v>
      </c>
    </row>
    <row r="406" spans="1:66" x14ac:dyDescent="0.35">
      <c r="A406">
        <v>2419</v>
      </c>
      <c r="B406" t="s">
        <v>3</v>
      </c>
      <c r="C406" s="1">
        <v>45361</v>
      </c>
      <c r="D406" t="s">
        <v>6</v>
      </c>
      <c r="E406" t="s">
        <v>30</v>
      </c>
      <c r="F406">
        <v>1</v>
      </c>
      <c r="G406">
        <v>2326.4899999999998</v>
      </c>
      <c r="H406">
        <v>2326.4899999999998</v>
      </c>
      <c r="I406">
        <v>198.37</v>
      </c>
      <c r="J406">
        <v>2128.12</v>
      </c>
      <c r="K406">
        <v>12</v>
      </c>
      <c r="L406" s="11" t="s">
        <v>198</v>
      </c>
      <c r="M406">
        <f t="shared" si="31"/>
        <v>10</v>
      </c>
      <c r="N406">
        <f t="shared" si="32"/>
        <v>3</v>
      </c>
      <c r="O406">
        <f t="shared" si="33"/>
        <v>2024</v>
      </c>
      <c r="P406" s="4">
        <f t="shared" si="34"/>
        <v>45361</v>
      </c>
      <c r="Q406" t="s">
        <v>1136</v>
      </c>
      <c r="R406" t="s">
        <v>1135</v>
      </c>
      <c r="S406">
        <v>2</v>
      </c>
      <c r="T406" t="s">
        <v>1148</v>
      </c>
      <c r="U406" s="11" t="str">
        <f t="shared" si="30"/>
        <v>12:28:12 PM</v>
      </c>
      <c r="AC406" s="4">
        <v>45578</v>
      </c>
      <c r="AD406" s="25">
        <v>2460.9499999999998</v>
      </c>
      <c r="BL406" s="2" t="s">
        <v>1556</v>
      </c>
      <c r="BM406" s="4">
        <v>45565</v>
      </c>
      <c r="BN406" s="25">
        <v>6767.82</v>
      </c>
    </row>
    <row r="407" spans="1:66" x14ac:dyDescent="0.35">
      <c r="A407">
        <v>8385</v>
      </c>
      <c r="B407" t="s">
        <v>20</v>
      </c>
      <c r="C407" s="1">
        <v>45334</v>
      </c>
      <c r="D407" t="s">
        <v>11</v>
      </c>
      <c r="E407" t="s">
        <v>28</v>
      </c>
      <c r="F407">
        <v>4</v>
      </c>
      <c r="G407">
        <v>2125.63</v>
      </c>
      <c r="H407">
        <v>8502.52</v>
      </c>
      <c r="I407">
        <v>151.06</v>
      </c>
      <c r="J407">
        <v>8351.4599999999991</v>
      </c>
      <c r="K407">
        <v>372</v>
      </c>
      <c r="L407" s="11" t="s">
        <v>199</v>
      </c>
      <c r="M407">
        <f t="shared" si="31"/>
        <v>12</v>
      </c>
      <c r="N407">
        <f t="shared" si="32"/>
        <v>2</v>
      </c>
      <c r="O407">
        <f t="shared" si="33"/>
        <v>2024</v>
      </c>
      <c r="P407" s="4">
        <f t="shared" si="34"/>
        <v>45334</v>
      </c>
      <c r="Q407" t="s">
        <v>1136</v>
      </c>
      <c r="R407" t="s">
        <v>1137</v>
      </c>
      <c r="S407">
        <v>3</v>
      </c>
      <c r="T407" t="s">
        <v>1142</v>
      </c>
      <c r="U407" s="11" t="str">
        <f t="shared" si="30"/>
        <v>07:16:43 PM</v>
      </c>
      <c r="AC407" s="4">
        <v>45579</v>
      </c>
      <c r="AD407" s="25">
        <v>8009.5</v>
      </c>
      <c r="BL407" s="2" t="s">
        <v>1557</v>
      </c>
      <c r="BM407" s="4">
        <v>45566</v>
      </c>
      <c r="BN407" s="25">
        <v>4132.57</v>
      </c>
    </row>
    <row r="408" spans="1:66" x14ac:dyDescent="0.35">
      <c r="A408">
        <v>8613</v>
      </c>
      <c r="B408" t="s">
        <v>31</v>
      </c>
      <c r="C408" s="1">
        <v>45587</v>
      </c>
      <c r="D408" t="s">
        <v>9</v>
      </c>
      <c r="E408" t="s">
        <v>37</v>
      </c>
      <c r="F408">
        <v>1</v>
      </c>
      <c r="G408">
        <v>2422.77</v>
      </c>
      <c r="H408">
        <v>2422.77</v>
      </c>
      <c r="I408">
        <v>97.94</v>
      </c>
      <c r="J408">
        <v>2324.83</v>
      </c>
      <c r="K408">
        <v>72</v>
      </c>
      <c r="L408" s="11" t="s">
        <v>200</v>
      </c>
      <c r="M408">
        <f t="shared" si="31"/>
        <v>22</v>
      </c>
      <c r="N408">
        <f t="shared" si="32"/>
        <v>10</v>
      </c>
      <c r="O408">
        <f t="shared" si="33"/>
        <v>2024</v>
      </c>
      <c r="P408" s="4">
        <f t="shared" si="34"/>
        <v>45587</v>
      </c>
      <c r="Q408" t="s">
        <v>1139</v>
      </c>
      <c r="R408" t="s">
        <v>1137</v>
      </c>
      <c r="S408">
        <v>1</v>
      </c>
      <c r="T408" t="s">
        <v>1145</v>
      </c>
      <c r="U408" s="11" t="str">
        <f t="shared" si="30"/>
        <v>01:00:51 PM</v>
      </c>
      <c r="AC408" s="4">
        <v>45580</v>
      </c>
      <c r="AD408" s="25">
        <v>14490.97</v>
      </c>
      <c r="BL408" s="2" t="s">
        <v>1558</v>
      </c>
      <c r="BM408" s="4">
        <v>45567</v>
      </c>
      <c r="BN408" s="25">
        <v>9939.25</v>
      </c>
    </row>
    <row r="409" spans="1:66" x14ac:dyDescent="0.35">
      <c r="A409">
        <v>7209</v>
      </c>
      <c r="B409" t="s">
        <v>31</v>
      </c>
      <c r="C409" s="1">
        <v>45406</v>
      </c>
      <c r="D409" t="s">
        <v>27</v>
      </c>
      <c r="E409" t="s">
        <v>5</v>
      </c>
      <c r="F409">
        <v>3</v>
      </c>
      <c r="G409">
        <v>1186.07</v>
      </c>
      <c r="H409">
        <v>3558.21</v>
      </c>
      <c r="I409">
        <v>114.54</v>
      </c>
      <c r="J409">
        <v>3443.67</v>
      </c>
      <c r="K409">
        <v>382</v>
      </c>
      <c r="L409" s="11" t="s">
        <v>201</v>
      </c>
      <c r="M409">
        <f t="shared" si="31"/>
        <v>24</v>
      </c>
      <c r="N409">
        <f t="shared" si="32"/>
        <v>4</v>
      </c>
      <c r="O409">
        <f t="shared" si="33"/>
        <v>2024</v>
      </c>
      <c r="P409" s="4">
        <f t="shared" si="34"/>
        <v>45406</v>
      </c>
      <c r="Q409" t="s">
        <v>1136</v>
      </c>
      <c r="R409" t="s">
        <v>1137</v>
      </c>
      <c r="S409">
        <v>1</v>
      </c>
      <c r="T409" t="s">
        <v>1150</v>
      </c>
      <c r="U409" s="11" t="str">
        <f t="shared" si="30"/>
        <v>01:12:35 AM</v>
      </c>
      <c r="AC409" s="4">
        <v>45581</v>
      </c>
      <c r="AD409" s="25">
        <v>4769.18</v>
      </c>
      <c r="BL409" s="2" t="s">
        <v>1559</v>
      </c>
      <c r="BM409" s="4">
        <v>45568</v>
      </c>
      <c r="BN409" s="25">
        <v>8498.369999999999</v>
      </c>
    </row>
    <row r="410" spans="1:66" x14ac:dyDescent="0.35">
      <c r="A410">
        <v>1470</v>
      </c>
      <c r="B410" t="s">
        <v>8</v>
      </c>
      <c r="C410" s="1">
        <v>45528</v>
      </c>
      <c r="D410" t="s">
        <v>16</v>
      </c>
      <c r="E410" t="s">
        <v>21</v>
      </c>
      <c r="F410">
        <v>1</v>
      </c>
      <c r="G410">
        <v>1506.45</v>
      </c>
      <c r="H410">
        <v>1506.45</v>
      </c>
      <c r="I410">
        <v>0</v>
      </c>
      <c r="J410">
        <v>1506.45</v>
      </c>
      <c r="K410">
        <v>31</v>
      </c>
      <c r="L410" s="11" t="s">
        <v>202</v>
      </c>
      <c r="M410">
        <f t="shared" si="31"/>
        <v>24</v>
      </c>
      <c r="N410">
        <f t="shared" si="32"/>
        <v>8</v>
      </c>
      <c r="O410">
        <f t="shared" si="33"/>
        <v>2024</v>
      </c>
      <c r="P410" s="4">
        <f t="shared" si="34"/>
        <v>45528</v>
      </c>
      <c r="Q410" t="s">
        <v>1136</v>
      </c>
      <c r="R410" t="s">
        <v>1135</v>
      </c>
      <c r="S410">
        <v>5</v>
      </c>
      <c r="T410" t="s">
        <v>1148</v>
      </c>
      <c r="U410" s="11" t="str">
        <f t="shared" si="30"/>
        <v>01:14:47 AM</v>
      </c>
      <c r="AC410" s="4">
        <v>45582</v>
      </c>
      <c r="AD410" s="25">
        <v>27686.31</v>
      </c>
      <c r="BL410" s="2" t="s">
        <v>1560</v>
      </c>
      <c r="BM410" s="4">
        <v>45569</v>
      </c>
      <c r="BN410" s="25">
        <v>3683.54</v>
      </c>
    </row>
    <row r="411" spans="1:66" x14ac:dyDescent="0.35">
      <c r="A411">
        <v>6325</v>
      </c>
      <c r="B411" t="s">
        <v>8</v>
      </c>
      <c r="C411" s="1">
        <v>45286</v>
      </c>
      <c r="D411" t="s">
        <v>6</v>
      </c>
      <c r="E411" t="s">
        <v>26</v>
      </c>
      <c r="F411">
        <v>3</v>
      </c>
      <c r="G411">
        <v>2130.61</v>
      </c>
      <c r="H411">
        <v>6391.83</v>
      </c>
      <c r="I411">
        <v>0</v>
      </c>
      <c r="J411">
        <v>6391.83</v>
      </c>
      <c r="K411">
        <v>474</v>
      </c>
      <c r="L411" s="11" t="s">
        <v>203</v>
      </c>
      <c r="M411">
        <f t="shared" si="31"/>
        <v>26</v>
      </c>
      <c r="N411">
        <f t="shared" si="32"/>
        <v>12</v>
      </c>
      <c r="O411">
        <f t="shared" si="33"/>
        <v>2023</v>
      </c>
      <c r="P411" s="4">
        <f t="shared" si="34"/>
        <v>45286</v>
      </c>
      <c r="Q411" t="s">
        <v>1139</v>
      </c>
      <c r="R411" t="s">
        <v>1137</v>
      </c>
      <c r="S411">
        <v>1</v>
      </c>
      <c r="T411" t="s">
        <v>1144</v>
      </c>
      <c r="U411" s="11" t="str">
        <f t="shared" si="30"/>
        <v>04:49:16 PM</v>
      </c>
      <c r="AC411" s="4">
        <v>45583</v>
      </c>
      <c r="AD411" s="25">
        <v>13090.76</v>
      </c>
      <c r="BL411" s="2" t="s">
        <v>1561</v>
      </c>
      <c r="BM411" s="4">
        <v>45571</v>
      </c>
      <c r="BN411" s="25">
        <v>16224.009999999998</v>
      </c>
    </row>
    <row r="412" spans="1:66" x14ac:dyDescent="0.35">
      <c r="A412">
        <v>8988</v>
      </c>
      <c r="B412" t="s">
        <v>25</v>
      </c>
      <c r="C412" s="1">
        <v>45309</v>
      </c>
      <c r="D412" t="s">
        <v>11</v>
      </c>
      <c r="E412" t="s">
        <v>22</v>
      </c>
      <c r="F412">
        <v>3</v>
      </c>
      <c r="G412">
        <v>644.08000000000004</v>
      </c>
      <c r="H412">
        <v>1932.24</v>
      </c>
      <c r="I412">
        <v>386.78</v>
      </c>
      <c r="J412">
        <v>1545.46</v>
      </c>
      <c r="K412">
        <v>483</v>
      </c>
      <c r="L412" s="11" t="s">
        <v>204</v>
      </c>
      <c r="M412">
        <f t="shared" si="31"/>
        <v>18</v>
      </c>
      <c r="N412">
        <f t="shared" si="32"/>
        <v>1</v>
      </c>
      <c r="O412">
        <f t="shared" si="33"/>
        <v>2024</v>
      </c>
      <c r="P412" s="4">
        <f t="shared" si="34"/>
        <v>45309</v>
      </c>
      <c r="Q412" t="s">
        <v>1134</v>
      </c>
      <c r="R412" t="s">
        <v>1137</v>
      </c>
      <c r="S412">
        <v>1</v>
      </c>
      <c r="T412" t="s">
        <v>1143</v>
      </c>
      <c r="U412" s="11" t="str">
        <f t="shared" si="30"/>
        <v>01:13:24 AM</v>
      </c>
      <c r="AC412" s="4">
        <v>45584</v>
      </c>
      <c r="AD412" s="25">
        <v>20027.899999999998</v>
      </c>
      <c r="BL412" s="2" t="s">
        <v>1562</v>
      </c>
      <c r="BM412" s="4">
        <v>45572</v>
      </c>
      <c r="BN412" s="25">
        <v>4318.49</v>
      </c>
    </row>
    <row r="413" spans="1:66" x14ac:dyDescent="0.35">
      <c r="A413">
        <v>6813</v>
      </c>
      <c r="B413" t="s">
        <v>0</v>
      </c>
      <c r="C413" s="1">
        <v>45764</v>
      </c>
      <c r="D413" t="s">
        <v>23</v>
      </c>
      <c r="E413" t="s">
        <v>38</v>
      </c>
      <c r="F413">
        <v>2</v>
      </c>
      <c r="G413">
        <v>1164.49</v>
      </c>
      <c r="H413">
        <v>2328.98</v>
      </c>
      <c r="I413">
        <v>260.62</v>
      </c>
      <c r="J413">
        <v>2068.36</v>
      </c>
      <c r="K413">
        <v>160</v>
      </c>
      <c r="L413" s="11" t="s">
        <v>205</v>
      </c>
      <c r="M413">
        <f t="shared" si="31"/>
        <v>17</v>
      </c>
      <c r="N413">
        <f t="shared" si="32"/>
        <v>4</v>
      </c>
      <c r="O413">
        <f t="shared" si="33"/>
        <v>2025</v>
      </c>
      <c r="P413" s="4">
        <f t="shared" si="34"/>
        <v>45764</v>
      </c>
      <c r="Q413" t="s">
        <v>1136</v>
      </c>
      <c r="R413" t="s">
        <v>1137</v>
      </c>
      <c r="S413">
        <v>1</v>
      </c>
      <c r="T413" t="s">
        <v>1145</v>
      </c>
      <c r="U413" s="11" t="str">
        <f t="shared" si="30"/>
        <v>11:43:52 AM</v>
      </c>
      <c r="AC413" s="4">
        <v>45585</v>
      </c>
      <c r="AD413" s="25">
        <v>9276.91</v>
      </c>
      <c r="BL413" s="2" t="s">
        <v>1563</v>
      </c>
      <c r="BM413" s="4">
        <v>45573</v>
      </c>
      <c r="BN413" s="25">
        <v>5091.22</v>
      </c>
    </row>
    <row r="414" spans="1:66" x14ac:dyDescent="0.35">
      <c r="A414">
        <v>5232</v>
      </c>
      <c r="B414" t="s">
        <v>31</v>
      </c>
      <c r="C414" s="1">
        <v>45409</v>
      </c>
      <c r="D414" t="s">
        <v>34</v>
      </c>
      <c r="E414" t="s">
        <v>26</v>
      </c>
      <c r="F414">
        <v>4</v>
      </c>
      <c r="G414">
        <v>720.44</v>
      </c>
      <c r="H414">
        <v>2881.76</v>
      </c>
      <c r="I414">
        <v>576.02</v>
      </c>
      <c r="J414">
        <v>2305.7399999999998</v>
      </c>
      <c r="K414">
        <v>61</v>
      </c>
      <c r="L414" s="11" t="s">
        <v>206</v>
      </c>
      <c r="M414">
        <f t="shared" si="31"/>
        <v>27</v>
      </c>
      <c r="N414">
        <f t="shared" si="32"/>
        <v>4</v>
      </c>
      <c r="O414">
        <f t="shared" si="33"/>
        <v>2024</v>
      </c>
      <c r="P414" s="4">
        <f t="shared" si="34"/>
        <v>45409</v>
      </c>
      <c r="Q414" t="s">
        <v>1139</v>
      </c>
      <c r="R414" t="s">
        <v>1137</v>
      </c>
      <c r="S414">
        <v>5</v>
      </c>
      <c r="T414" t="s">
        <v>1141</v>
      </c>
      <c r="U414" s="11" t="str">
        <f t="shared" si="30"/>
        <v>08:15:17 AM</v>
      </c>
      <c r="AC414" s="4">
        <v>45586</v>
      </c>
      <c r="AD414" s="25">
        <v>7948.08</v>
      </c>
      <c r="BL414" s="2" t="s">
        <v>1564</v>
      </c>
      <c r="BM414" s="4">
        <v>45574</v>
      </c>
      <c r="BN414" s="25">
        <v>35129.750000000007</v>
      </c>
    </row>
    <row r="415" spans="1:66" x14ac:dyDescent="0.35">
      <c r="A415">
        <v>5581</v>
      </c>
      <c r="B415" t="s">
        <v>19</v>
      </c>
      <c r="C415" s="1">
        <v>45828</v>
      </c>
      <c r="D415" t="s">
        <v>17</v>
      </c>
      <c r="E415" t="s">
        <v>29</v>
      </c>
      <c r="F415">
        <v>2</v>
      </c>
      <c r="G415">
        <v>2094.09</v>
      </c>
      <c r="H415">
        <v>4188.18</v>
      </c>
      <c r="I415">
        <v>318.72000000000003</v>
      </c>
      <c r="J415">
        <v>3869.46</v>
      </c>
      <c r="K415">
        <v>167</v>
      </c>
      <c r="L415" s="11" t="s">
        <v>207</v>
      </c>
      <c r="M415">
        <f t="shared" si="31"/>
        <v>20</v>
      </c>
      <c r="N415">
        <f t="shared" si="32"/>
        <v>6</v>
      </c>
      <c r="O415">
        <f t="shared" si="33"/>
        <v>2025</v>
      </c>
      <c r="P415" s="4">
        <f t="shared" si="34"/>
        <v>45828</v>
      </c>
      <c r="Q415" t="s">
        <v>1138</v>
      </c>
      <c r="R415" t="s">
        <v>1135</v>
      </c>
      <c r="S415">
        <v>3</v>
      </c>
      <c r="T415" t="s">
        <v>1148</v>
      </c>
      <c r="U415" s="11" t="str">
        <f t="shared" si="30"/>
        <v>02:47:04 AM</v>
      </c>
      <c r="AC415" s="4">
        <v>45587</v>
      </c>
      <c r="AD415" s="25">
        <v>17003.38</v>
      </c>
      <c r="BL415" s="2" t="s">
        <v>1565</v>
      </c>
      <c r="BM415" s="4">
        <v>45575</v>
      </c>
      <c r="BN415" s="25">
        <v>10271.25</v>
      </c>
    </row>
    <row r="416" spans="1:66" x14ac:dyDescent="0.35">
      <c r="A416">
        <v>5526</v>
      </c>
      <c r="B416" t="s">
        <v>25</v>
      </c>
      <c r="C416" s="1">
        <v>45576</v>
      </c>
      <c r="D416" t="s">
        <v>9</v>
      </c>
      <c r="E416" t="s">
        <v>36</v>
      </c>
      <c r="F416">
        <v>1</v>
      </c>
      <c r="G416">
        <v>1712.29</v>
      </c>
      <c r="H416">
        <v>1712.29</v>
      </c>
      <c r="I416">
        <v>399.23</v>
      </c>
      <c r="J416">
        <v>1313.06</v>
      </c>
      <c r="K416">
        <v>133</v>
      </c>
      <c r="L416" s="11" t="s">
        <v>208</v>
      </c>
      <c r="M416">
        <f t="shared" si="31"/>
        <v>11</v>
      </c>
      <c r="N416">
        <f t="shared" si="32"/>
        <v>10</v>
      </c>
      <c r="O416">
        <f t="shared" si="33"/>
        <v>2024</v>
      </c>
      <c r="P416" s="4">
        <f t="shared" si="34"/>
        <v>45576</v>
      </c>
      <c r="Q416" t="s">
        <v>1134</v>
      </c>
      <c r="R416" t="s">
        <v>1135</v>
      </c>
      <c r="S416">
        <v>3</v>
      </c>
      <c r="T416" t="s">
        <v>1142</v>
      </c>
      <c r="U416" s="11" t="str">
        <f t="shared" si="30"/>
        <v>07:35:22 PM</v>
      </c>
      <c r="AC416" s="4">
        <v>45588</v>
      </c>
      <c r="AD416" s="25">
        <v>10879.64</v>
      </c>
      <c r="BL416" s="2" t="s">
        <v>1566</v>
      </c>
      <c r="BM416" s="4">
        <v>45576</v>
      </c>
      <c r="BN416" s="25">
        <v>10726.089999999998</v>
      </c>
    </row>
    <row r="417" spans="1:66" x14ac:dyDescent="0.35">
      <c r="A417">
        <v>1166</v>
      </c>
      <c r="B417" t="s">
        <v>15</v>
      </c>
      <c r="C417" s="1">
        <v>45546</v>
      </c>
      <c r="D417" t="s">
        <v>27</v>
      </c>
      <c r="E417" t="s">
        <v>7</v>
      </c>
      <c r="F417">
        <v>2</v>
      </c>
      <c r="G417">
        <v>310.42</v>
      </c>
      <c r="H417">
        <v>620.84</v>
      </c>
      <c r="I417">
        <v>87.15</v>
      </c>
      <c r="J417">
        <v>533.69000000000005</v>
      </c>
      <c r="K417">
        <v>52</v>
      </c>
      <c r="L417" s="11" t="s">
        <v>209</v>
      </c>
      <c r="M417">
        <f t="shared" si="31"/>
        <v>11</v>
      </c>
      <c r="N417">
        <f t="shared" si="32"/>
        <v>9</v>
      </c>
      <c r="O417">
        <f t="shared" si="33"/>
        <v>2024</v>
      </c>
      <c r="P417" s="4">
        <f t="shared" si="34"/>
        <v>45546</v>
      </c>
      <c r="Q417" t="s">
        <v>1138</v>
      </c>
      <c r="R417" t="s">
        <v>1137</v>
      </c>
      <c r="S417">
        <v>1</v>
      </c>
      <c r="T417" t="s">
        <v>1149</v>
      </c>
      <c r="U417" s="11" t="str">
        <f t="shared" si="30"/>
        <v>08:06:53 PM</v>
      </c>
      <c r="AC417" s="4">
        <v>45589</v>
      </c>
      <c r="AD417" s="25">
        <v>6039.08</v>
      </c>
      <c r="BL417" s="2" t="s">
        <v>1567</v>
      </c>
      <c r="BM417" s="4">
        <v>45577</v>
      </c>
      <c r="BN417" s="25">
        <v>11034.85</v>
      </c>
    </row>
    <row r="418" spans="1:66" x14ac:dyDescent="0.35">
      <c r="A418">
        <v>4130</v>
      </c>
      <c r="B418" t="s">
        <v>31</v>
      </c>
      <c r="C418" s="1">
        <v>45211</v>
      </c>
      <c r="D418" t="s">
        <v>23</v>
      </c>
      <c r="E418" t="s">
        <v>33</v>
      </c>
      <c r="F418">
        <v>4</v>
      </c>
      <c r="G418">
        <v>977.74</v>
      </c>
      <c r="H418">
        <v>3910.96</v>
      </c>
      <c r="I418">
        <v>277.22000000000003</v>
      </c>
      <c r="J418">
        <v>3633.74</v>
      </c>
      <c r="K418">
        <v>322</v>
      </c>
      <c r="L418" s="11" t="s">
        <v>210</v>
      </c>
      <c r="M418">
        <f t="shared" si="31"/>
        <v>12</v>
      </c>
      <c r="N418">
        <f t="shared" si="32"/>
        <v>10</v>
      </c>
      <c r="O418">
        <f t="shared" si="33"/>
        <v>2023</v>
      </c>
      <c r="P418" s="4">
        <f t="shared" si="34"/>
        <v>45211</v>
      </c>
      <c r="Q418" t="s">
        <v>1138</v>
      </c>
      <c r="R418" t="s">
        <v>1137</v>
      </c>
      <c r="S418">
        <v>5</v>
      </c>
      <c r="T418" t="s">
        <v>1144</v>
      </c>
      <c r="U418" s="11" t="str">
        <f t="shared" si="30"/>
        <v>03:43:25 AM</v>
      </c>
      <c r="AC418" s="4">
        <v>45590</v>
      </c>
      <c r="AD418" s="25">
        <v>25840.39</v>
      </c>
      <c r="BL418" s="2" t="s">
        <v>1568</v>
      </c>
      <c r="BM418" s="4">
        <v>45578</v>
      </c>
      <c r="BN418" s="25">
        <v>2460.9499999999998</v>
      </c>
    </row>
    <row r="419" spans="1:66" x14ac:dyDescent="0.35">
      <c r="A419">
        <v>4954</v>
      </c>
      <c r="B419" t="s">
        <v>0</v>
      </c>
      <c r="C419" s="1">
        <v>45704</v>
      </c>
      <c r="D419" t="s">
        <v>1</v>
      </c>
      <c r="E419" t="s">
        <v>32</v>
      </c>
      <c r="F419">
        <v>2</v>
      </c>
      <c r="G419">
        <v>2254.2800000000002</v>
      </c>
      <c r="H419">
        <v>4508.5600000000004</v>
      </c>
      <c r="I419">
        <v>383.46</v>
      </c>
      <c r="J419">
        <v>4125.1000000000004</v>
      </c>
      <c r="K419">
        <v>227</v>
      </c>
      <c r="L419" s="11" t="s">
        <v>211</v>
      </c>
      <c r="M419">
        <f t="shared" si="31"/>
        <v>16</v>
      </c>
      <c r="N419">
        <f t="shared" si="32"/>
        <v>2</v>
      </c>
      <c r="O419">
        <f t="shared" si="33"/>
        <v>2025</v>
      </c>
      <c r="P419" s="4">
        <f t="shared" si="34"/>
        <v>45704</v>
      </c>
      <c r="Q419" t="s">
        <v>1139</v>
      </c>
      <c r="R419" t="s">
        <v>1135</v>
      </c>
      <c r="S419">
        <v>3</v>
      </c>
      <c r="T419" t="s">
        <v>1144</v>
      </c>
      <c r="U419" s="11" t="str">
        <f t="shared" si="30"/>
        <v>02:27:01 AM</v>
      </c>
      <c r="AC419" s="4">
        <v>45591</v>
      </c>
      <c r="AD419" s="25">
        <v>7419.3700000000008</v>
      </c>
      <c r="BL419" s="2" t="s">
        <v>1569</v>
      </c>
      <c r="BM419" s="4">
        <v>45579</v>
      </c>
      <c r="BN419" s="25">
        <v>8009.5</v>
      </c>
    </row>
    <row r="420" spans="1:66" x14ac:dyDescent="0.35">
      <c r="A420">
        <v>7658</v>
      </c>
      <c r="B420" t="s">
        <v>15</v>
      </c>
      <c r="C420" s="1">
        <v>45524</v>
      </c>
      <c r="D420" t="s">
        <v>4</v>
      </c>
      <c r="E420" t="s">
        <v>29</v>
      </c>
      <c r="F420">
        <v>4</v>
      </c>
      <c r="G420">
        <v>204.18</v>
      </c>
      <c r="H420">
        <v>816.72</v>
      </c>
      <c r="I420">
        <v>0</v>
      </c>
      <c r="J420">
        <v>816.72</v>
      </c>
      <c r="K420">
        <v>473</v>
      </c>
      <c r="L420" s="11" t="s">
        <v>212</v>
      </c>
      <c r="M420">
        <f t="shared" si="31"/>
        <v>20</v>
      </c>
      <c r="N420">
        <f t="shared" si="32"/>
        <v>8</v>
      </c>
      <c r="O420">
        <f t="shared" si="33"/>
        <v>2024</v>
      </c>
      <c r="P420" s="4">
        <f t="shared" si="34"/>
        <v>45524</v>
      </c>
      <c r="Q420" t="s">
        <v>1136</v>
      </c>
      <c r="R420" t="s">
        <v>1135</v>
      </c>
      <c r="S420">
        <v>3</v>
      </c>
      <c r="T420" t="s">
        <v>1149</v>
      </c>
      <c r="U420" s="11" t="str">
        <f t="shared" si="30"/>
        <v>06:26:02 PM</v>
      </c>
      <c r="AC420" s="4">
        <v>45592</v>
      </c>
      <c r="AD420" s="25">
        <v>14694.32</v>
      </c>
      <c r="BL420" s="2" t="s">
        <v>1570</v>
      </c>
      <c r="BM420" s="4">
        <v>45580</v>
      </c>
      <c r="BN420" s="25">
        <v>14490.97</v>
      </c>
    </row>
    <row r="421" spans="1:66" x14ac:dyDescent="0.35">
      <c r="A421">
        <v>4937</v>
      </c>
      <c r="B421" t="s">
        <v>13</v>
      </c>
      <c r="C421" s="1">
        <v>45681</v>
      </c>
      <c r="D421" t="s">
        <v>34</v>
      </c>
      <c r="E421" t="s">
        <v>28</v>
      </c>
      <c r="F421">
        <v>4</v>
      </c>
      <c r="G421">
        <v>1726.4</v>
      </c>
      <c r="H421">
        <v>6905.6</v>
      </c>
      <c r="I421">
        <v>1381.12</v>
      </c>
      <c r="J421">
        <v>5524.48</v>
      </c>
      <c r="K421">
        <v>88</v>
      </c>
      <c r="L421" s="11" t="s">
        <v>213</v>
      </c>
      <c r="M421">
        <f t="shared" si="31"/>
        <v>24</v>
      </c>
      <c r="N421">
        <f t="shared" si="32"/>
        <v>1</v>
      </c>
      <c r="O421">
        <f t="shared" si="33"/>
        <v>2025</v>
      </c>
      <c r="P421" s="4">
        <f t="shared" si="34"/>
        <v>45681</v>
      </c>
      <c r="Q421" t="s">
        <v>1139</v>
      </c>
      <c r="R421" t="s">
        <v>1137</v>
      </c>
      <c r="S421">
        <v>3</v>
      </c>
      <c r="T421" t="s">
        <v>1150</v>
      </c>
      <c r="U421" s="11" t="str">
        <f t="shared" si="30"/>
        <v>09:42:06 AM</v>
      </c>
      <c r="AC421" s="4">
        <v>45593</v>
      </c>
      <c r="AD421" s="25">
        <v>27544.379999999997</v>
      </c>
      <c r="BL421" s="2" t="s">
        <v>1571</v>
      </c>
      <c r="BM421" s="4">
        <v>45581</v>
      </c>
      <c r="BN421" s="25">
        <v>4769.18</v>
      </c>
    </row>
    <row r="422" spans="1:66" x14ac:dyDescent="0.35">
      <c r="A422">
        <v>8800</v>
      </c>
      <c r="B422" t="s">
        <v>8</v>
      </c>
      <c r="C422" s="1">
        <v>45646</v>
      </c>
      <c r="D422" t="s">
        <v>24</v>
      </c>
      <c r="E422" t="s">
        <v>2</v>
      </c>
      <c r="F422">
        <v>4</v>
      </c>
      <c r="G422">
        <v>2208.63</v>
      </c>
      <c r="H422">
        <v>8834.52</v>
      </c>
      <c r="I422">
        <v>0</v>
      </c>
      <c r="J422">
        <v>8834.52</v>
      </c>
      <c r="K422">
        <v>17</v>
      </c>
      <c r="L422" s="11" t="s">
        <v>214</v>
      </c>
      <c r="M422">
        <f t="shared" si="31"/>
        <v>20</v>
      </c>
      <c r="N422">
        <f t="shared" si="32"/>
        <v>12</v>
      </c>
      <c r="O422">
        <f t="shared" si="33"/>
        <v>2024</v>
      </c>
      <c r="P422" s="4">
        <f t="shared" si="34"/>
        <v>45646</v>
      </c>
      <c r="Q422" t="s">
        <v>1139</v>
      </c>
      <c r="R422" t="s">
        <v>1135</v>
      </c>
      <c r="S422">
        <v>5</v>
      </c>
      <c r="T422" t="s">
        <v>1143</v>
      </c>
      <c r="U422" s="11" t="str">
        <f t="shared" si="30"/>
        <v>04:43:38 AM</v>
      </c>
      <c r="AC422" s="4">
        <v>45594</v>
      </c>
      <c r="AD422" s="25">
        <v>2096.58</v>
      </c>
      <c r="BL422" s="2" t="s">
        <v>1572</v>
      </c>
      <c r="BM422" s="4">
        <v>45582</v>
      </c>
      <c r="BN422" s="25">
        <v>27686.31</v>
      </c>
    </row>
    <row r="423" spans="1:66" x14ac:dyDescent="0.35">
      <c r="A423">
        <v>9041</v>
      </c>
      <c r="B423" t="s">
        <v>19</v>
      </c>
      <c r="C423" s="1">
        <v>45493</v>
      </c>
      <c r="D423" t="s">
        <v>34</v>
      </c>
      <c r="E423" t="s">
        <v>5</v>
      </c>
      <c r="F423">
        <v>5</v>
      </c>
      <c r="G423">
        <v>1235.04</v>
      </c>
      <c r="H423">
        <v>6175.2</v>
      </c>
      <c r="I423">
        <v>617.52</v>
      </c>
      <c r="J423">
        <v>5557.68</v>
      </c>
      <c r="K423">
        <v>44</v>
      </c>
      <c r="L423" s="11" t="s">
        <v>215</v>
      </c>
      <c r="M423">
        <f t="shared" si="31"/>
        <v>20</v>
      </c>
      <c r="N423">
        <f t="shared" si="32"/>
        <v>7</v>
      </c>
      <c r="O423">
        <f t="shared" si="33"/>
        <v>2024</v>
      </c>
      <c r="P423" s="4">
        <f t="shared" si="34"/>
        <v>45493</v>
      </c>
      <c r="Q423" t="s">
        <v>1139</v>
      </c>
      <c r="R423" t="s">
        <v>1137</v>
      </c>
      <c r="S423">
        <v>5</v>
      </c>
      <c r="T423" t="s">
        <v>1144</v>
      </c>
      <c r="U423" s="11" t="str">
        <f t="shared" si="30"/>
        <v>07:16:05 PM</v>
      </c>
      <c r="AC423" s="4">
        <v>45595</v>
      </c>
      <c r="AD423" s="25">
        <v>1163.6600000000001</v>
      </c>
      <c r="BL423" s="2" t="s">
        <v>1573</v>
      </c>
      <c r="BM423" s="4">
        <v>45583</v>
      </c>
      <c r="BN423" s="25">
        <v>13090.76</v>
      </c>
    </row>
    <row r="424" spans="1:66" x14ac:dyDescent="0.35">
      <c r="A424">
        <v>1282</v>
      </c>
      <c r="B424" t="s">
        <v>8</v>
      </c>
      <c r="C424" s="1">
        <v>45217</v>
      </c>
      <c r="D424" t="s">
        <v>9</v>
      </c>
      <c r="E424" t="s">
        <v>33</v>
      </c>
      <c r="F424">
        <v>5</v>
      </c>
      <c r="G424">
        <v>682.26</v>
      </c>
      <c r="H424">
        <v>3411.3</v>
      </c>
      <c r="I424">
        <v>341.13</v>
      </c>
      <c r="J424">
        <v>3070.17</v>
      </c>
      <c r="K424">
        <v>410</v>
      </c>
      <c r="L424" s="11" t="s">
        <v>216</v>
      </c>
      <c r="M424">
        <f t="shared" si="31"/>
        <v>18</v>
      </c>
      <c r="N424">
        <f t="shared" si="32"/>
        <v>10</v>
      </c>
      <c r="O424">
        <f t="shared" si="33"/>
        <v>2023</v>
      </c>
      <c r="P424" s="4">
        <f t="shared" si="34"/>
        <v>45217</v>
      </c>
      <c r="Q424" t="s">
        <v>1139</v>
      </c>
      <c r="R424" t="s">
        <v>1135</v>
      </c>
      <c r="S424">
        <v>1</v>
      </c>
      <c r="T424" t="s">
        <v>1144</v>
      </c>
      <c r="U424" s="11" t="str">
        <f t="shared" si="30"/>
        <v>08:34:19 AM</v>
      </c>
      <c r="AC424" s="4">
        <v>45596</v>
      </c>
      <c r="AD424" s="25">
        <v>668.98</v>
      </c>
      <c r="BL424" s="2" t="s">
        <v>1574</v>
      </c>
      <c r="BM424" s="4">
        <v>45584</v>
      </c>
      <c r="BN424" s="25">
        <v>20027.899999999998</v>
      </c>
    </row>
    <row r="425" spans="1:66" x14ac:dyDescent="0.35">
      <c r="A425">
        <v>5820</v>
      </c>
      <c r="B425" t="s">
        <v>25</v>
      </c>
      <c r="C425" s="1">
        <v>45317</v>
      </c>
      <c r="D425" t="s">
        <v>34</v>
      </c>
      <c r="E425" t="s">
        <v>7</v>
      </c>
      <c r="F425">
        <v>4</v>
      </c>
      <c r="G425">
        <v>910.51</v>
      </c>
      <c r="H425">
        <v>3642.04</v>
      </c>
      <c r="I425">
        <v>364.37</v>
      </c>
      <c r="J425">
        <v>3277.67</v>
      </c>
      <c r="K425">
        <v>289</v>
      </c>
      <c r="L425" s="11" t="s">
        <v>217</v>
      </c>
      <c r="M425">
        <f t="shared" si="31"/>
        <v>26</v>
      </c>
      <c r="N425">
        <f t="shared" si="32"/>
        <v>1</v>
      </c>
      <c r="O425">
        <f t="shared" si="33"/>
        <v>2024</v>
      </c>
      <c r="P425" s="4">
        <f t="shared" si="34"/>
        <v>45317</v>
      </c>
      <c r="Q425" t="s">
        <v>1134</v>
      </c>
      <c r="R425" t="s">
        <v>1135</v>
      </c>
      <c r="S425">
        <v>4</v>
      </c>
      <c r="T425" t="s">
        <v>1142</v>
      </c>
      <c r="U425" s="11" t="str">
        <f t="shared" si="30"/>
        <v>02:49:38 PM</v>
      </c>
      <c r="AC425" s="4">
        <v>45597</v>
      </c>
      <c r="AD425" s="25">
        <v>22805.91</v>
      </c>
      <c r="BL425" s="2" t="s">
        <v>1575</v>
      </c>
      <c r="BM425" s="4">
        <v>45585</v>
      </c>
      <c r="BN425" s="25">
        <v>9276.91</v>
      </c>
    </row>
    <row r="426" spans="1:66" x14ac:dyDescent="0.35">
      <c r="A426">
        <v>7625</v>
      </c>
      <c r="B426" t="s">
        <v>19</v>
      </c>
      <c r="C426" s="1">
        <v>45682</v>
      </c>
      <c r="D426" t="s">
        <v>23</v>
      </c>
      <c r="E426" t="s">
        <v>28</v>
      </c>
      <c r="F426">
        <v>3</v>
      </c>
      <c r="G426">
        <v>1519.73</v>
      </c>
      <c r="H426">
        <v>4559.1899999999996</v>
      </c>
      <c r="I426">
        <v>351.09</v>
      </c>
      <c r="J426">
        <v>4208.1000000000004</v>
      </c>
      <c r="K426">
        <v>15</v>
      </c>
      <c r="L426" s="11" t="s">
        <v>218</v>
      </c>
      <c r="M426">
        <f t="shared" si="31"/>
        <v>25</v>
      </c>
      <c r="N426">
        <f t="shared" si="32"/>
        <v>1</v>
      </c>
      <c r="O426">
        <f t="shared" si="33"/>
        <v>2025</v>
      </c>
      <c r="P426" s="4">
        <f t="shared" si="34"/>
        <v>45682</v>
      </c>
      <c r="Q426" t="s">
        <v>1136</v>
      </c>
      <c r="R426" t="s">
        <v>1135</v>
      </c>
      <c r="S426">
        <v>3</v>
      </c>
      <c r="T426" t="s">
        <v>1144</v>
      </c>
      <c r="U426" s="11" t="str">
        <f t="shared" ref="U426:U489" si="35">TEXT(L426,"hh:mm:ss AM/PM")</f>
        <v>12:01:41 PM</v>
      </c>
      <c r="AC426" s="4">
        <v>45598</v>
      </c>
      <c r="AD426" s="25">
        <v>7457.5499999999993</v>
      </c>
      <c r="BL426" s="2" t="s">
        <v>1576</v>
      </c>
      <c r="BM426" s="4">
        <v>45586</v>
      </c>
      <c r="BN426" s="25">
        <v>7948.08</v>
      </c>
    </row>
    <row r="427" spans="1:66" x14ac:dyDescent="0.35">
      <c r="A427">
        <v>4986</v>
      </c>
      <c r="B427" t="s">
        <v>15</v>
      </c>
      <c r="C427" s="1">
        <v>45382</v>
      </c>
      <c r="D427" t="s">
        <v>27</v>
      </c>
      <c r="E427" t="s">
        <v>12</v>
      </c>
      <c r="F427">
        <v>5</v>
      </c>
      <c r="G427">
        <v>2488.34</v>
      </c>
      <c r="H427">
        <v>12441.7</v>
      </c>
      <c r="I427">
        <v>165.17</v>
      </c>
      <c r="J427">
        <v>12276.53</v>
      </c>
      <c r="K427">
        <v>498</v>
      </c>
      <c r="L427" s="11" t="s">
        <v>219</v>
      </c>
      <c r="M427">
        <f t="shared" si="31"/>
        <v>31</v>
      </c>
      <c r="N427">
        <f t="shared" si="32"/>
        <v>3</v>
      </c>
      <c r="O427">
        <f t="shared" si="33"/>
        <v>2024</v>
      </c>
      <c r="P427" s="4">
        <f t="shared" si="34"/>
        <v>45382</v>
      </c>
      <c r="Q427" t="s">
        <v>1138</v>
      </c>
      <c r="R427" t="s">
        <v>1135</v>
      </c>
      <c r="S427">
        <v>4</v>
      </c>
      <c r="T427" t="s">
        <v>1148</v>
      </c>
      <c r="U427" s="11" t="str">
        <f t="shared" si="35"/>
        <v>09:45:28 AM</v>
      </c>
      <c r="AC427" s="4">
        <v>45599</v>
      </c>
      <c r="AD427" s="25">
        <v>8339.84</v>
      </c>
      <c r="BL427" s="2" t="s">
        <v>1577</v>
      </c>
      <c r="BM427" s="4">
        <v>45587</v>
      </c>
      <c r="BN427" s="25">
        <v>17003.38</v>
      </c>
    </row>
    <row r="428" spans="1:66" x14ac:dyDescent="0.35">
      <c r="A428">
        <v>7046</v>
      </c>
      <c r="B428" t="s">
        <v>31</v>
      </c>
      <c r="C428" s="1">
        <v>45512</v>
      </c>
      <c r="D428" t="s">
        <v>24</v>
      </c>
      <c r="E428" t="s">
        <v>7</v>
      </c>
      <c r="F428">
        <v>1</v>
      </c>
      <c r="G428">
        <v>1921.45</v>
      </c>
      <c r="H428">
        <v>1921.45</v>
      </c>
      <c r="I428">
        <v>364.37</v>
      </c>
      <c r="J428">
        <v>1557.08</v>
      </c>
      <c r="K428">
        <v>485</v>
      </c>
      <c r="L428" s="11" t="s">
        <v>220</v>
      </c>
      <c r="M428">
        <f t="shared" si="31"/>
        <v>8</v>
      </c>
      <c r="N428">
        <f t="shared" si="32"/>
        <v>8</v>
      </c>
      <c r="O428">
        <f t="shared" si="33"/>
        <v>2024</v>
      </c>
      <c r="P428" s="4">
        <f t="shared" si="34"/>
        <v>45512</v>
      </c>
      <c r="Q428" t="s">
        <v>1138</v>
      </c>
      <c r="R428" t="s">
        <v>1137</v>
      </c>
      <c r="S428">
        <v>5</v>
      </c>
      <c r="T428" t="s">
        <v>1150</v>
      </c>
      <c r="U428" s="11" t="str">
        <f t="shared" si="35"/>
        <v>09:29:24 AM</v>
      </c>
      <c r="AC428" s="4">
        <v>45600</v>
      </c>
      <c r="AD428" s="25">
        <v>25801.38</v>
      </c>
      <c r="BL428" s="2" t="s">
        <v>1578</v>
      </c>
      <c r="BM428" s="4">
        <v>45588</v>
      </c>
      <c r="BN428" s="25">
        <v>10879.64</v>
      </c>
    </row>
    <row r="429" spans="1:66" x14ac:dyDescent="0.35">
      <c r="A429">
        <v>9698</v>
      </c>
      <c r="B429" t="s">
        <v>13</v>
      </c>
      <c r="C429" s="1">
        <v>45412</v>
      </c>
      <c r="D429" t="s">
        <v>11</v>
      </c>
      <c r="E429" t="s">
        <v>18</v>
      </c>
      <c r="F429">
        <v>2</v>
      </c>
      <c r="G429">
        <v>651.54999999999995</v>
      </c>
      <c r="H429">
        <v>1303.0999999999999</v>
      </c>
      <c r="I429">
        <v>92.13</v>
      </c>
      <c r="J429">
        <v>1210.97</v>
      </c>
      <c r="K429">
        <v>162</v>
      </c>
      <c r="L429" s="11" t="s">
        <v>221</v>
      </c>
      <c r="M429">
        <f t="shared" si="31"/>
        <v>30</v>
      </c>
      <c r="N429">
        <f t="shared" si="32"/>
        <v>4</v>
      </c>
      <c r="O429">
        <f t="shared" si="33"/>
        <v>2024</v>
      </c>
      <c r="P429" s="4">
        <f t="shared" si="34"/>
        <v>45412</v>
      </c>
      <c r="Q429" t="s">
        <v>1136</v>
      </c>
      <c r="R429" t="s">
        <v>1135</v>
      </c>
      <c r="S429">
        <v>5</v>
      </c>
      <c r="T429" t="s">
        <v>1143</v>
      </c>
      <c r="U429" s="11" t="str">
        <f t="shared" si="35"/>
        <v>08:50:31 AM</v>
      </c>
      <c r="AC429" s="4">
        <v>45601</v>
      </c>
      <c r="AD429" s="25">
        <v>1996.15</v>
      </c>
      <c r="BL429" s="2" t="s">
        <v>1579</v>
      </c>
      <c r="BM429" s="4">
        <v>45589</v>
      </c>
      <c r="BN429" s="25">
        <v>6039.08</v>
      </c>
    </row>
    <row r="430" spans="1:66" x14ac:dyDescent="0.35">
      <c r="A430">
        <v>7971</v>
      </c>
      <c r="B430" t="s">
        <v>25</v>
      </c>
      <c r="C430" s="1">
        <v>45724</v>
      </c>
      <c r="D430" t="s">
        <v>17</v>
      </c>
      <c r="E430" t="s">
        <v>30</v>
      </c>
      <c r="F430">
        <v>5</v>
      </c>
      <c r="G430">
        <v>2364.67</v>
      </c>
      <c r="H430">
        <v>11823.35</v>
      </c>
      <c r="I430">
        <v>185.92</v>
      </c>
      <c r="J430">
        <v>11637.43</v>
      </c>
      <c r="K430">
        <v>428</v>
      </c>
      <c r="L430" s="11" t="s">
        <v>222</v>
      </c>
      <c r="M430">
        <f t="shared" si="31"/>
        <v>8</v>
      </c>
      <c r="N430">
        <f t="shared" si="32"/>
        <v>3</v>
      </c>
      <c r="O430">
        <f t="shared" si="33"/>
        <v>2025</v>
      </c>
      <c r="P430" s="4">
        <f t="shared" si="34"/>
        <v>45724</v>
      </c>
      <c r="Q430" t="s">
        <v>1138</v>
      </c>
      <c r="R430" t="s">
        <v>1135</v>
      </c>
      <c r="S430">
        <v>5</v>
      </c>
      <c r="T430" t="s">
        <v>1141</v>
      </c>
      <c r="U430" s="11" t="str">
        <f t="shared" si="35"/>
        <v>02:47:23 PM</v>
      </c>
      <c r="AC430" s="4">
        <v>45602</v>
      </c>
      <c r="AD430" s="25">
        <v>15375.75</v>
      </c>
      <c r="BL430" s="2" t="s">
        <v>1580</v>
      </c>
      <c r="BM430" s="4">
        <v>45590</v>
      </c>
      <c r="BN430" s="25">
        <v>25840.39</v>
      </c>
    </row>
    <row r="431" spans="1:66" x14ac:dyDescent="0.35">
      <c r="A431">
        <v>6419</v>
      </c>
      <c r="B431" t="s">
        <v>15</v>
      </c>
      <c r="C431" s="1">
        <v>45418</v>
      </c>
      <c r="D431" t="s">
        <v>1</v>
      </c>
      <c r="E431" t="s">
        <v>32</v>
      </c>
      <c r="F431">
        <v>1</v>
      </c>
      <c r="G431">
        <v>642.41999999999996</v>
      </c>
      <c r="H431">
        <v>642.41999999999996</v>
      </c>
      <c r="I431">
        <v>241.53</v>
      </c>
      <c r="J431">
        <v>400.89</v>
      </c>
      <c r="K431">
        <v>112</v>
      </c>
      <c r="L431" s="11" t="s">
        <v>223</v>
      </c>
      <c r="M431">
        <f t="shared" si="31"/>
        <v>6</v>
      </c>
      <c r="N431">
        <f t="shared" si="32"/>
        <v>5</v>
      </c>
      <c r="O431">
        <f t="shared" si="33"/>
        <v>2024</v>
      </c>
      <c r="P431" s="4">
        <f t="shared" si="34"/>
        <v>45418</v>
      </c>
      <c r="Q431" t="s">
        <v>1136</v>
      </c>
      <c r="R431" t="s">
        <v>1137</v>
      </c>
      <c r="S431">
        <v>4</v>
      </c>
      <c r="T431" t="s">
        <v>1143</v>
      </c>
      <c r="U431" s="11" t="str">
        <f t="shared" si="35"/>
        <v>12:37:41 AM</v>
      </c>
      <c r="AC431" s="4">
        <v>45603</v>
      </c>
      <c r="AD431" s="25">
        <v>1943.86</v>
      </c>
      <c r="BL431" s="2" t="s">
        <v>1581</v>
      </c>
      <c r="BM431" s="4">
        <v>45591</v>
      </c>
      <c r="BN431" s="25">
        <v>7419.3700000000008</v>
      </c>
    </row>
    <row r="432" spans="1:66" x14ac:dyDescent="0.35">
      <c r="A432">
        <v>8434</v>
      </c>
      <c r="B432" t="s">
        <v>25</v>
      </c>
      <c r="C432" s="1">
        <v>45355</v>
      </c>
      <c r="D432" t="s">
        <v>17</v>
      </c>
      <c r="E432" t="s">
        <v>33</v>
      </c>
      <c r="F432">
        <v>2</v>
      </c>
      <c r="G432">
        <v>902.21</v>
      </c>
      <c r="H432">
        <v>1804.42</v>
      </c>
      <c r="I432">
        <v>90.47</v>
      </c>
      <c r="J432">
        <v>1713.95</v>
      </c>
      <c r="K432">
        <v>90</v>
      </c>
      <c r="L432" s="11" t="s">
        <v>224</v>
      </c>
      <c r="M432">
        <f t="shared" si="31"/>
        <v>4</v>
      </c>
      <c r="N432">
        <f t="shared" si="32"/>
        <v>3</v>
      </c>
      <c r="O432">
        <f t="shared" si="33"/>
        <v>2024</v>
      </c>
      <c r="P432" s="4">
        <f t="shared" si="34"/>
        <v>45355</v>
      </c>
      <c r="Q432" t="s">
        <v>1138</v>
      </c>
      <c r="R432" t="s">
        <v>1135</v>
      </c>
      <c r="S432">
        <v>5</v>
      </c>
      <c r="T432" t="s">
        <v>1150</v>
      </c>
      <c r="U432" s="11" t="str">
        <f t="shared" si="35"/>
        <v>04:58:57 PM</v>
      </c>
      <c r="AC432" s="4">
        <v>45604</v>
      </c>
      <c r="AD432" s="25">
        <v>13532.320000000002</v>
      </c>
      <c r="BL432" s="2" t="s">
        <v>1582</v>
      </c>
      <c r="BM432" s="4">
        <v>45592</v>
      </c>
      <c r="BN432" s="25">
        <v>14694.32</v>
      </c>
    </row>
    <row r="433" spans="1:66" x14ac:dyDescent="0.35">
      <c r="A433">
        <v>6023</v>
      </c>
      <c r="B433" t="s">
        <v>8</v>
      </c>
      <c r="C433" s="1">
        <v>45340</v>
      </c>
      <c r="D433" t="s">
        <v>4</v>
      </c>
      <c r="E433" t="s">
        <v>36</v>
      </c>
      <c r="F433">
        <v>3</v>
      </c>
      <c r="G433">
        <v>2394.5500000000002</v>
      </c>
      <c r="H433">
        <v>7183.65</v>
      </c>
      <c r="I433">
        <v>116.2</v>
      </c>
      <c r="J433">
        <v>7067.45</v>
      </c>
      <c r="K433">
        <v>191</v>
      </c>
      <c r="L433" s="11" t="s">
        <v>225</v>
      </c>
      <c r="M433">
        <f t="shared" si="31"/>
        <v>18</v>
      </c>
      <c r="N433">
        <f t="shared" si="32"/>
        <v>2</v>
      </c>
      <c r="O433">
        <f t="shared" si="33"/>
        <v>2024</v>
      </c>
      <c r="P433" s="4">
        <f t="shared" si="34"/>
        <v>45340</v>
      </c>
      <c r="Q433" t="s">
        <v>1139</v>
      </c>
      <c r="R433" t="s">
        <v>1135</v>
      </c>
      <c r="S433">
        <v>1</v>
      </c>
      <c r="T433" t="s">
        <v>1146</v>
      </c>
      <c r="U433" s="11" t="str">
        <f t="shared" si="35"/>
        <v>05:18:32 PM</v>
      </c>
      <c r="AC433" s="4">
        <v>45606</v>
      </c>
      <c r="AD433" s="25">
        <v>10292.829999999998</v>
      </c>
      <c r="BL433" s="2" t="s">
        <v>1583</v>
      </c>
      <c r="BM433" s="4">
        <v>45593</v>
      </c>
      <c r="BN433" s="25">
        <v>27544.379999999997</v>
      </c>
    </row>
    <row r="434" spans="1:66" x14ac:dyDescent="0.35">
      <c r="A434">
        <v>4777</v>
      </c>
      <c r="B434" t="s">
        <v>19</v>
      </c>
      <c r="C434" s="1">
        <v>45238</v>
      </c>
      <c r="D434" t="s">
        <v>11</v>
      </c>
      <c r="E434" t="s">
        <v>30</v>
      </c>
      <c r="F434">
        <v>2</v>
      </c>
      <c r="G434">
        <v>1845.09</v>
      </c>
      <c r="H434">
        <v>3690.18</v>
      </c>
      <c r="I434">
        <v>0</v>
      </c>
      <c r="J434">
        <v>3690.18</v>
      </c>
      <c r="K434">
        <v>223</v>
      </c>
      <c r="L434" s="11" t="s">
        <v>226</v>
      </c>
      <c r="M434">
        <f t="shared" si="31"/>
        <v>8</v>
      </c>
      <c r="N434">
        <f t="shared" si="32"/>
        <v>11</v>
      </c>
      <c r="O434">
        <f t="shared" si="33"/>
        <v>2023</v>
      </c>
      <c r="P434" s="4">
        <f t="shared" si="34"/>
        <v>45238</v>
      </c>
      <c r="Q434" t="s">
        <v>1138</v>
      </c>
      <c r="R434" t="s">
        <v>1137</v>
      </c>
      <c r="S434">
        <v>5</v>
      </c>
      <c r="T434" t="s">
        <v>1148</v>
      </c>
      <c r="U434" s="11" t="str">
        <f t="shared" si="35"/>
        <v>03:27:50 PM</v>
      </c>
      <c r="AC434" s="4">
        <v>45607</v>
      </c>
      <c r="AD434" s="25">
        <v>6340.37</v>
      </c>
      <c r="BL434" s="2" t="s">
        <v>1584</v>
      </c>
      <c r="BM434" s="4">
        <v>45594</v>
      </c>
      <c r="BN434" s="25">
        <v>2096.58</v>
      </c>
    </row>
    <row r="435" spans="1:66" x14ac:dyDescent="0.35">
      <c r="A435">
        <v>4155</v>
      </c>
      <c r="B435" t="s">
        <v>25</v>
      </c>
      <c r="C435" s="1">
        <v>45390</v>
      </c>
      <c r="D435" t="s">
        <v>23</v>
      </c>
      <c r="E435" t="s">
        <v>7</v>
      </c>
      <c r="F435">
        <v>5</v>
      </c>
      <c r="G435">
        <v>1976.23</v>
      </c>
      <c r="H435">
        <v>9881.15</v>
      </c>
      <c r="I435">
        <v>988.53</v>
      </c>
      <c r="J435">
        <v>8892.6200000000008</v>
      </c>
      <c r="K435">
        <v>114</v>
      </c>
      <c r="L435" s="11" t="s">
        <v>227</v>
      </c>
      <c r="M435">
        <f t="shared" si="31"/>
        <v>8</v>
      </c>
      <c r="N435">
        <f t="shared" si="32"/>
        <v>4</v>
      </c>
      <c r="O435">
        <f t="shared" si="33"/>
        <v>2024</v>
      </c>
      <c r="P435" s="4">
        <f t="shared" si="34"/>
        <v>45390</v>
      </c>
      <c r="Q435" t="s">
        <v>1136</v>
      </c>
      <c r="R435" t="s">
        <v>1135</v>
      </c>
      <c r="S435">
        <v>2</v>
      </c>
      <c r="T435" t="s">
        <v>1146</v>
      </c>
      <c r="U435" s="11" t="str">
        <f t="shared" si="35"/>
        <v>09:49:31 PM</v>
      </c>
      <c r="AC435" s="4">
        <v>45608</v>
      </c>
      <c r="AD435" s="25">
        <v>38186.639999999999</v>
      </c>
      <c r="BL435" s="2" t="s">
        <v>1585</v>
      </c>
      <c r="BM435" s="4">
        <v>45595</v>
      </c>
      <c r="BN435" s="25">
        <v>1163.6600000000001</v>
      </c>
    </row>
    <row r="436" spans="1:66" x14ac:dyDescent="0.35">
      <c r="A436">
        <v>2958</v>
      </c>
      <c r="B436" t="s">
        <v>19</v>
      </c>
      <c r="C436" s="1">
        <v>45722</v>
      </c>
      <c r="D436" t="s">
        <v>24</v>
      </c>
      <c r="E436" t="s">
        <v>30</v>
      </c>
      <c r="F436">
        <v>2</v>
      </c>
      <c r="G436">
        <v>1836.79</v>
      </c>
      <c r="H436">
        <v>3673.58</v>
      </c>
      <c r="I436">
        <v>93.79</v>
      </c>
      <c r="J436">
        <v>3579.79</v>
      </c>
      <c r="K436">
        <v>485</v>
      </c>
      <c r="L436" s="11" t="s">
        <v>228</v>
      </c>
      <c r="M436">
        <f t="shared" si="31"/>
        <v>6</v>
      </c>
      <c r="N436">
        <f t="shared" si="32"/>
        <v>3</v>
      </c>
      <c r="O436">
        <f t="shared" si="33"/>
        <v>2025</v>
      </c>
      <c r="P436" s="4">
        <f t="shared" si="34"/>
        <v>45722</v>
      </c>
      <c r="Q436" t="s">
        <v>1136</v>
      </c>
      <c r="R436" t="s">
        <v>1137</v>
      </c>
      <c r="S436">
        <v>4</v>
      </c>
      <c r="T436" t="s">
        <v>1150</v>
      </c>
      <c r="U436" s="11" t="str">
        <f t="shared" si="35"/>
        <v>03:32:13 AM</v>
      </c>
      <c r="AC436" s="4">
        <v>45609</v>
      </c>
      <c r="AD436" s="25">
        <v>3732.51</v>
      </c>
      <c r="BL436" s="2" t="s">
        <v>1586</v>
      </c>
      <c r="BM436" s="4">
        <v>45596</v>
      </c>
      <c r="BN436" s="25">
        <v>668.98</v>
      </c>
    </row>
    <row r="437" spans="1:66" x14ac:dyDescent="0.35">
      <c r="A437">
        <v>9779</v>
      </c>
      <c r="B437" t="s">
        <v>25</v>
      </c>
      <c r="C437" s="1">
        <v>45737</v>
      </c>
      <c r="D437" t="s">
        <v>17</v>
      </c>
      <c r="E437" t="s">
        <v>14</v>
      </c>
      <c r="F437">
        <v>5</v>
      </c>
      <c r="G437">
        <v>332.83</v>
      </c>
      <c r="H437">
        <v>1664.15</v>
      </c>
      <c r="I437">
        <v>249.83</v>
      </c>
      <c r="J437">
        <v>1414.32</v>
      </c>
      <c r="K437">
        <v>254</v>
      </c>
      <c r="L437" s="11" t="s">
        <v>229</v>
      </c>
      <c r="M437">
        <f t="shared" si="31"/>
        <v>21</v>
      </c>
      <c r="N437">
        <f t="shared" si="32"/>
        <v>3</v>
      </c>
      <c r="O437">
        <f t="shared" si="33"/>
        <v>2025</v>
      </c>
      <c r="P437" s="4">
        <f t="shared" si="34"/>
        <v>45737</v>
      </c>
      <c r="Q437" t="s">
        <v>1136</v>
      </c>
      <c r="R437" t="s">
        <v>1137</v>
      </c>
      <c r="S437">
        <v>2</v>
      </c>
      <c r="T437" t="s">
        <v>1142</v>
      </c>
      <c r="U437" s="11" t="str">
        <f t="shared" si="35"/>
        <v>10:57:41 PM</v>
      </c>
      <c r="AC437" s="4">
        <v>45610</v>
      </c>
      <c r="AD437" s="25">
        <v>3140.72</v>
      </c>
      <c r="BL437" s="2" t="s">
        <v>1587</v>
      </c>
      <c r="BM437" s="4">
        <v>45597</v>
      </c>
      <c r="BN437" s="25">
        <v>22805.91</v>
      </c>
    </row>
    <row r="438" spans="1:66" x14ac:dyDescent="0.35">
      <c r="A438">
        <v>4033</v>
      </c>
      <c r="B438" t="s">
        <v>0</v>
      </c>
      <c r="C438" s="1">
        <v>45293</v>
      </c>
      <c r="D438" t="s">
        <v>6</v>
      </c>
      <c r="E438" t="s">
        <v>12</v>
      </c>
      <c r="F438">
        <v>3</v>
      </c>
      <c r="G438">
        <v>486.38</v>
      </c>
      <c r="H438">
        <v>1459.14</v>
      </c>
      <c r="I438">
        <v>0</v>
      </c>
      <c r="J438">
        <v>1459.14</v>
      </c>
      <c r="K438">
        <v>453</v>
      </c>
      <c r="L438" s="11" t="s">
        <v>230</v>
      </c>
      <c r="M438">
        <f t="shared" si="31"/>
        <v>2</v>
      </c>
      <c r="N438">
        <f t="shared" si="32"/>
        <v>1</v>
      </c>
      <c r="O438">
        <f t="shared" si="33"/>
        <v>2024</v>
      </c>
      <c r="P438" s="4">
        <f t="shared" si="34"/>
        <v>45293</v>
      </c>
      <c r="Q438" t="s">
        <v>1136</v>
      </c>
      <c r="R438" t="s">
        <v>1137</v>
      </c>
      <c r="S438">
        <v>5</v>
      </c>
      <c r="T438" t="s">
        <v>1141</v>
      </c>
      <c r="U438" s="11" t="str">
        <f t="shared" si="35"/>
        <v>07:09:26 PM</v>
      </c>
      <c r="AC438" s="4">
        <v>45612</v>
      </c>
      <c r="AD438" s="25">
        <v>17332.89</v>
      </c>
      <c r="BL438" s="2" t="s">
        <v>1588</v>
      </c>
      <c r="BM438" s="4">
        <v>45598</v>
      </c>
      <c r="BN438" s="25">
        <v>7457.5499999999993</v>
      </c>
    </row>
    <row r="439" spans="1:66" x14ac:dyDescent="0.35">
      <c r="A439">
        <v>4545</v>
      </c>
      <c r="B439" t="s">
        <v>25</v>
      </c>
      <c r="C439" s="1">
        <v>45718</v>
      </c>
      <c r="D439" t="s">
        <v>34</v>
      </c>
      <c r="E439" t="s">
        <v>28</v>
      </c>
      <c r="F439">
        <v>3</v>
      </c>
      <c r="G439">
        <v>586.80999999999995</v>
      </c>
      <c r="H439">
        <v>1760.43</v>
      </c>
      <c r="I439">
        <v>263.94</v>
      </c>
      <c r="J439">
        <v>1496.49</v>
      </c>
      <c r="K439">
        <v>354</v>
      </c>
      <c r="L439" s="11" t="s">
        <v>231</v>
      </c>
      <c r="M439">
        <f t="shared" si="31"/>
        <v>2</v>
      </c>
      <c r="N439">
        <f t="shared" si="32"/>
        <v>3</v>
      </c>
      <c r="O439">
        <f t="shared" si="33"/>
        <v>2025</v>
      </c>
      <c r="P439" s="4">
        <f t="shared" si="34"/>
        <v>45718</v>
      </c>
      <c r="Q439" t="s">
        <v>1136</v>
      </c>
      <c r="R439" t="s">
        <v>1137</v>
      </c>
      <c r="S439">
        <v>1</v>
      </c>
      <c r="T439" t="s">
        <v>1143</v>
      </c>
      <c r="U439" s="11" t="str">
        <f t="shared" si="35"/>
        <v>05:03:24 AM</v>
      </c>
      <c r="AC439" s="4">
        <v>45613</v>
      </c>
      <c r="AD439" s="25">
        <v>11746.16</v>
      </c>
      <c r="BL439" s="2" t="s">
        <v>1589</v>
      </c>
      <c r="BM439" s="4">
        <v>45599</v>
      </c>
      <c r="BN439" s="25">
        <v>8339.84</v>
      </c>
    </row>
    <row r="440" spans="1:66" x14ac:dyDescent="0.35">
      <c r="A440">
        <v>8933</v>
      </c>
      <c r="B440" t="s">
        <v>19</v>
      </c>
      <c r="C440" s="1">
        <v>45359</v>
      </c>
      <c r="D440" t="s">
        <v>4</v>
      </c>
      <c r="E440" t="s">
        <v>28</v>
      </c>
      <c r="F440">
        <v>1</v>
      </c>
      <c r="G440">
        <v>1010.94</v>
      </c>
      <c r="H440">
        <v>1010.94</v>
      </c>
      <c r="I440">
        <v>202.52</v>
      </c>
      <c r="J440">
        <v>808.42</v>
      </c>
      <c r="K440">
        <v>375</v>
      </c>
      <c r="L440" s="11" t="s">
        <v>232</v>
      </c>
      <c r="M440">
        <f t="shared" si="31"/>
        <v>8</v>
      </c>
      <c r="N440">
        <f t="shared" si="32"/>
        <v>3</v>
      </c>
      <c r="O440">
        <f t="shared" si="33"/>
        <v>2024</v>
      </c>
      <c r="P440" s="4">
        <f t="shared" si="34"/>
        <v>45359</v>
      </c>
      <c r="Q440" t="s">
        <v>1134</v>
      </c>
      <c r="R440" t="s">
        <v>1135</v>
      </c>
      <c r="S440">
        <v>3</v>
      </c>
      <c r="T440" t="s">
        <v>1145</v>
      </c>
      <c r="U440" s="11" t="str">
        <f t="shared" si="35"/>
        <v>10:37:04 AM</v>
      </c>
      <c r="AC440" s="4">
        <v>45614</v>
      </c>
      <c r="AD440" s="25">
        <v>3271.86</v>
      </c>
      <c r="BL440" s="2" t="s">
        <v>1590</v>
      </c>
      <c r="BM440" s="4">
        <v>45600</v>
      </c>
      <c r="BN440" s="25">
        <v>25801.38</v>
      </c>
    </row>
    <row r="441" spans="1:66" x14ac:dyDescent="0.35">
      <c r="A441">
        <v>9595</v>
      </c>
      <c r="B441" t="s">
        <v>13</v>
      </c>
      <c r="C441" s="1">
        <v>45608</v>
      </c>
      <c r="D441" t="s">
        <v>34</v>
      </c>
      <c r="E441" t="s">
        <v>21</v>
      </c>
      <c r="F441">
        <v>3</v>
      </c>
      <c r="G441">
        <v>1396.06</v>
      </c>
      <c r="H441">
        <v>4188.18</v>
      </c>
      <c r="I441">
        <v>298.8</v>
      </c>
      <c r="J441">
        <v>3889.38</v>
      </c>
      <c r="K441">
        <v>51</v>
      </c>
      <c r="L441" s="11" t="s">
        <v>233</v>
      </c>
      <c r="M441">
        <f t="shared" si="31"/>
        <v>12</v>
      </c>
      <c r="N441">
        <f t="shared" si="32"/>
        <v>11</v>
      </c>
      <c r="O441">
        <f t="shared" si="33"/>
        <v>2024</v>
      </c>
      <c r="P441" s="4">
        <f t="shared" si="34"/>
        <v>45608</v>
      </c>
      <c r="Q441" t="s">
        <v>1134</v>
      </c>
      <c r="R441" t="s">
        <v>1137</v>
      </c>
      <c r="S441">
        <v>5</v>
      </c>
      <c r="T441" t="s">
        <v>1147</v>
      </c>
      <c r="U441" s="11" t="str">
        <f t="shared" si="35"/>
        <v>08:40:39 AM</v>
      </c>
      <c r="AC441" s="4">
        <v>45615</v>
      </c>
      <c r="AD441" s="25">
        <v>2290.8000000000002</v>
      </c>
      <c r="BL441" s="2" t="s">
        <v>1591</v>
      </c>
      <c r="BM441" s="4">
        <v>45601</v>
      </c>
      <c r="BN441" s="25">
        <v>1996.15</v>
      </c>
    </row>
    <row r="442" spans="1:66" x14ac:dyDescent="0.35">
      <c r="A442">
        <v>5636</v>
      </c>
      <c r="B442" t="s">
        <v>31</v>
      </c>
      <c r="C442" s="1">
        <v>45223</v>
      </c>
      <c r="D442" t="s">
        <v>23</v>
      </c>
      <c r="E442" t="s">
        <v>22</v>
      </c>
      <c r="F442">
        <v>1</v>
      </c>
      <c r="G442">
        <v>2006.11</v>
      </c>
      <c r="H442">
        <v>2006.11</v>
      </c>
      <c r="I442">
        <v>188.41</v>
      </c>
      <c r="J442">
        <v>1817.7</v>
      </c>
      <c r="K442">
        <v>17</v>
      </c>
      <c r="L442" s="11" t="s">
        <v>234</v>
      </c>
      <c r="M442">
        <f t="shared" si="31"/>
        <v>24</v>
      </c>
      <c r="N442">
        <f t="shared" si="32"/>
        <v>10</v>
      </c>
      <c r="O442">
        <f t="shared" si="33"/>
        <v>2023</v>
      </c>
      <c r="P442" s="4">
        <f t="shared" si="34"/>
        <v>45223</v>
      </c>
      <c r="Q442" t="s">
        <v>1138</v>
      </c>
      <c r="R442" t="s">
        <v>1135</v>
      </c>
      <c r="S442">
        <v>1</v>
      </c>
      <c r="T442" t="s">
        <v>1143</v>
      </c>
      <c r="U442" s="11" t="str">
        <f t="shared" si="35"/>
        <v>02:00:05 PM</v>
      </c>
      <c r="AC442" s="4">
        <v>45616</v>
      </c>
      <c r="AD442" s="25">
        <v>10759.29</v>
      </c>
      <c r="BL442" s="2" t="s">
        <v>1592</v>
      </c>
      <c r="BM442" s="4">
        <v>45602</v>
      </c>
      <c r="BN442" s="25">
        <v>15375.75</v>
      </c>
    </row>
    <row r="443" spans="1:66" x14ac:dyDescent="0.35">
      <c r="A443">
        <v>4180</v>
      </c>
      <c r="B443" t="s">
        <v>0</v>
      </c>
      <c r="C443" s="1">
        <v>45375</v>
      </c>
      <c r="D443" t="s">
        <v>4</v>
      </c>
      <c r="E443" t="s">
        <v>10</v>
      </c>
      <c r="F443">
        <v>2</v>
      </c>
      <c r="G443">
        <v>2219.42</v>
      </c>
      <c r="H443">
        <v>4438.84</v>
      </c>
      <c r="I443">
        <v>395.91</v>
      </c>
      <c r="J443">
        <v>4042.93</v>
      </c>
      <c r="K443">
        <v>82</v>
      </c>
      <c r="L443" s="11" t="s">
        <v>235</v>
      </c>
      <c r="M443">
        <f t="shared" si="31"/>
        <v>24</v>
      </c>
      <c r="N443">
        <f t="shared" si="32"/>
        <v>3</v>
      </c>
      <c r="O443">
        <f t="shared" si="33"/>
        <v>2024</v>
      </c>
      <c r="P443" s="4">
        <f t="shared" si="34"/>
        <v>45375</v>
      </c>
      <c r="Q443" t="s">
        <v>1136</v>
      </c>
      <c r="R443" t="s">
        <v>1135</v>
      </c>
      <c r="S443">
        <v>4</v>
      </c>
      <c r="T443" t="s">
        <v>1142</v>
      </c>
      <c r="U443" s="11" t="str">
        <f t="shared" si="35"/>
        <v>06:54:21 PM</v>
      </c>
      <c r="AC443" s="4">
        <v>45618</v>
      </c>
      <c r="AD443" s="25">
        <v>21028.05</v>
      </c>
      <c r="BL443" s="2" t="s">
        <v>1593</v>
      </c>
      <c r="BM443" s="4">
        <v>45603</v>
      </c>
      <c r="BN443" s="25">
        <v>1943.86</v>
      </c>
    </row>
    <row r="444" spans="1:66" x14ac:dyDescent="0.35">
      <c r="A444">
        <v>4727</v>
      </c>
      <c r="B444" t="s">
        <v>0</v>
      </c>
      <c r="C444" s="1">
        <v>45425</v>
      </c>
      <c r="D444" t="s">
        <v>11</v>
      </c>
      <c r="E444" t="s">
        <v>37</v>
      </c>
      <c r="F444">
        <v>1</v>
      </c>
      <c r="G444">
        <v>1120.5</v>
      </c>
      <c r="H444">
        <v>1120.5</v>
      </c>
      <c r="I444">
        <v>378.48</v>
      </c>
      <c r="J444">
        <v>742.02</v>
      </c>
      <c r="K444">
        <v>334</v>
      </c>
      <c r="L444" s="11" t="s">
        <v>236</v>
      </c>
      <c r="M444">
        <f t="shared" si="31"/>
        <v>13</v>
      </c>
      <c r="N444">
        <f t="shared" si="32"/>
        <v>5</v>
      </c>
      <c r="O444">
        <f t="shared" si="33"/>
        <v>2024</v>
      </c>
      <c r="P444" s="4">
        <f t="shared" si="34"/>
        <v>45425</v>
      </c>
      <c r="Q444" t="s">
        <v>1138</v>
      </c>
      <c r="R444" t="s">
        <v>1135</v>
      </c>
      <c r="S444">
        <v>2</v>
      </c>
      <c r="T444" t="s">
        <v>1141</v>
      </c>
      <c r="U444" s="11" t="str">
        <f t="shared" si="35"/>
        <v>12:36:38 AM</v>
      </c>
      <c r="AC444" s="4">
        <v>45619</v>
      </c>
      <c r="AD444" s="25">
        <v>12793.62</v>
      </c>
      <c r="BL444" s="2" t="s">
        <v>1594</v>
      </c>
      <c r="BM444" s="4">
        <v>45604</v>
      </c>
      <c r="BN444" s="25">
        <v>13532.320000000002</v>
      </c>
    </row>
    <row r="445" spans="1:66" x14ac:dyDescent="0.35">
      <c r="A445">
        <v>3939</v>
      </c>
      <c r="B445" t="s">
        <v>8</v>
      </c>
      <c r="C445" s="1">
        <v>45379</v>
      </c>
      <c r="D445" t="s">
        <v>1</v>
      </c>
      <c r="E445" t="s">
        <v>38</v>
      </c>
      <c r="F445">
        <v>3</v>
      </c>
      <c r="G445">
        <v>576.85</v>
      </c>
      <c r="H445">
        <v>1730.55</v>
      </c>
      <c r="I445">
        <v>0</v>
      </c>
      <c r="J445">
        <v>1730.55</v>
      </c>
      <c r="K445">
        <v>97</v>
      </c>
      <c r="L445" s="11" t="s">
        <v>237</v>
      </c>
      <c r="M445">
        <f t="shared" si="31"/>
        <v>28</v>
      </c>
      <c r="N445">
        <f t="shared" si="32"/>
        <v>3</v>
      </c>
      <c r="O445">
        <f t="shared" si="33"/>
        <v>2024</v>
      </c>
      <c r="P445" s="4">
        <f t="shared" si="34"/>
        <v>45379</v>
      </c>
      <c r="Q445" t="s">
        <v>1136</v>
      </c>
      <c r="R445" t="s">
        <v>1135</v>
      </c>
      <c r="S445">
        <v>2</v>
      </c>
      <c r="T445" t="s">
        <v>1147</v>
      </c>
      <c r="U445" s="11" t="str">
        <f t="shared" si="35"/>
        <v>05:05:11 AM</v>
      </c>
      <c r="AC445" s="4">
        <v>45620</v>
      </c>
      <c r="AD445" s="25">
        <v>15219.710000000001</v>
      </c>
      <c r="BL445" s="2" t="s">
        <v>1595</v>
      </c>
      <c r="BM445" s="4">
        <v>45606</v>
      </c>
      <c r="BN445" s="25">
        <v>10292.829999999998</v>
      </c>
    </row>
    <row r="446" spans="1:66" x14ac:dyDescent="0.35">
      <c r="A446">
        <v>1231</v>
      </c>
      <c r="B446" t="s">
        <v>3</v>
      </c>
      <c r="C446" s="1">
        <v>45694</v>
      </c>
      <c r="D446" t="s">
        <v>27</v>
      </c>
      <c r="E446" t="s">
        <v>2</v>
      </c>
      <c r="F446">
        <v>3</v>
      </c>
      <c r="G446">
        <v>797.63</v>
      </c>
      <c r="H446">
        <v>2392.89</v>
      </c>
      <c r="I446">
        <v>239.04</v>
      </c>
      <c r="J446">
        <v>2153.85</v>
      </c>
      <c r="K446">
        <v>49</v>
      </c>
      <c r="L446" s="11" t="s">
        <v>238</v>
      </c>
      <c r="M446">
        <f t="shared" si="31"/>
        <v>6</v>
      </c>
      <c r="N446">
        <f t="shared" si="32"/>
        <v>2</v>
      </c>
      <c r="O446">
        <f t="shared" si="33"/>
        <v>2025</v>
      </c>
      <c r="P446" s="4">
        <f t="shared" si="34"/>
        <v>45694</v>
      </c>
      <c r="Q446" t="s">
        <v>1136</v>
      </c>
      <c r="R446" t="s">
        <v>1135</v>
      </c>
      <c r="S446">
        <v>2</v>
      </c>
      <c r="T446" t="s">
        <v>1148</v>
      </c>
      <c r="U446" s="11" t="str">
        <f t="shared" si="35"/>
        <v>08:58:36 AM</v>
      </c>
      <c r="AC446" s="4">
        <v>45622</v>
      </c>
      <c r="AD446" s="25">
        <v>14759.060000000001</v>
      </c>
      <c r="BL446" s="2" t="s">
        <v>1596</v>
      </c>
      <c r="BM446" s="4">
        <v>45607</v>
      </c>
      <c r="BN446" s="25">
        <v>6340.37</v>
      </c>
    </row>
    <row r="447" spans="1:66" x14ac:dyDescent="0.35">
      <c r="A447">
        <v>9751</v>
      </c>
      <c r="B447" t="s">
        <v>3</v>
      </c>
      <c r="C447" s="1">
        <v>45243</v>
      </c>
      <c r="D447" t="s">
        <v>34</v>
      </c>
      <c r="E447" t="s">
        <v>30</v>
      </c>
      <c r="F447">
        <v>1</v>
      </c>
      <c r="G447">
        <v>950.35</v>
      </c>
      <c r="H447">
        <v>950.35</v>
      </c>
      <c r="I447">
        <v>142.76</v>
      </c>
      <c r="J447">
        <v>807.59</v>
      </c>
      <c r="K447">
        <v>218</v>
      </c>
      <c r="L447" s="11" t="s">
        <v>239</v>
      </c>
      <c r="M447">
        <f t="shared" si="31"/>
        <v>13</v>
      </c>
      <c r="N447">
        <f t="shared" si="32"/>
        <v>11</v>
      </c>
      <c r="O447">
        <f t="shared" si="33"/>
        <v>2023</v>
      </c>
      <c r="P447" s="4">
        <f t="shared" si="34"/>
        <v>45243</v>
      </c>
      <c r="Q447" t="s">
        <v>1134</v>
      </c>
      <c r="R447" t="s">
        <v>1135</v>
      </c>
      <c r="S447">
        <v>4</v>
      </c>
      <c r="T447" t="s">
        <v>1150</v>
      </c>
      <c r="U447" s="11" t="str">
        <f t="shared" si="35"/>
        <v>08:21:49 AM</v>
      </c>
      <c r="AC447" s="4">
        <v>45623</v>
      </c>
      <c r="AD447" s="25">
        <v>25785.609999999997</v>
      </c>
      <c r="BL447" s="2" t="s">
        <v>1597</v>
      </c>
      <c r="BM447" s="4">
        <v>45608</v>
      </c>
      <c r="BN447" s="25">
        <v>38186.639999999999</v>
      </c>
    </row>
    <row r="448" spans="1:66" x14ac:dyDescent="0.35">
      <c r="A448">
        <v>5494</v>
      </c>
      <c r="B448" t="s">
        <v>15</v>
      </c>
      <c r="C448" s="1">
        <v>45180</v>
      </c>
      <c r="D448" t="s">
        <v>6</v>
      </c>
      <c r="E448" t="s">
        <v>38</v>
      </c>
      <c r="F448">
        <v>1</v>
      </c>
      <c r="G448">
        <v>580.16999999999996</v>
      </c>
      <c r="H448">
        <v>580.16999999999996</v>
      </c>
      <c r="I448">
        <v>239.87</v>
      </c>
      <c r="J448">
        <v>340.3</v>
      </c>
      <c r="K448">
        <v>326</v>
      </c>
      <c r="L448" s="11" t="s">
        <v>240</v>
      </c>
      <c r="M448">
        <f t="shared" si="31"/>
        <v>11</v>
      </c>
      <c r="N448">
        <f t="shared" si="32"/>
        <v>9</v>
      </c>
      <c r="O448">
        <f t="shared" si="33"/>
        <v>2023</v>
      </c>
      <c r="P448" s="4">
        <f t="shared" si="34"/>
        <v>45180</v>
      </c>
      <c r="Q448" t="s">
        <v>1134</v>
      </c>
      <c r="R448" t="s">
        <v>1135</v>
      </c>
      <c r="S448">
        <v>1</v>
      </c>
      <c r="T448" t="s">
        <v>1150</v>
      </c>
      <c r="U448" s="11" t="str">
        <f t="shared" si="35"/>
        <v>06:21:02 PM</v>
      </c>
      <c r="AC448" s="4">
        <v>45624</v>
      </c>
      <c r="AD448" s="25">
        <v>7109.7800000000007</v>
      </c>
      <c r="BL448" s="2" t="s">
        <v>1598</v>
      </c>
      <c r="BM448" s="4">
        <v>45609</v>
      </c>
      <c r="BN448" s="25">
        <v>3732.51</v>
      </c>
    </row>
    <row r="449" spans="1:66" x14ac:dyDescent="0.35">
      <c r="A449">
        <v>1893</v>
      </c>
      <c r="B449" t="s">
        <v>0</v>
      </c>
      <c r="C449" s="1">
        <v>45574</v>
      </c>
      <c r="D449" t="s">
        <v>24</v>
      </c>
      <c r="E449" t="s">
        <v>21</v>
      </c>
      <c r="F449">
        <v>4</v>
      </c>
      <c r="G449">
        <v>1259.1099999999999</v>
      </c>
      <c r="H449">
        <v>5036.4399999999996</v>
      </c>
      <c r="I449">
        <v>296.31</v>
      </c>
      <c r="J449">
        <v>4740.13</v>
      </c>
      <c r="K449">
        <v>338</v>
      </c>
      <c r="L449" s="11" t="s">
        <v>241</v>
      </c>
      <c r="M449">
        <f t="shared" si="31"/>
        <v>9</v>
      </c>
      <c r="N449">
        <f t="shared" si="32"/>
        <v>10</v>
      </c>
      <c r="O449">
        <f t="shared" si="33"/>
        <v>2024</v>
      </c>
      <c r="P449" s="4">
        <f t="shared" si="34"/>
        <v>45574</v>
      </c>
      <c r="Q449" t="s">
        <v>1139</v>
      </c>
      <c r="R449" t="s">
        <v>1135</v>
      </c>
      <c r="S449">
        <v>4</v>
      </c>
      <c r="T449" t="s">
        <v>1148</v>
      </c>
      <c r="U449" s="11" t="str">
        <f t="shared" si="35"/>
        <v>02:45:42 AM</v>
      </c>
      <c r="AC449" s="4">
        <v>45625</v>
      </c>
      <c r="AD449" s="25">
        <v>1408.51</v>
      </c>
      <c r="BL449" s="2" t="s">
        <v>1599</v>
      </c>
      <c r="BM449" s="4">
        <v>45610</v>
      </c>
      <c r="BN449" s="25">
        <v>3140.72</v>
      </c>
    </row>
    <row r="450" spans="1:66" x14ac:dyDescent="0.35">
      <c r="A450">
        <v>5786</v>
      </c>
      <c r="B450" t="s">
        <v>13</v>
      </c>
      <c r="C450" s="1">
        <v>45686</v>
      </c>
      <c r="D450" t="s">
        <v>23</v>
      </c>
      <c r="E450" t="s">
        <v>12</v>
      </c>
      <c r="F450">
        <v>4</v>
      </c>
      <c r="G450">
        <v>971.1</v>
      </c>
      <c r="H450">
        <v>3884.4</v>
      </c>
      <c r="I450">
        <v>582.66</v>
      </c>
      <c r="J450">
        <v>3301.74</v>
      </c>
      <c r="K450">
        <v>228</v>
      </c>
      <c r="L450" s="11" t="s">
        <v>242</v>
      </c>
      <c r="M450">
        <f t="shared" ref="M450:M513" si="36">DAY(C450)</f>
        <v>29</v>
      </c>
      <c r="N450">
        <f t="shared" ref="N450:N513" si="37">MONTH(C450)</f>
        <v>1</v>
      </c>
      <c r="O450">
        <f t="shared" ref="O450:O513" si="38">YEAR(C450)</f>
        <v>2025</v>
      </c>
      <c r="P450" s="4">
        <f t="shared" si="34"/>
        <v>45686</v>
      </c>
      <c r="Q450" t="s">
        <v>1134</v>
      </c>
      <c r="R450" t="s">
        <v>1135</v>
      </c>
      <c r="S450">
        <v>2</v>
      </c>
      <c r="T450" t="s">
        <v>1147</v>
      </c>
      <c r="U450" s="11" t="str">
        <f t="shared" si="35"/>
        <v>04:55:35 PM</v>
      </c>
      <c r="AC450" s="4">
        <v>45626</v>
      </c>
      <c r="AD450" s="25">
        <v>14284.300000000001</v>
      </c>
      <c r="BL450" s="2" t="s">
        <v>1600</v>
      </c>
      <c r="BM450" s="4">
        <v>45612</v>
      </c>
      <c r="BN450" s="25">
        <v>17332.89</v>
      </c>
    </row>
    <row r="451" spans="1:66" x14ac:dyDescent="0.35">
      <c r="A451">
        <v>3068</v>
      </c>
      <c r="B451" t="s">
        <v>15</v>
      </c>
      <c r="C451" s="1">
        <v>45640</v>
      </c>
      <c r="D451" t="s">
        <v>34</v>
      </c>
      <c r="E451" t="s">
        <v>2</v>
      </c>
      <c r="F451">
        <v>2</v>
      </c>
      <c r="G451">
        <v>2097.41</v>
      </c>
      <c r="H451">
        <v>4194.82</v>
      </c>
      <c r="I451">
        <v>839.13</v>
      </c>
      <c r="J451">
        <v>3355.69</v>
      </c>
      <c r="K451">
        <v>288</v>
      </c>
      <c r="L451" s="11" t="s">
        <v>243</v>
      </c>
      <c r="M451">
        <f t="shared" si="36"/>
        <v>14</v>
      </c>
      <c r="N451">
        <f t="shared" si="37"/>
        <v>12</v>
      </c>
      <c r="O451">
        <f t="shared" si="38"/>
        <v>2024</v>
      </c>
      <c r="P451" s="4">
        <f t="shared" ref="P451:P514" si="39">DATE(O451,N451,M451)</f>
        <v>45640</v>
      </c>
      <c r="Q451" t="s">
        <v>1139</v>
      </c>
      <c r="R451" t="s">
        <v>1135</v>
      </c>
      <c r="S451">
        <v>5</v>
      </c>
      <c r="T451" t="s">
        <v>1146</v>
      </c>
      <c r="U451" s="11" t="str">
        <f t="shared" si="35"/>
        <v>09:29:29 PM</v>
      </c>
      <c r="AC451" s="4">
        <v>45627</v>
      </c>
      <c r="AD451" s="25">
        <v>7396.1299999999992</v>
      </c>
      <c r="BL451" s="2" t="s">
        <v>1601</v>
      </c>
      <c r="BM451" s="4">
        <v>45613</v>
      </c>
      <c r="BN451" s="25">
        <v>11746.16</v>
      </c>
    </row>
    <row r="452" spans="1:66" x14ac:dyDescent="0.35">
      <c r="A452">
        <v>9042</v>
      </c>
      <c r="B452" t="s">
        <v>0</v>
      </c>
      <c r="C452" s="1">
        <v>45224</v>
      </c>
      <c r="D452" t="s">
        <v>4</v>
      </c>
      <c r="E452" t="s">
        <v>12</v>
      </c>
      <c r="F452">
        <v>5</v>
      </c>
      <c r="G452">
        <v>1079</v>
      </c>
      <c r="H452">
        <v>5395</v>
      </c>
      <c r="I452">
        <v>102.92</v>
      </c>
      <c r="J452">
        <v>5292.08</v>
      </c>
      <c r="K452">
        <v>387</v>
      </c>
      <c r="L452" s="11" t="s">
        <v>244</v>
      </c>
      <c r="M452">
        <f t="shared" si="36"/>
        <v>25</v>
      </c>
      <c r="N452">
        <f t="shared" si="37"/>
        <v>10</v>
      </c>
      <c r="O452">
        <f t="shared" si="38"/>
        <v>2023</v>
      </c>
      <c r="P452" s="4">
        <f t="shared" si="39"/>
        <v>45224</v>
      </c>
      <c r="Q452" t="s">
        <v>1139</v>
      </c>
      <c r="R452" t="s">
        <v>1137</v>
      </c>
      <c r="S452">
        <v>3</v>
      </c>
      <c r="T452" t="s">
        <v>1141</v>
      </c>
      <c r="U452" s="11" t="str">
        <f t="shared" si="35"/>
        <v>07:04:30 AM</v>
      </c>
      <c r="AC452" s="4">
        <v>45628</v>
      </c>
      <c r="AD452" s="25">
        <v>11166.82</v>
      </c>
      <c r="BL452" s="2" t="s">
        <v>1602</v>
      </c>
      <c r="BM452" s="4">
        <v>45614</v>
      </c>
      <c r="BN452" s="25">
        <v>3271.86</v>
      </c>
    </row>
    <row r="453" spans="1:66" x14ac:dyDescent="0.35">
      <c r="A453">
        <v>1200</v>
      </c>
      <c r="B453" t="s">
        <v>13</v>
      </c>
      <c r="C453" s="1">
        <v>45590</v>
      </c>
      <c r="D453" t="s">
        <v>27</v>
      </c>
      <c r="E453" t="s">
        <v>5</v>
      </c>
      <c r="F453">
        <v>5</v>
      </c>
      <c r="G453">
        <v>1735.53</v>
      </c>
      <c r="H453">
        <v>8677.65</v>
      </c>
      <c r="I453">
        <v>375.99</v>
      </c>
      <c r="J453">
        <v>8301.66</v>
      </c>
      <c r="K453">
        <v>479</v>
      </c>
      <c r="L453" s="11" t="s">
        <v>245</v>
      </c>
      <c r="M453">
        <f t="shared" si="36"/>
        <v>25</v>
      </c>
      <c r="N453">
        <f t="shared" si="37"/>
        <v>10</v>
      </c>
      <c r="O453">
        <f t="shared" si="38"/>
        <v>2024</v>
      </c>
      <c r="P453" s="4">
        <f t="shared" si="39"/>
        <v>45590</v>
      </c>
      <c r="Q453" t="s">
        <v>1139</v>
      </c>
      <c r="R453" t="s">
        <v>1137</v>
      </c>
      <c r="S453">
        <v>4</v>
      </c>
      <c r="T453" t="s">
        <v>1148</v>
      </c>
      <c r="U453" s="11" t="str">
        <f t="shared" si="35"/>
        <v>02:10:09 PM</v>
      </c>
      <c r="AC453" s="4">
        <v>45629</v>
      </c>
      <c r="AD453" s="25">
        <v>7162.9</v>
      </c>
      <c r="BL453" s="2" t="s">
        <v>1603</v>
      </c>
      <c r="BM453" s="4">
        <v>45615</v>
      </c>
      <c r="BN453" s="25">
        <v>2290.8000000000002</v>
      </c>
    </row>
    <row r="454" spans="1:66" x14ac:dyDescent="0.35">
      <c r="A454">
        <v>5658</v>
      </c>
      <c r="B454" t="s">
        <v>15</v>
      </c>
      <c r="C454" s="1">
        <v>45509</v>
      </c>
      <c r="D454" t="s">
        <v>24</v>
      </c>
      <c r="E454" t="s">
        <v>32</v>
      </c>
      <c r="F454">
        <v>4</v>
      </c>
      <c r="G454">
        <v>2255.11</v>
      </c>
      <c r="H454">
        <v>9020.44</v>
      </c>
      <c r="I454">
        <v>272.24</v>
      </c>
      <c r="J454">
        <v>8748.2000000000007</v>
      </c>
      <c r="K454">
        <v>365</v>
      </c>
      <c r="L454" s="11" t="s">
        <v>246</v>
      </c>
      <c r="M454">
        <f t="shared" si="36"/>
        <v>5</v>
      </c>
      <c r="N454">
        <f t="shared" si="37"/>
        <v>8</v>
      </c>
      <c r="O454">
        <f t="shared" si="38"/>
        <v>2024</v>
      </c>
      <c r="P454" s="4">
        <f t="shared" si="39"/>
        <v>45509</v>
      </c>
      <c r="Q454" t="s">
        <v>1139</v>
      </c>
      <c r="R454" t="s">
        <v>1137</v>
      </c>
      <c r="S454">
        <v>4</v>
      </c>
      <c r="T454" t="s">
        <v>1147</v>
      </c>
      <c r="U454" s="11" t="str">
        <f t="shared" si="35"/>
        <v>06:07:33 PM</v>
      </c>
      <c r="AC454" s="4">
        <v>45630</v>
      </c>
      <c r="AD454" s="25">
        <v>4338.41</v>
      </c>
      <c r="BL454" s="2" t="s">
        <v>1604</v>
      </c>
      <c r="BM454" s="4">
        <v>45616</v>
      </c>
      <c r="BN454" s="25">
        <v>10759.29</v>
      </c>
    </row>
    <row r="455" spans="1:66" x14ac:dyDescent="0.35">
      <c r="A455">
        <v>8843</v>
      </c>
      <c r="B455" t="s">
        <v>3</v>
      </c>
      <c r="C455" s="1">
        <v>45487</v>
      </c>
      <c r="D455" t="s">
        <v>17</v>
      </c>
      <c r="E455" t="s">
        <v>30</v>
      </c>
      <c r="F455">
        <v>1</v>
      </c>
      <c r="G455">
        <v>2367.16</v>
      </c>
      <c r="H455">
        <v>2367.16</v>
      </c>
      <c r="I455">
        <v>473.1</v>
      </c>
      <c r="J455">
        <v>1894.06</v>
      </c>
      <c r="K455">
        <v>229</v>
      </c>
      <c r="L455" s="11" t="s">
        <v>247</v>
      </c>
      <c r="M455">
        <f t="shared" si="36"/>
        <v>14</v>
      </c>
      <c r="N455">
        <f t="shared" si="37"/>
        <v>7</v>
      </c>
      <c r="O455">
        <f t="shared" si="38"/>
        <v>2024</v>
      </c>
      <c r="P455" s="4">
        <f t="shared" si="39"/>
        <v>45487</v>
      </c>
      <c r="Q455" t="s">
        <v>1139</v>
      </c>
      <c r="R455" t="s">
        <v>1135</v>
      </c>
      <c r="S455">
        <v>1</v>
      </c>
      <c r="T455" t="s">
        <v>1144</v>
      </c>
      <c r="U455" s="11" t="str">
        <f t="shared" si="35"/>
        <v>08:13:54 PM</v>
      </c>
      <c r="AC455" s="4">
        <v>45631</v>
      </c>
      <c r="AD455" s="25">
        <v>6913.0700000000006</v>
      </c>
      <c r="BL455" s="2" t="s">
        <v>1605</v>
      </c>
      <c r="BM455" s="4">
        <v>45618</v>
      </c>
      <c r="BN455" s="25">
        <v>21028.05</v>
      </c>
    </row>
    <row r="456" spans="1:66" x14ac:dyDescent="0.35">
      <c r="A456">
        <v>6582</v>
      </c>
      <c r="B456" t="s">
        <v>31</v>
      </c>
      <c r="C456" s="1">
        <v>45288</v>
      </c>
      <c r="D456" t="s">
        <v>6</v>
      </c>
      <c r="E456" t="s">
        <v>30</v>
      </c>
      <c r="F456">
        <v>1</v>
      </c>
      <c r="G456">
        <v>1101.4100000000001</v>
      </c>
      <c r="H456">
        <v>1101.4100000000001</v>
      </c>
      <c r="I456">
        <v>219.95</v>
      </c>
      <c r="J456">
        <v>881.46</v>
      </c>
      <c r="K456">
        <v>349</v>
      </c>
      <c r="L456" s="11" t="s">
        <v>248</v>
      </c>
      <c r="M456">
        <f t="shared" si="36"/>
        <v>28</v>
      </c>
      <c r="N456">
        <f t="shared" si="37"/>
        <v>12</v>
      </c>
      <c r="O456">
        <f t="shared" si="38"/>
        <v>2023</v>
      </c>
      <c r="P456" s="4">
        <f t="shared" si="39"/>
        <v>45288</v>
      </c>
      <c r="Q456" t="s">
        <v>1138</v>
      </c>
      <c r="R456" t="s">
        <v>1137</v>
      </c>
      <c r="S456">
        <v>1</v>
      </c>
      <c r="T456" t="s">
        <v>1143</v>
      </c>
      <c r="U456" s="11" t="str">
        <f t="shared" si="35"/>
        <v>02:52:04 PM</v>
      </c>
      <c r="AC456" s="4">
        <v>45632</v>
      </c>
      <c r="AD456" s="25">
        <v>5790.91</v>
      </c>
      <c r="BL456" s="2" t="s">
        <v>1606</v>
      </c>
      <c r="BM456" s="4">
        <v>45619</v>
      </c>
      <c r="BN456" s="25">
        <v>12793.62</v>
      </c>
    </row>
    <row r="457" spans="1:66" x14ac:dyDescent="0.35">
      <c r="A457">
        <v>1841</v>
      </c>
      <c r="B457" t="s">
        <v>8</v>
      </c>
      <c r="C457" s="1">
        <v>45341</v>
      </c>
      <c r="D457" t="s">
        <v>17</v>
      </c>
      <c r="E457" t="s">
        <v>2</v>
      </c>
      <c r="F457">
        <v>3</v>
      </c>
      <c r="G457">
        <v>2274.1999999999998</v>
      </c>
      <c r="H457">
        <v>6822.6</v>
      </c>
      <c r="I457">
        <v>211.65</v>
      </c>
      <c r="J457">
        <v>6610.95</v>
      </c>
      <c r="K457">
        <v>468</v>
      </c>
      <c r="L457" s="11" t="s">
        <v>249</v>
      </c>
      <c r="M457">
        <f t="shared" si="36"/>
        <v>19</v>
      </c>
      <c r="N457">
        <f t="shared" si="37"/>
        <v>2</v>
      </c>
      <c r="O457">
        <f t="shared" si="38"/>
        <v>2024</v>
      </c>
      <c r="P457" s="4">
        <f t="shared" si="39"/>
        <v>45341</v>
      </c>
      <c r="Q457" t="s">
        <v>1134</v>
      </c>
      <c r="R457" t="s">
        <v>1137</v>
      </c>
      <c r="S457">
        <v>4</v>
      </c>
      <c r="T457" t="s">
        <v>1142</v>
      </c>
      <c r="U457" s="11" t="str">
        <f t="shared" si="35"/>
        <v>08:29:00 AM</v>
      </c>
      <c r="AC457" s="4">
        <v>45633</v>
      </c>
      <c r="AD457" s="25">
        <v>4653.8099999999995</v>
      </c>
      <c r="BL457" s="2" t="s">
        <v>1607</v>
      </c>
      <c r="BM457" s="4">
        <v>45620</v>
      </c>
      <c r="BN457" s="25">
        <v>15219.710000000001</v>
      </c>
    </row>
    <row r="458" spans="1:66" x14ac:dyDescent="0.35">
      <c r="A458">
        <v>8827</v>
      </c>
      <c r="B458" t="s">
        <v>13</v>
      </c>
      <c r="C458" s="1">
        <v>45233</v>
      </c>
      <c r="D458" t="s">
        <v>27</v>
      </c>
      <c r="E458" t="s">
        <v>10</v>
      </c>
      <c r="F458">
        <v>3</v>
      </c>
      <c r="G458">
        <v>1332.98</v>
      </c>
      <c r="H458">
        <v>3998.94</v>
      </c>
      <c r="I458">
        <v>0</v>
      </c>
      <c r="J458">
        <v>3998.94</v>
      </c>
      <c r="K458">
        <v>469</v>
      </c>
      <c r="L458" s="11" t="s">
        <v>250</v>
      </c>
      <c r="M458">
        <f t="shared" si="36"/>
        <v>3</v>
      </c>
      <c r="N458">
        <f t="shared" si="37"/>
        <v>11</v>
      </c>
      <c r="O458">
        <f t="shared" si="38"/>
        <v>2023</v>
      </c>
      <c r="P458" s="4">
        <f t="shared" si="39"/>
        <v>45233</v>
      </c>
      <c r="Q458" t="s">
        <v>1139</v>
      </c>
      <c r="R458" t="s">
        <v>1137</v>
      </c>
      <c r="S458">
        <v>2</v>
      </c>
      <c r="T458" t="s">
        <v>1148</v>
      </c>
      <c r="U458" s="11" t="str">
        <f t="shared" si="35"/>
        <v>01:31:56 AM</v>
      </c>
      <c r="AC458" s="4">
        <v>45634</v>
      </c>
      <c r="AD458" s="25">
        <v>10786.68</v>
      </c>
      <c r="BL458" s="2" t="s">
        <v>1608</v>
      </c>
      <c r="BM458" s="4">
        <v>45622</v>
      </c>
      <c r="BN458" s="25">
        <v>14759.060000000001</v>
      </c>
    </row>
    <row r="459" spans="1:66" x14ac:dyDescent="0.35">
      <c r="A459">
        <v>2070</v>
      </c>
      <c r="B459" t="s">
        <v>3</v>
      </c>
      <c r="C459" s="1">
        <v>45456</v>
      </c>
      <c r="D459" t="s">
        <v>9</v>
      </c>
      <c r="E459" t="s">
        <v>38</v>
      </c>
      <c r="F459">
        <v>4</v>
      </c>
      <c r="G459">
        <v>442.39</v>
      </c>
      <c r="H459">
        <v>1769.56</v>
      </c>
      <c r="I459">
        <v>269.75</v>
      </c>
      <c r="J459">
        <v>1499.81</v>
      </c>
      <c r="K459">
        <v>290</v>
      </c>
      <c r="L459" s="11" t="s">
        <v>251</v>
      </c>
      <c r="M459">
        <f t="shared" si="36"/>
        <v>13</v>
      </c>
      <c r="N459">
        <f t="shared" si="37"/>
        <v>6</v>
      </c>
      <c r="O459">
        <f t="shared" si="38"/>
        <v>2024</v>
      </c>
      <c r="P459" s="4">
        <f t="shared" si="39"/>
        <v>45456</v>
      </c>
      <c r="Q459" t="s">
        <v>1136</v>
      </c>
      <c r="R459" t="s">
        <v>1135</v>
      </c>
      <c r="S459">
        <v>3</v>
      </c>
      <c r="T459" t="s">
        <v>1142</v>
      </c>
      <c r="U459" s="11" t="str">
        <f t="shared" si="35"/>
        <v>11:32:04 PM</v>
      </c>
      <c r="AC459" s="4">
        <v>45635</v>
      </c>
      <c r="AD459" s="25">
        <v>3241.98</v>
      </c>
      <c r="BL459" s="2" t="s">
        <v>1609</v>
      </c>
      <c r="BM459" s="4">
        <v>45623</v>
      </c>
      <c r="BN459" s="25">
        <v>25785.609999999997</v>
      </c>
    </row>
    <row r="460" spans="1:66" x14ac:dyDescent="0.35">
      <c r="A460">
        <v>9056</v>
      </c>
      <c r="B460" t="s">
        <v>0</v>
      </c>
      <c r="C460" s="1">
        <v>45202</v>
      </c>
      <c r="D460" t="s">
        <v>24</v>
      </c>
      <c r="E460" t="s">
        <v>7</v>
      </c>
      <c r="F460">
        <v>3</v>
      </c>
      <c r="G460">
        <v>2195.35</v>
      </c>
      <c r="H460">
        <v>6586.05</v>
      </c>
      <c r="I460">
        <v>0</v>
      </c>
      <c r="J460">
        <v>6586.05</v>
      </c>
      <c r="K460">
        <v>135</v>
      </c>
      <c r="L460" s="11" t="s">
        <v>252</v>
      </c>
      <c r="M460">
        <f t="shared" si="36"/>
        <v>3</v>
      </c>
      <c r="N460">
        <f t="shared" si="37"/>
        <v>10</v>
      </c>
      <c r="O460">
        <f t="shared" si="38"/>
        <v>2023</v>
      </c>
      <c r="P460" s="4">
        <f t="shared" si="39"/>
        <v>45202</v>
      </c>
      <c r="Q460" t="s">
        <v>1134</v>
      </c>
      <c r="R460" t="s">
        <v>1135</v>
      </c>
      <c r="S460">
        <v>1</v>
      </c>
      <c r="T460" t="s">
        <v>1146</v>
      </c>
      <c r="U460" s="11" t="str">
        <f t="shared" si="35"/>
        <v>09:15:36 PM</v>
      </c>
      <c r="AC460" s="4">
        <v>45636</v>
      </c>
      <c r="AD460" s="25">
        <v>2140.5700000000002</v>
      </c>
      <c r="BL460" s="2" t="s">
        <v>1610</v>
      </c>
      <c r="BM460" s="4">
        <v>45624</v>
      </c>
      <c r="BN460" s="25">
        <v>7109.7800000000007</v>
      </c>
    </row>
    <row r="461" spans="1:66" x14ac:dyDescent="0.35">
      <c r="A461">
        <v>1878</v>
      </c>
      <c r="B461" t="s">
        <v>15</v>
      </c>
      <c r="C461" s="1">
        <v>45262</v>
      </c>
      <c r="D461" t="s">
        <v>17</v>
      </c>
      <c r="E461" t="s">
        <v>37</v>
      </c>
      <c r="F461">
        <v>1</v>
      </c>
      <c r="G461">
        <v>496.34</v>
      </c>
      <c r="H461">
        <v>496.34</v>
      </c>
      <c r="I461">
        <v>284.69</v>
      </c>
      <c r="J461">
        <v>211.65</v>
      </c>
      <c r="K461">
        <v>206</v>
      </c>
      <c r="L461" s="11" t="s">
        <v>253</v>
      </c>
      <c r="M461">
        <f t="shared" si="36"/>
        <v>2</v>
      </c>
      <c r="N461">
        <f t="shared" si="37"/>
        <v>12</v>
      </c>
      <c r="O461">
        <f t="shared" si="38"/>
        <v>2023</v>
      </c>
      <c r="P461" s="4">
        <f t="shared" si="39"/>
        <v>45262</v>
      </c>
      <c r="Q461" t="s">
        <v>1134</v>
      </c>
      <c r="R461" t="s">
        <v>1135</v>
      </c>
      <c r="S461">
        <v>2</v>
      </c>
      <c r="T461" t="s">
        <v>1146</v>
      </c>
      <c r="U461" s="11" t="str">
        <f t="shared" si="35"/>
        <v>12:08:50 AM</v>
      </c>
      <c r="AC461" s="4">
        <v>45638</v>
      </c>
      <c r="AD461" s="25">
        <v>16674.7</v>
      </c>
      <c r="BL461" s="2" t="s">
        <v>1611</v>
      </c>
      <c r="BM461" s="4">
        <v>45625</v>
      </c>
      <c r="BN461" s="25">
        <v>1408.51</v>
      </c>
    </row>
    <row r="462" spans="1:66" x14ac:dyDescent="0.35">
      <c r="A462">
        <v>3444</v>
      </c>
      <c r="B462" t="s">
        <v>13</v>
      </c>
      <c r="C462" s="1">
        <v>45775</v>
      </c>
      <c r="D462" t="s">
        <v>1</v>
      </c>
      <c r="E462" t="s">
        <v>21</v>
      </c>
      <c r="F462">
        <v>3</v>
      </c>
      <c r="G462">
        <v>1743.83</v>
      </c>
      <c r="H462">
        <v>5231.49</v>
      </c>
      <c r="I462">
        <v>784.35</v>
      </c>
      <c r="J462">
        <v>4447.1400000000003</v>
      </c>
      <c r="K462">
        <v>25</v>
      </c>
      <c r="L462" s="11" t="s">
        <v>254</v>
      </c>
      <c r="M462">
        <f t="shared" si="36"/>
        <v>28</v>
      </c>
      <c r="N462">
        <f t="shared" si="37"/>
        <v>4</v>
      </c>
      <c r="O462">
        <f t="shared" si="38"/>
        <v>2025</v>
      </c>
      <c r="P462" s="4">
        <f t="shared" si="39"/>
        <v>45775</v>
      </c>
      <c r="Q462" t="s">
        <v>1139</v>
      </c>
      <c r="R462" t="s">
        <v>1135</v>
      </c>
      <c r="S462">
        <v>5</v>
      </c>
      <c r="T462" t="s">
        <v>1144</v>
      </c>
      <c r="U462" s="11" t="str">
        <f t="shared" si="35"/>
        <v>06:51:52 PM</v>
      </c>
      <c r="AC462" s="4">
        <v>45639</v>
      </c>
      <c r="AD462" s="25">
        <v>7988.75</v>
      </c>
      <c r="BL462" s="2" t="s">
        <v>1612</v>
      </c>
      <c r="BM462" s="4">
        <v>45626</v>
      </c>
      <c r="BN462" s="25">
        <v>14284.300000000001</v>
      </c>
    </row>
    <row r="463" spans="1:66" x14ac:dyDescent="0.35">
      <c r="A463">
        <v>5978</v>
      </c>
      <c r="B463" t="s">
        <v>25</v>
      </c>
      <c r="C463" s="1">
        <v>45211</v>
      </c>
      <c r="D463" t="s">
        <v>1</v>
      </c>
      <c r="E463" t="s">
        <v>10</v>
      </c>
      <c r="F463">
        <v>3</v>
      </c>
      <c r="G463">
        <v>830.83</v>
      </c>
      <c r="H463">
        <v>2492.4899999999998</v>
      </c>
      <c r="I463">
        <v>0</v>
      </c>
      <c r="J463">
        <v>2492.4899999999998</v>
      </c>
      <c r="K463">
        <v>431</v>
      </c>
      <c r="L463" s="11" t="s">
        <v>255</v>
      </c>
      <c r="M463">
        <f t="shared" si="36"/>
        <v>12</v>
      </c>
      <c r="N463">
        <f t="shared" si="37"/>
        <v>10</v>
      </c>
      <c r="O463">
        <f t="shared" si="38"/>
        <v>2023</v>
      </c>
      <c r="P463" s="4">
        <f t="shared" si="39"/>
        <v>45211</v>
      </c>
      <c r="Q463" t="s">
        <v>1138</v>
      </c>
      <c r="R463" t="s">
        <v>1137</v>
      </c>
      <c r="S463">
        <v>1</v>
      </c>
      <c r="T463" t="s">
        <v>1150</v>
      </c>
      <c r="U463" s="11" t="str">
        <f t="shared" si="35"/>
        <v>09:42:33 PM</v>
      </c>
      <c r="AC463" s="4">
        <v>45640</v>
      </c>
      <c r="AD463" s="25">
        <v>13504.1</v>
      </c>
      <c r="BL463" s="2" t="s">
        <v>1613</v>
      </c>
      <c r="BM463" s="4">
        <v>45627</v>
      </c>
      <c r="BN463" s="25">
        <v>7396.1299999999992</v>
      </c>
    </row>
    <row r="464" spans="1:66" x14ac:dyDescent="0.35">
      <c r="A464">
        <v>5066</v>
      </c>
      <c r="B464" t="s">
        <v>0</v>
      </c>
      <c r="C464" s="1">
        <v>45237</v>
      </c>
      <c r="D464" t="s">
        <v>6</v>
      </c>
      <c r="E464" t="s">
        <v>30</v>
      </c>
      <c r="F464">
        <v>3</v>
      </c>
      <c r="G464">
        <v>2426.92</v>
      </c>
      <c r="H464">
        <v>7280.76</v>
      </c>
      <c r="I464">
        <v>1092.28</v>
      </c>
      <c r="J464">
        <v>6188.48</v>
      </c>
      <c r="K464">
        <v>226</v>
      </c>
      <c r="L464" s="11" t="s">
        <v>256</v>
      </c>
      <c r="M464">
        <f t="shared" si="36"/>
        <v>7</v>
      </c>
      <c r="N464">
        <f t="shared" si="37"/>
        <v>11</v>
      </c>
      <c r="O464">
        <f t="shared" si="38"/>
        <v>2023</v>
      </c>
      <c r="P464" s="4">
        <f t="shared" si="39"/>
        <v>45237</v>
      </c>
      <c r="Q464" t="s">
        <v>1139</v>
      </c>
      <c r="R464" t="s">
        <v>1137</v>
      </c>
      <c r="S464">
        <v>2</v>
      </c>
      <c r="T464" t="s">
        <v>1148</v>
      </c>
      <c r="U464" s="11" t="str">
        <f t="shared" si="35"/>
        <v>03:04:20 AM</v>
      </c>
      <c r="AC464" s="4">
        <v>45641</v>
      </c>
      <c r="AD464" s="25">
        <v>14530.810000000001</v>
      </c>
      <c r="BL464" s="2" t="s">
        <v>1614</v>
      </c>
      <c r="BM464" s="4">
        <v>45628</v>
      </c>
      <c r="BN464" s="25">
        <v>11166.82</v>
      </c>
    </row>
    <row r="465" spans="1:66" x14ac:dyDescent="0.35">
      <c r="A465">
        <v>7818</v>
      </c>
      <c r="B465" t="s">
        <v>13</v>
      </c>
      <c r="C465" s="1">
        <v>45615</v>
      </c>
      <c r="D465" t="s">
        <v>17</v>
      </c>
      <c r="E465" t="s">
        <v>32</v>
      </c>
      <c r="F465">
        <v>2</v>
      </c>
      <c r="G465">
        <v>1145.4000000000001</v>
      </c>
      <c r="H465">
        <v>2290.8000000000002</v>
      </c>
      <c r="I465">
        <v>0</v>
      </c>
      <c r="J465">
        <v>2290.8000000000002</v>
      </c>
      <c r="K465">
        <v>467</v>
      </c>
      <c r="L465" s="11" t="s">
        <v>257</v>
      </c>
      <c r="M465">
        <f t="shared" si="36"/>
        <v>19</v>
      </c>
      <c r="N465">
        <f t="shared" si="37"/>
        <v>11</v>
      </c>
      <c r="O465">
        <f t="shared" si="38"/>
        <v>2024</v>
      </c>
      <c r="P465" s="4">
        <f t="shared" si="39"/>
        <v>45615</v>
      </c>
      <c r="Q465" t="s">
        <v>1138</v>
      </c>
      <c r="R465" t="s">
        <v>1137</v>
      </c>
      <c r="S465">
        <v>2</v>
      </c>
      <c r="T465" t="s">
        <v>1141</v>
      </c>
      <c r="U465" s="11" t="str">
        <f t="shared" si="35"/>
        <v>11:24:17 AM</v>
      </c>
      <c r="AC465" s="4">
        <v>45642</v>
      </c>
      <c r="AD465" s="25">
        <v>5964.38</v>
      </c>
      <c r="BL465" s="2" t="s">
        <v>1615</v>
      </c>
      <c r="BM465" s="4">
        <v>45629</v>
      </c>
      <c r="BN465" s="25">
        <v>7162.9</v>
      </c>
    </row>
    <row r="466" spans="1:66" x14ac:dyDescent="0.35">
      <c r="A466">
        <v>4697</v>
      </c>
      <c r="B466" t="s">
        <v>15</v>
      </c>
      <c r="C466" s="1">
        <v>45747</v>
      </c>
      <c r="D466" t="s">
        <v>27</v>
      </c>
      <c r="E466" t="s">
        <v>12</v>
      </c>
      <c r="F466">
        <v>1</v>
      </c>
      <c r="G466">
        <v>1322.19</v>
      </c>
      <c r="H466">
        <v>1322.19</v>
      </c>
      <c r="I466">
        <v>198.37</v>
      </c>
      <c r="J466">
        <v>1123.82</v>
      </c>
      <c r="K466">
        <v>81</v>
      </c>
      <c r="L466" s="11" t="s">
        <v>258</v>
      </c>
      <c r="M466">
        <f t="shared" si="36"/>
        <v>31</v>
      </c>
      <c r="N466">
        <f t="shared" si="37"/>
        <v>3</v>
      </c>
      <c r="O466">
        <f t="shared" si="38"/>
        <v>2025</v>
      </c>
      <c r="P466" s="4">
        <f t="shared" si="39"/>
        <v>45747</v>
      </c>
      <c r="Q466" t="s">
        <v>1136</v>
      </c>
      <c r="R466" t="s">
        <v>1137</v>
      </c>
      <c r="S466">
        <v>3</v>
      </c>
      <c r="T466" t="s">
        <v>1150</v>
      </c>
      <c r="U466" s="11" t="str">
        <f t="shared" si="35"/>
        <v>08:32:50 PM</v>
      </c>
      <c r="AC466" s="4">
        <v>45643</v>
      </c>
      <c r="AD466" s="25">
        <v>13275.02</v>
      </c>
      <c r="BL466" s="2" t="s">
        <v>1616</v>
      </c>
      <c r="BM466" s="4">
        <v>45630</v>
      </c>
      <c r="BN466" s="25">
        <v>4338.41</v>
      </c>
    </row>
    <row r="467" spans="1:66" x14ac:dyDescent="0.35">
      <c r="A467">
        <v>9561</v>
      </c>
      <c r="B467" t="s">
        <v>3</v>
      </c>
      <c r="C467" s="1">
        <v>45440</v>
      </c>
      <c r="D467" t="s">
        <v>9</v>
      </c>
      <c r="E467" t="s">
        <v>30</v>
      </c>
      <c r="F467">
        <v>5</v>
      </c>
      <c r="G467">
        <v>2198.67</v>
      </c>
      <c r="H467">
        <v>10993.35</v>
      </c>
      <c r="I467">
        <v>2198.67</v>
      </c>
      <c r="J467">
        <v>8794.68</v>
      </c>
      <c r="K467">
        <v>14</v>
      </c>
      <c r="L467" s="11" t="s">
        <v>259</v>
      </c>
      <c r="M467">
        <f t="shared" si="36"/>
        <v>28</v>
      </c>
      <c r="N467">
        <f t="shared" si="37"/>
        <v>5</v>
      </c>
      <c r="O467">
        <f t="shared" si="38"/>
        <v>2024</v>
      </c>
      <c r="P467" s="4">
        <f t="shared" si="39"/>
        <v>45440</v>
      </c>
      <c r="Q467" t="s">
        <v>1134</v>
      </c>
      <c r="R467" t="s">
        <v>1135</v>
      </c>
      <c r="S467">
        <v>3</v>
      </c>
      <c r="T467" t="s">
        <v>1147</v>
      </c>
      <c r="U467" s="11" t="str">
        <f t="shared" si="35"/>
        <v>05:40:00 PM</v>
      </c>
      <c r="AC467" s="4">
        <v>45644</v>
      </c>
      <c r="AD467" s="25">
        <v>3564.85</v>
      </c>
      <c r="BL467" s="2" t="s">
        <v>1617</v>
      </c>
      <c r="BM467" s="4">
        <v>45631</v>
      </c>
      <c r="BN467" s="25">
        <v>6913.0700000000006</v>
      </c>
    </row>
    <row r="468" spans="1:66" x14ac:dyDescent="0.35">
      <c r="A468">
        <v>8381</v>
      </c>
      <c r="B468" t="s">
        <v>31</v>
      </c>
      <c r="C468" s="1">
        <v>45850</v>
      </c>
      <c r="D468" t="s">
        <v>1</v>
      </c>
      <c r="E468" t="s">
        <v>14</v>
      </c>
      <c r="F468">
        <v>1</v>
      </c>
      <c r="G468">
        <v>1181.0899999999999</v>
      </c>
      <c r="H468">
        <v>1181.0899999999999</v>
      </c>
      <c r="I468">
        <v>0</v>
      </c>
      <c r="J468">
        <v>1181.0899999999999</v>
      </c>
      <c r="K468">
        <v>470</v>
      </c>
      <c r="L468" s="11" t="s">
        <v>260</v>
      </c>
      <c r="M468">
        <f t="shared" si="36"/>
        <v>12</v>
      </c>
      <c r="N468">
        <f t="shared" si="37"/>
        <v>7</v>
      </c>
      <c r="O468">
        <f t="shared" si="38"/>
        <v>2025</v>
      </c>
      <c r="P468" s="4">
        <f t="shared" si="39"/>
        <v>45850</v>
      </c>
      <c r="Q468" t="s">
        <v>1136</v>
      </c>
      <c r="R468" t="s">
        <v>1135</v>
      </c>
      <c r="S468">
        <v>5</v>
      </c>
      <c r="T468" t="s">
        <v>1150</v>
      </c>
      <c r="U468" s="11" t="str">
        <f t="shared" si="35"/>
        <v>06:44:21 PM</v>
      </c>
      <c r="AC468" s="4">
        <v>45645</v>
      </c>
      <c r="AD468" s="25">
        <v>5536.93</v>
      </c>
      <c r="BL468" s="2" t="s">
        <v>1618</v>
      </c>
      <c r="BM468" s="4">
        <v>45632</v>
      </c>
      <c r="BN468" s="25">
        <v>5790.91</v>
      </c>
    </row>
    <row r="469" spans="1:66" x14ac:dyDescent="0.35">
      <c r="A469">
        <v>8253</v>
      </c>
      <c r="B469" t="s">
        <v>31</v>
      </c>
      <c r="C469" s="1">
        <v>45375</v>
      </c>
      <c r="D469" t="s">
        <v>24</v>
      </c>
      <c r="E469" t="s">
        <v>12</v>
      </c>
      <c r="F469">
        <v>4</v>
      </c>
      <c r="G469">
        <v>1298.1199999999999</v>
      </c>
      <c r="H469">
        <v>5192.4799999999996</v>
      </c>
      <c r="I469">
        <v>0</v>
      </c>
      <c r="J469">
        <v>5192.4799999999996</v>
      </c>
      <c r="K469">
        <v>325</v>
      </c>
      <c r="L469" s="11" t="s">
        <v>261</v>
      </c>
      <c r="M469">
        <f t="shared" si="36"/>
        <v>24</v>
      </c>
      <c r="N469">
        <f t="shared" si="37"/>
        <v>3</v>
      </c>
      <c r="O469">
        <f t="shared" si="38"/>
        <v>2024</v>
      </c>
      <c r="P469" s="4">
        <f t="shared" si="39"/>
        <v>45375</v>
      </c>
      <c r="Q469" t="s">
        <v>1138</v>
      </c>
      <c r="R469" t="s">
        <v>1135</v>
      </c>
      <c r="S469">
        <v>2</v>
      </c>
      <c r="T469" t="s">
        <v>1141</v>
      </c>
      <c r="U469" s="11" t="str">
        <f t="shared" si="35"/>
        <v>08:40:38 PM</v>
      </c>
      <c r="AC469" s="4">
        <v>45646</v>
      </c>
      <c r="AD469" s="25">
        <v>11279.7</v>
      </c>
      <c r="BL469" s="2" t="s">
        <v>1619</v>
      </c>
      <c r="BM469" s="4">
        <v>45633</v>
      </c>
      <c r="BN469" s="25">
        <v>4653.8099999999995</v>
      </c>
    </row>
    <row r="470" spans="1:66" x14ac:dyDescent="0.35">
      <c r="A470">
        <v>8025</v>
      </c>
      <c r="B470" t="s">
        <v>20</v>
      </c>
      <c r="C470" s="1">
        <v>45382</v>
      </c>
      <c r="D470" t="s">
        <v>6</v>
      </c>
      <c r="E470" t="s">
        <v>12</v>
      </c>
      <c r="F470">
        <v>4</v>
      </c>
      <c r="G470">
        <v>1512.26</v>
      </c>
      <c r="H470">
        <v>6049.04</v>
      </c>
      <c r="I470">
        <v>266.43</v>
      </c>
      <c r="J470">
        <v>5782.61</v>
      </c>
      <c r="K470">
        <v>90</v>
      </c>
      <c r="L470" s="11" t="s">
        <v>262</v>
      </c>
      <c r="M470">
        <f t="shared" si="36"/>
        <v>31</v>
      </c>
      <c r="N470">
        <f t="shared" si="37"/>
        <v>3</v>
      </c>
      <c r="O470">
        <f t="shared" si="38"/>
        <v>2024</v>
      </c>
      <c r="P470" s="4">
        <f t="shared" si="39"/>
        <v>45382</v>
      </c>
      <c r="Q470" t="s">
        <v>1138</v>
      </c>
      <c r="R470" t="s">
        <v>1137</v>
      </c>
      <c r="S470">
        <v>2</v>
      </c>
      <c r="T470" t="s">
        <v>1143</v>
      </c>
      <c r="U470" s="11" t="str">
        <f t="shared" si="35"/>
        <v>10:40:31 AM</v>
      </c>
      <c r="AC470" s="4">
        <v>45647</v>
      </c>
      <c r="AD470" s="25">
        <v>2282.5</v>
      </c>
      <c r="BL470" s="2" t="s">
        <v>1620</v>
      </c>
      <c r="BM470" s="4">
        <v>45634</v>
      </c>
      <c r="BN470" s="25">
        <v>10786.68</v>
      </c>
    </row>
    <row r="471" spans="1:66" x14ac:dyDescent="0.35">
      <c r="A471">
        <v>1986</v>
      </c>
      <c r="B471" t="s">
        <v>25</v>
      </c>
      <c r="C471" s="1">
        <v>45618</v>
      </c>
      <c r="D471" t="s">
        <v>23</v>
      </c>
      <c r="E471" t="s">
        <v>2</v>
      </c>
      <c r="F471">
        <v>1</v>
      </c>
      <c r="G471">
        <v>768.58</v>
      </c>
      <c r="H471">
        <v>768.58</v>
      </c>
      <c r="I471">
        <v>153.55000000000001</v>
      </c>
      <c r="J471">
        <v>615.03</v>
      </c>
      <c r="K471">
        <v>197</v>
      </c>
      <c r="L471" s="11" t="s">
        <v>263</v>
      </c>
      <c r="M471">
        <f t="shared" si="36"/>
        <v>22</v>
      </c>
      <c r="N471">
        <f t="shared" si="37"/>
        <v>11</v>
      </c>
      <c r="O471">
        <f t="shared" si="38"/>
        <v>2024</v>
      </c>
      <c r="P471" s="4">
        <f t="shared" si="39"/>
        <v>45618</v>
      </c>
      <c r="Q471" t="s">
        <v>1136</v>
      </c>
      <c r="R471" t="s">
        <v>1135</v>
      </c>
      <c r="S471">
        <v>3</v>
      </c>
      <c r="T471" t="s">
        <v>1146</v>
      </c>
      <c r="U471" s="11" t="str">
        <f t="shared" si="35"/>
        <v>05:12:14 AM</v>
      </c>
      <c r="AC471" s="4">
        <v>45648</v>
      </c>
      <c r="AD471" s="25">
        <v>18425.169999999998</v>
      </c>
      <c r="BL471" s="2" t="s">
        <v>1621</v>
      </c>
      <c r="BM471" s="4">
        <v>45635</v>
      </c>
      <c r="BN471" s="25">
        <v>3241.98</v>
      </c>
    </row>
    <row r="472" spans="1:66" x14ac:dyDescent="0.35">
      <c r="A472">
        <v>2625</v>
      </c>
      <c r="B472" t="s">
        <v>31</v>
      </c>
      <c r="C472" s="1">
        <v>45737</v>
      </c>
      <c r="D472" t="s">
        <v>6</v>
      </c>
      <c r="E472" t="s">
        <v>14</v>
      </c>
      <c r="F472">
        <v>2</v>
      </c>
      <c r="G472">
        <v>729.57</v>
      </c>
      <c r="H472">
        <v>1459.14</v>
      </c>
      <c r="I472">
        <v>0</v>
      </c>
      <c r="J472">
        <v>1459.14</v>
      </c>
      <c r="K472">
        <v>209</v>
      </c>
      <c r="L472" s="11" t="s">
        <v>264</v>
      </c>
      <c r="M472">
        <f t="shared" si="36"/>
        <v>21</v>
      </c>
      <c r="N472">
        <f t="shared" si="37"/>
        <v>3</v>
      </c>
      <c r="O472">
        <f t="shared" si="38"/>
        <v>2025</v>
      </c>
      <c r="P472" s="4">
        <f t="shared" si="39"/>
        <v>45737</v>
      </c>
      <c r="Q472" t="s">
        <v>1138</v>
      </c>
      <c r="R472" t="s">
        <v>1135</v>
      </c>
      <c r="S472">
        <v>1</v>
      </c>
      <c r="T472" t="s">
        <v>1143</v>
      </c>
      <c r="U472" s="11" t="str">
        <f t="shared" si="35"/>
        <v>04:51:30 AM</v>
      </c>
      <c r="AC472" s="4">
        <v>45649</v>
      </c>
      <c r="AD472" s="25">
        <v>12799.43</v>
      </c>
      <c r="BL472" s="2" t="s">
        <v>1622</v>
      </c>
      <c r="BM472" s="4">
        <v>45636</v>
      </c>
      <c r="BN472" s="25">
        <v>2140.5700000000002</v>
      </c>
    </row>
    <row r="473" spans="1:66" x14ac:dyDescent="0.35">
      <c r="A473">
        <v>4404</v>
      </c>
      <c r="B473" t="s">
        <v>20</v>
      </c>
      <c r="C473" s="1">
        <v>45630</v>
      </c>
      <c r="D473" t="s">
        <v>34</v>
      </c>
      <c r="E473" t="s">
        <v>30</v>
      </c>
      <c r="F473">
        <v>2</v>
      </c>
      <c r="G473">
        <v>1528.86</v>
      </c>
      <c r="H473">
        <v>3057.72</v>
      </c>
      <c r="I473">
        <v>458.99</v>
      </c>
      <c r="J473">
        <v>2598.73</v>
      </c>
      <c r="K473">
        <v>4</v>
      </c>
      <c r="L473" s="11" t="s">
        <v>265</v>
      </c>
      <c r="M473">
        <f t="shared" si="36"/>
        <v>4</v>
      </c>
      <c r="N473">
        <f t="shared" si="37"/>
        <v>12</v>
      </c>
      <c r="O473">
        <f t="shared" si="38"/>
        <v>2024</v>
      </c>
      <c r="P473" s="4">
        <f t="shared" si="39"/>
        <v>45630</v>
      </c>
      <c r="Q473" t="s">
        <v>1136</v>
      </c>
      <c r="R473" t="s">
        <v>1137</v>
      </c>
      <c r="S473">
        <v>1</v>
      </c>
      <c r="T473" t="s">
        <v>1148</v>
      </c>
      <c r="U473" s="11" t="str">
        <f t="shared" si="35"/>
        <v>07:59:34 PM</v>
      </c>
      <c r="AC473" s="4">
        <v>45650</v>
      </c>
      <c r="AD473" s="25">
        <v>20373.18</v>
      </c>
      <c r="BL473" s="2" t="s">
        <v>1623</v>
      </c>
      <c r="BM473" s="4">
        <v>45638</v>
      </c>
      <c r="BN473" s="25">
        <v>16674.7</v>
      </c>
    </row>
    <row r="474" spans="1:66" x14ac:dyDescent="0.35">
      <c r="A474">
        <v>4457</v>
      </c>
      <c r="B474" t="s">
        <v>19</v>
      </c>
      <c r="C474" s="1">
        <v>45350</v>
      </c>
      <c r="D474" t="s">
        <v>16</v>
      </c>
      <c r="E474" t="s">
        <v>2</v>
      </c>
      <c r="F474">
        <v>4</v>
      </c>
      <c r="G474">
        <v>2237.6799999999998</v>
      </c>
      <c r="H474">
        <v>8950.7199999999993</v>
      </c>
      <c r="I474">
        <v>894.74</v>
      </c>
      <c r="J474">
        <v>8055.98</v>
      </c>
      <c r="K474">
        <v>436</v>
      </c>
      <c r="L474" s="11" t="s">
        <v>266</v>
      </c>
      <c r="M474">
        <f t="shared" si="36"/>
        <v>28</v>
      </c>
      <c r="N474">
        <f t="shared" si="37"/>
        <v>2</v>
      </c>
      <c r="O474">
        <f t="shared" si="38"/>
        <v>2024</v>
      </c>
      <c r="P474" s="4">
        <f t="shared" si="39"/>
        <v>45350</v>
      </c>
      <c r="Q474" t="s">
        <v>1134</v>
      </c>
      <c r="R474" t="s">
        <v>1137</v>
      </c>
      <c r="S474">
        <v>4</v>
      </c>
      <c r="T474" t="s">
        <v>1150</v>
      </c>
      <c r="U474" s="11" t="str">
        <f t="shared" si="35"/>
        <v>05:34:57 PM</v>
      </c>
      <c r="AC474" s="4">
        <v>45651</v>
      </c>
      <c r="AD474" s="25">
        <v>8938.27</v>
      </c>
      <c r="BL474" s="2" t="s">
        <v>1624</v>
      </c>
      <c r="BM474" s="4">
        <v>45639</v>
      </c>
      <c r="BN474" s="25">
        <v>7988.75</v>
      </c>
    </row>
    <row r="475" spans="1:66" x14ac:dyDescent="0.35">
      <c r="A475">
        <v>2330</v>
      </c>
      <c r="B475" t="s">
        <v>19</v>
      </c>
      <c r="C475" s="1">
        <v>45266</v>
      </c>
      <c r="D475" t="s">
        <v>6</v>
      </c>
      <c r="E475" t="s">
        <v>22</v>
      </c>
      <c r="F475">
        <v>3</v>
      </c>
      <c r="G475">
        <v>1712.29</v>
      </c>
      <c r="H475">
        <v>5136.87</v>
      </c>
      <c r="I475">
        <v>117.03</v>
      </c>
      <c r="J475">
        <v>5019.84</v>
      </c>
      <c r="K475">
        <v>422</v>
      </c>
      <c r="L475" s="11" t="s">
        <v>267</v>
      </c>
      <c r="M475">
        <f t="shared" si="36"/>
        <v>6</v>
      </c>
      <c r="N475">
        <f t="shared" si="37"/>
        <v>12</v>
      </c>
      <c r="O475">
        <f t="shared" si="38"/>
        <v>2023</v>
      </c>
      <c r="P475" s="4">
        <f t="shared" si="39"/>
        <v>45266</v>
      </c>
      <c r="Q475" t="s">
        <v>1136</v>
      </c>
      <c r="R475" t="s">
        <v>1135</v>
      </c>
      <c r="S475">
        <v>3</v>
      </c>
      <c r="T475" t="s">
        <v>1148</v>
      </c>
      <c r="U475" s="11" t="str">
        <f t="shared" si="35"/>
        <v>08:35:45 PM</v>
      </c>
      <c r="AC475" s="4">
        <v>45652</v>
      </c>
      <c r="AD475" s="25">
        <v>11074.69</v>
      </c>
      <c r="BL475" s="2" t="s">
        <v>1625</v>
      </c>
      <c r="BM475" s="4">
        <v>45640</v>
      </c>
      <c r="BN475" s="25">
        <v>13504.1</v>
      </c>
    </row>
    <row r="476" spans="1:66" x14ac:dyDescent="0.35">
      <c r="A476">
        <v>4929</v>
      </c>
      <c r="B476" t="s">
        <v>3</v>
      </c>
      <c r="C476" s="1">
        <v>45280</v>
      </c>
      <c r="D476" t="s">
        <v>16</v>
      </c>
      <c r="E476" t="s">
        <v>12</v>
      </c>
      <c r="F476">
        <v>5</v>
      </c>
      <c r="G476">
        <v>1640.08</v>
      </c>
      <c r="H476">
        <v>8200.4</v>
      </c>
      <c r="I476">
        <v>1230.06</v>
      </c>
      <c r="J476">
        <v>6970.34</v>
      </c>
      <c r="K476">
        <v>311</v>
      </c>
      <c r="L476" s="11" t="s">
        <v>268</v>
      </c>
      <c r="M476">
        <f t="shared" si="36"/>
        <v>20</v>
      </c>
      <c r="N476">
        <f t="shared" si="37"/>
        <v>12</v>
      </c>
      <c r="O476">
        <f t="shared" si="38"/>
        <v>2023</v>
      </c>
      <c r="P476" s="4">
        <f t="shared" si="39"/>
        <v>45280</v>
      </c>
      <c r="Q476" t="s">
        <v>1134</v>
      </c>
      <c r="R476" t="s">
        <v>1135</v>
      </c>
      <c r="S476">
        <v>4</v>
      </c>
      <c r="T476" t="s">
        <v>1143</v>
      </c>
      <c r="U476" s="11" t="str">
        <f t="shared" si="35"/>
        <v>08:33:01 PM</v>
      </c>
      <c r="AC476" s="4">
        <v>45653</v>
      </c>
      <c r="AD476" s="25">
        <v>2509.92</v>
      </c>
      <c r="BL476" s="2" t="s">
        <v>1626</v>
      </c>
      <c r="BM476" s="4">
        <v>45641</v>
      </c>
      <c r="BN476" s="25">
        <v>14530.810000000001</v>
      </c>
    </row>
    <row r="477" spans="1:66" x14ac:dyDescent="0.35">
      <c r="A477">
        <v>2229</v>
      </c>
      <c r="B477" t="s">
        <v>0</v>
      </c>
      <c r="C477" s="1">
        <v>45266</v>
      </c>
      <c r="D477" t="s">
        <v>34</v>
      </c>
      <c r="E477" t="s">
        <v>32</v>
      </c>
      <c r="F477">
        <v>3</v>
      </c>
      <c r="G477">
        <v>2460.9499999999998</v>
      </c>
      <c r="H477">
        <v>7382.85</v>
      </c>
      <c r="I477">
        <v>1107.22</v>
      </c>
      <c r="J477">
        <v>6275.63</v>
      </c>
      <c r="K477">
        <v>327</v>
      </c>
      <c r="L477" s="11" t="s">
        <v>269</v>
      </c>
      <c r="M477">
        <f t="shared" si="36"/>
        <v>6</v>
      </c>
      <c r="N477">
        <f t="shared" si="37"/>
        <v>12</v>
      </c>
      <c r="O477">
        <f t="shared" si="38"/>
        <v>2023</v>
      </c>
      <c r="P477" s="4">
        <f t="shared" si="39"/>
        <v>45266</v>
      </c>
      <c r="Q477" t="s">
        <v>1136</v>
      </c>
      <c r="R477" t="s">
        <v>1135</v>
      </c>
      <c r="S477">
        <v>3</v>
      </c>
      <c r="T477" t="s">
        <v>1146</v>
      </c>
      <c r="U477" s="11" t="str">
        <f t="shared" si="35"/>
        <v>07:55:22 PM</v>
      </c>
      <c r="AC477" s="4">
        <v>45654</v>
      </c>
      <c r="AD477" s="25">
        <v>6210.89</v>
      </c>
      <c r="BL477" s="2" t="s">
        <v>1627</v>
      </c>
      <c r="BM477" s="4">
        <v>45642</v>
      </c>
      <c r="BN477" s="25">
        <v>5964.38</v>
      </c>
    </row>
    <row r="478" spans="1:66" x14ac:dyDescent="0.35">
      <c r="A478">
        <v>1043</v>
      </c>
      <c r="B478" t="s">
        <v>19</v>
      </c>
      <c r="C478" s="1">
        <v>45462</v>
      </c>
      <c r="D478" t="s">
        <v>16</v>
      </c>
      <c r="E478" t="s">
        <v>26</v>
      </c>
      <c r="F478">
        <v>2</v>
      </c>
      <c r="G478">
        <v>443.22</v>
      </c>
      <c r="H478">
        <v>886.44</v>
      </c>
      <c r="I478">
        <v>350.26</v>
      </c>
      <c r="J478">
        <v>536.17999999999995</v>
      </c>
      <c r="K478">
        <v>391</v>
      </c>
      <c r="L478" s="11" t="s">
        <v>270</v>
      </c>
      <c r="M478">
        <f t="shared" si="36"/>
        <v>19</v>
      </c>
      <c r="N478">
        <f t="shared" si="37"/>
        <v>6</v>
      </c>
      <c r="O478">
        <f t="shared" si="38"/>
        <v>2024</v>
      </c>
      <c r="P478" s="4">
        <f t="shared" si="39"/>
        <v>45462</v>
      </c>
      <c r="Q478" t="s">
        <v>1138</v>
      </c>
      <c r="R478" t="s">
        <v>1135</v>
      </c>
      <c r="S478">
        <v>5</v>
      </c>
      <c r="T478" t="s">
        <v>1145</v>
      </c>
      <c r="U478" s="11" t="str">
        <f t="shared" si="35"/>
        <v>04:50:01 PM</v>
      </c>
      <c r="AC478" s="4">
        <v>45655</v>
      </c>
      <c r="AD478" s="25">
        <v>12248.31</v>
      </c>
      <c r="BL478" s="2" t="s">
        <v>1628</v>
      </c>
      <c r="BM478" s="4">
        <v>45643</v>
      </c>
      <c r="BN478" s="25">
        <v>13275.02</v>
      </c>
    </row>
    <row r="479" spans="1:66" x14ac:dyDescent="0.35">
      <c r="A479">
        <v>8381</v>
      </c>
      <c r="B479" t="s">
        <v>13</v>
      </c>
      <c r="C479" s="1">
        <v>45680</v>
      </c>
      <c r="D479" t="s">
        <v>16</v>
      </c>
      <c r="E479" t="s">
        <v>10</v>
      </c>
      <c r="F479">
        <v>2</v>
      </c>
      <c r="G479">
        <v>1818.53</v>
      </c>
      <c r="H479">
        <v>3637.06</v>
      </c>
      <c r="I479">
        <v>545.30999999999995</v>
      </c>
      <c r="J479">
        <v>3091.75</v>
      </c>
      <c r="K479">
        <v>335</v>
      </c>
      <c r="L479" s="11" t="s">
        <v>271</v>
      </c>
      <c r="M479">
        <f t="shared" si="36"/>
        <v>23</v>
      </c>
      <c r="N479">
        <f t="shared" si="37"/>
        <v>1</v>
      </c>
      <c r="O479">
        <f t="shared" si="38"/>
        <v>2025</v>
      </c>
      <c r="P479" s="4">
        <f t="shared" si="39"/>
        <v>45680</v>
      </c>
      <c r="Q479" t="s">
        <v>1136</v>
      </c>
      <c r="R479" t="s">
        <v>1135</v>
      </c>
      <c r="S479">
        <v>2</v>
      </c>
      <c r="T479" t="s">
        <v>1144</v>
      </c>
      <c r="U479" s="11" t="str">
        <f t="shared" si="35"/>
        <v>05:06:19 PM</v>
      </c>
      <c r="AC479" s="4">
        <v>45656</v>
      </c>
      <c r="AD479" s="25">
        <v>10194.06</v>
      </c>
      <c r="BL479" s="2" t="s">
        <v>1629</v>
      </c>
      <c r="BM479" s="4">
        <v>45644</v>
      </c>
      <c r="BN479" s="25">
        <v>3564.85</v>
      </c>
    </row>
    <row r="480" spans="1:66" x14ac:dyDescent="0.35">
      <c r="A480">
        <v>8699</v>
      </c>
      <c r="B480" t="s">
        <v>19</v>
      </c>
      <c r="C480" s="1">
        <v>45371</v>
      </c>
      <c r="D480" t="s">
        <v>9</v>
      </c>
      <c r="E480" t="s">
        <v>21</v>
      </c>
      <c r="F480">
        <v>4</v>
      </c>
      <c r="G480">
        <v>1855.88</v>
      </c>
      <c r="H480">
        <v>7423.52</v>
      </c>
      <c r="I480">
        <v>1113.8599999999999</v>
      </c>
      <c r="J480">
        <v>6309.66</v>
      </c>
      <c r="K480">
        <v>298</v>
      </c>
      <c r="L480" s="11" t="s">
        <v>272</v>
      </c>
      <c r="M480">
        <f t="shared" si="36"/>
        <v>20</v>
      </c>
      <c r="N480">
        <f t="shared" si="37"/>
        <v>3</v>
      </c>
      <c r="O480">
        <f t="shared" si="38"/>
        <v>2024</v>
      </c>
      <c r="P480" s="4">
        <f t="shared" si="39"/>
        <v>45371</v>
      </c>
      <c r="Q480" t="s">
        <v>1138</v>
      </c>
      <c r="R480" t="s">
        <v>1135</v>
      </c>
      <c r="S480">
        <v>5</v>
      </c>
      <c r="T480" t="s">
        <v>1148</v>
      </c>
      <c r="U480" s="11" t="str">
        <f t="shared" si="35"/>
        <v>05:27:19 AM</v>
      </c>
      <c r="AC480" s="4">
        <v>45657</v>
      </c>
      <c r="AD480" s="25">
        <v>9158.2199999999993</v>
      </c>
      <c r="BL480" s="2" t="s">
        <v>1630</v>
      </c>
      <c r="BM480" s="4">
        <v>45645</v>
      </c>
      <c r="BN480" s="25">
        <v>5536.93</v>
      </c>
    </row>
    <row r="481" spans="1:66" x14ac:dyDescent="0.35">
      <c r="A481">
        <v>1534</v>
      </c>
      <c r="B481" t="s">
        <v>31</v>
      </c>
      <c r="C481" s="1">
        <v>45324</v>
      </c>
      <c r="D481" t="s">
        <v>16</v>
      </c>
      <c r="E481" t="s">
        <v>7</v>
      </c>
      <c r="F481">
        <v>4</v>
      </c>
      <c r="G481">
        <v>2264.2399999999998</v>
      </c>
      <c r="H481">
        <v>9056.9599999999991</v>
      </c>
      <c r="I481">
        <v>182.6</v>
      </c>
      <c r="J481">
        <v>8874.36</v>
      </c>
      <c r="K481">
        <v>343</v>
      </c>
      <c r="L481" s="11" t="s">
        <v>273</v>
      </c>
      <c r="M481">
        <f t="shared" si="36"/>
        <v>2</v>
      </c>
      <c r="N481">
        <f t="shared" si="37"/>
        <v>2</v>
      </c>
      <c r="O481">
        <f t="shared" si="38"/>
        <v>2024</v>
      </c>
      <c r="P481" s="4">
        <f t="shared" si="39"/>
        <v>45324</v>
      </c>
      <c r="Q481" t="s">
        <v>1136</v>
      </c>
      <c r="R481" t="s">
        <v>1137</v>
      </c>
      <c r="S481">
        <v>3</v>
      </c>
      <c r="T481" t="s">
        <v>1148</v>
      </c>
      <c r="U481" s="11" t="str">
        <f t="shared" si="35"/>
        <v>05:18:49 AM</v>
      </c>
      <c r="AC481" s="4">
        <v>45658</v>
      </c>
      <c r="AD481" s="25">
        <v>810.08</v>
      </c>
      <c r="BL481" s="2" t="s">
        <v>1631</v>
      </c>
      <c r="BM481" s="4">
        <v>45646</v>
      </c>
      <c r="BN481" s="25">
        <v>11279.7</v>
      </c>
    </row>
    <row r="482" spans="1:66" x14ac:dyDescent="0.35">
      <c r="A482">
        <v>5720</v>
      </c>
      <c r="B482" t="s">
        <v>8</v>
      </c>
      <c r="C482" s="1">
        <v>45694</v>
      </c>
      <c r="D482" t="s">
        <v>16</v>
      </c>
      <c r="E482" t="s">
        <v>7</v>
      </c>
      <c r="F482">
        <v>2</v>
      </c>
      <c r="G482">
        <v>789.33</v>
      </c>
      <c r="H482">
        <v>1578.66</v>
      </c>
      <c r="I482">
        <v>0</v>
      </c>
      <c r="J482">
        <v>1578.66</v>
      </c>
      <c r="K482">
        <v>241</v>
      </c>
      <c r="L482" s="11" t="s">
        <v>274</v>
      </c>
      <c r="M482">
        <f t="shared" si="36"/>
        <v>6</v>
      </c>
      <c r="N482">
        <f t="shared" si="37"/>
        <v>2</v>
      </c>
      <c r="O482">
        <f t="shared" si="38"/>
        <v>2025</v>
      </c>
      <c r="P482" s="4">
        <f t="shared" si="39"/>
        <v>45694</v>
      </c>
      <c r="Q482" t="s">
        <v>1136</v>
      </c>
      <c r="R482" t="s">
        <v>1137</v>
      </c>
      <c r="S482">
        <v>2</v>
      </c>
      <c r="T482" t="s">
        <v>1145</v>
      </c>
      <c r="U482" s="11" t="str">
        <f t="shared" si="35"/>
        <v>08:09:31 PM</v>
      </c>
      <c r="AC482" s="4">
        <v>45659</v>
      </c>
      <c r="AD482" s="25">
        <v>3960.7599999999998</v>
      </c>
      <c r="BL482" s="2" t="s">
        <v>1632</v>
      </c>
      <c r="BM482" s="4">
        <v>45647</v>
      </c>
      <c r="BN482" s="25">
        <v>2282.5</v>
      </c>
    </row>
    <row r="483" spans="1:66" x14ac:dyDescent="0.35">
      <c r="A483">
        <v>5632</v>
      </c>
      <c r="B483" t="s">
        <v>19</v>
      </c>
      <c r="C483" s="1">
        <v>45691</v>
      </c>
      <c r="D483" t="s">
        <v>27</v>
      </c>
      <c r="E483" t="s">
        <v>18</v>
      </c>
      <c r="F483">
        <v>3</v>
      </c>
      <c r="G483">
        <v>1657.51</v>
      </c>
      <c r="H483">
        <v>4972.53</v>
      </c>
      <c r="I483">
        <v>994.34</v>
      </c>
      <c r="J483">
        <v>3978.19</v>
      </c>
      <c r="K483">
        <v>113</v>
      </c>
      <c r="L483" s="11" t="s">
        <v>275</v>
      </c>
      <c r="M483">
        <f t="shared" si="36"/>
        <v>3</v>
      </c>
      <c r="N483">
        <f t="shared" si="37"/>
        <v>2</v>
      </c>
      <c r="O483">
        <f t="shared" si="38"/>
        <v>2025</v>
      </c>
      <c r="P483" s="4">
        <f t="shared" si="39"/>
        <v>45691</v>
      </c>
      <c r="Q483" t="s">
        <v>1139</v>
      </c>
      <c r="R483" t="s">
        <v>1137</v>
      </c>
      <c r="S483">
        <v>1</v>
      </c>
      <c r="T483" t="s">
        <v>1147</v>
      </c>
      <c r="U483" s="11" t="str">
        <f t="shared" si="35"/>
        <v>12:51:04 AM</v>
      </c>
      <c r="AC483" s="4">
        <v>45660</v>
      </c>
      <c r="AD483" s="25">
        <v>12053.26</v>
      </c>
      <c r="BL483" s="2" t="s">
        <v>1633</v>
      </c>
      <c r="BM483" s="4">
        <v>45648</v>
      </c>
      <c r="BN483" s="25">
        <v>18425.169999999998</v>
      </c>
    </row>
    <row r="484" spans="1:66" x14ac:dyDescent="0.35">
      <c r="A484">
        <v>8438</v>
      </c>
      <c r="B484" t="s">
        <v>19</v>
      </c>
      <c r="C484" s="1">
        <v>45200</v>
      </c>
      <c r="D484" t="s">
        <v>9</v>
      </c>
      <c r="E484" t="s">
        <v>10</v>
      </c>
      <c r="F484">
        <v>3</v>
      </c>
      <c r="G484">
        <v>709.65</v>
      </c>
      <c r="H484">
        <v>2128.9499999999998</v>
      </c>
      <c r="I484">
        <v>239.04</v>
      </c>
      <c r="J484">
        <v>1889.91</v>
      </c>
      <c r="K484">
        <v>150</v>
      </c>
      <c r="L484" s="11" t="s">
        <v>276</v>
      </c>
      <c r="M484">
        <f t="shared" si="36"/>
        <v>1</v>
      </c>
      <c r="N484">
        <f t="shared" si="37"/>
        <v>10</v>
      </c>
      <c r="O484">
        <f t="shared" si="38"/>
        <v>2023</v>
      </c>
      <c r="P484" s="4">
        <f t="shared" si="39"/>
        <v>45200</v>
      </c>
      <c r="Q484" t="s">
        <v>1138</v>
      </c>
      <c r="R484" t="s">
        <v>1135</v>
      </c>
      <c r="S484">
        <v>1</v>
      </c>
      <c r="T484" t="s">
        <v>1147</v>
      </c>
      <c r="U484" s="11" t="str">
        <f t="shared" si="35"/>
        <v>09:18:11 PM</v>
      </c>
      <c r="AC484" s="4">
        <v>45661</v>
      </c>
      <c r="AD484" s="25">
        <v>6484.79</v>
      </c>
      <c r="BL484" s="2" t="s">
        <v>1634</v>
      </c>
      <c r="BM484" s="4">
        <v>45649</v>
      </c>
      <c r="BN484" s="25">
        <v>12799.43</v>
      </c>
    </row>
    <row r="485" spans="1:66" x14ac:dyDescent="0.35">
      <c r="A485">
        <v>4824</v>
      </c>
      <c r="B485" t="s">
        <v>0</v>
      </c>
      <c r="C485" s="1">
        <v>45862</v>
      </c>
      <c r="D485" t="s">
        <v>34</v>
      </c>
      <c r="E485" t="s">
        <v>33</v>
      </c>
      <c r="F485">
        <v>5</v>
      </c>
      <c r="G485">
        <v>370.18</v>
      </c>
      <c r="H485">
        <v>1850.9</v>
      </c>
      <c r="I485">
        <v>181.77</v>
      </c>
      <c r="J485">
        <v>1669.13</v>
      </c>
      <c r="K485">
        <v>348</v>
      </c>
      <c r="L485" s="11" t="s">
        <v>277</v>
      </c>
      <c r="M485">
        <f t="shared" si="36"/>
        <v>24</v>
      </c>
      <c r="N485">
        <f t="shared" si="37"/>
        <v>7</v>
      </c>
      <c r="O485">
        <f t="shared" si="38"/>
        <v>2025</v>
      </c>
      <c r="P485" s="4">
        <f t="shared" si="39"/>
        <v>45862</v>
      </c>
      <c r="Q485" t="s">
        <v>1139</v>
      </c>
      <c r="R485" t="s">
        <v>1137</v>
      </c>
      <c r="S485">
        <v>4</v>
      </c>
      <c r="T485" t="s">
        <v>1143</v>
      </c>
      <c r="U485" s="11" t="str">
        <f t="shared" si="35"/>
        <v>12:28:59 PM</v>
      </c>
      <c r="AC485" s="4">
        <v>45662</v>
      </c>
      <c r="AD485" s="25">
        <v>4763.37</v>
      </c>
      <c r="BL485" s="2" t="s">
        <v>1635</v>
      </c>
      <c r="BM485" s="4">
        <v>45650</v>
      </c>
      <c r="BN485" s="25">
        <v>20373.18</v>
      </c>
    </row>
    <row r="486" spans="1:66" x14ac:dyDescent="0.35">
      <c r="A486">
        <v>5334</v>
      </c>
      <c r="B486" t="s">
        <v>20</v>
      </c>
      <c r="C486" s="1">
        <v>45756</v>
      </c>
      <c r="D486" t="s">
        <v>23</v>
      </c>
      <c r="E486" t="s">
        <v>30</v>
      </c>
      <c r="F486">
        <v>2</v>
      </c>
      <c r="G486">
        <v>907.19</v>
      </c>
      <c r="H486">
        <v>1814.38</v>
      </c>
      <c r="I486">
        <v>362.71</v>
      </c>
      <c r="J486">
        <v>1451.67</v>
      </c>
      <c r="K486">
        <v>291</v>
      </c>
      <c r="L486" s="11" t="s">
        <v>278</v>
      </c>
      <c r="M486">
        <f t="shared" si="36"/>
        <v>9</v>
      </c>
      <c r="N486">
        <f t="shared" si="37"/>
        <v>4</v>
      </c>
      <c r="O486">
        <f t="shared" si="38"/>
        <v>2025</v>
      </c>
      <c r="P486" s="4">
        <f t="shared" si="39"/>
        <v>45756</v>
      </c>
      <c r="Q486" t="s">
        <v>1138</v>
      </c>
      <c r="R486" t="s">
        <v>1135</v>
      </c>
      <c r="S486">
        <v>3</v>
      </c>
      <c r="T486" t="s">
        <v>1148</v>
      </c>
      <c r="U486" s="11" t="str">
        <f t="shared" si="35"/>
        <v>12:20:03 PM</v>
      </c>
      <c r="AC486" s="4">
        <v>45663</v>
      </c>
      <c r="AD486" s="25">
        <v>5814.15</v>
      </c>
      <c r="BL486" s="2" t="s">
        <v>1636</v>
      </c>
      <c r="BM486" s="4">
        <v>45651</v>
      </c>
      <c r="BN486" s="25">
        <v>8938.27</v>
      </c>
    </row>
    <row r="487" spans="1:66" x14ac:dyDescent="0.35">
      <c r="A487">
        <v>4241</v>
      </c>
      <c r="B487" t="s">
        <v>25</v>
      </c>
      <c r="C487" s="1">
        <v>45475</v>
      </c>
      <c r="D487" t="s">
        <v>23</v>
      </c>
      <c r="E487" t="s">
        <v>32</v>
      </c>
      <c r="F487">
        <v>4</v>
      </c>
      <c r="G487">
        <v>883.12</v>
      </c>
      <c r="H487">
        <v>3532.48</v>
      </c>
      <c r="I487">
        <v>0</v>
      </c>
      <c r="J487">
        <v>3532.48</v>
      </c>
      <c r="K487">
        <v>90</v>
      </c>
      <c r="L487" s="11" t="s">
        <v>279</v>
      </c>
      <c r="M487">
        <f t="shared" si="36"/>
        <v>2</v>
      </c>
      <c r="N487">
        <f t="shared" si="37"/>
        <v>7</v>
      </c>
      <c r="O487">
        <f t="shared" si="38"/>
        <v>2024</v>
      </c>
      <c r="P487" s="4">
        <f t="shared" si="39"/>
        <v>45475</v>
      </c>
      <c r="Q487" t="s">
        <v>1139</v>
      </c>
      <c r="R487" t="s">
        <v>1135</v>
      </c>
      <c r="S487">
        <v>3</v>
      </c>
      <c r="T487" t="s">
        <v>1146</v>
      </c>
      <c r="U487" s="11" t="str">
        <f t="shared" si="35"/>
        <v>07:58:54 PM</v>
      </c>
      <c r="AC487" s="4">
        <v>45664</v>
      </c>
      <c r="AD487" s="25">
        <v>12209.300000000001</v>
      </c>
      <c r="BL487" s="2" t="s">
        <v>1637</v>
      </c>
      <c r="BM487" s="4">
        <v>45652</v>
      </c>
      <c r="BN487" s="25">
        <v>11074.69</v>
      </c>
    </row>
    <row r="488" spans="1:66" x14ac:dyDescent="0.35">
      <c r="A488">
        <v>2880</v>
      </c>
      <c r="B488" t="s">
        <v>20</v>
      </c>
      <c r="C488" s="1">
        <v>45567</v>
      </c>
      <c r="D488" t="s">
        <v>1</v>
      </c>
      <c r="E488" t="s">
        <v>22</v>
      </c>
      <c r="F488">
        <v>3</v>
      </c>
      <c r="G488">
        <v>585.98</v>
      </c>
      <c r="H488">
        <v>1757.94</v>
      </c>
      <c r="I488">
        <v>336.98</v>
      </c>
      <c r="J488">
        <v>1420.96</v>
      </c>
      <c r="K488">
        <v>396</v>
      </c>
      <c r="L488" s="11" t="s">
        <v>280</v>
      </c>
      <c r="M488">
        <f t="shared" si="36"/>
        <v>2</v>
      </c>
      <c r="N488">
        <f t="shared" si="37"/>
        <v>10</v>
      </c>
      <c r="O488">
        <f t="shared" si="38"/>
        <v>2024</v>
      </c>
      <c r="P488" s="4">
        <f t="shared" si="39"/>
        <v>45567</v>
      </c>
      <c r="Q488" t="s">
        <v>1134</v>
      </c>
      <c r="R488" t="s">
        <v>1137</v>
      </c>
      <c r="S488">
        <v>1</v>
      </c>
      <c r="T488" t="s">
        <v>1142</v>
      </c>
      <c r="U488" s="11" t="str">
        <f t="shared" si="35"/>
        <v>05:24:54 PM</v>
      </c>
      <c r="AC488" s="4">
        <v>45665</v>
      </c>
      <c r="AD488" s="25">
        <v>24621.119999999999</v>
      </c>
      <c r="BL488" s="2" t="s">
        <v>1638</v>
      </c>
      <c r="BM488" s="4">
        <v>45653</v>
      </c>
      <c r="BN488" s="25">
        <v>2509.92</v>
      </c>
    </row>
    <row r="489" spans="1:66" x14ac:dyDescent="0.35">
      <c r="A489">
        <v>4683</v>
      </c>
      <c r="B489" t="s">
        <v>15</v>
      </c>
      <c r="C489" s="1">
        <v>45648</v>
      </c>
      <c r="D489" t="s">
        <v>4</v>
      </c>
      <c r="E489" t="s">
        <v>30</v>
      </c>
      <c r="F489">
        <v>5</v>
      </c>
      <c r="G489">
        <v>1126.31</v>
      </c>
      <c r="H489">
        <v>5631.55</v>
      </c>
      <c r="I489">
        <v>563.57000000000005</v>
      </c>
      <c r="J489">
        <v>5067.9799999999996</v>
      </c>
      <c r="K489">
        <v>219</v>
      </c>
      <c r="L489" s="11" t="s">
        <v>281</v>
      </c>
      <c r="M489">
        <f t="shared" si="36"/>
        <v>22</v>
      </c>
      <c r="N489">
        <f t="shared" si="37"/>
        <v>12</v>
      </c>
      <c r="O489">
        <f t="shared" si="38"/>
        <v>2024</v>
      </c>
      <c r="P489" s="4">
        <f t="shared" si="39"/>
        <v>45648</v>
      </c>
      <c r="Q489" t="s">
        <v>1136</v>
      </c>
      <c r="R489" t="s">
        <v>1135</v>
      </c>
      <c r="S489">
        <v>5</v>
      </c>
      <c r="T489" t="s">
        <v>1143</v>
      </c>
      <c r="U489" s="11" t="str">
        <f t="shared" si="35"/>
        <v>07:07:49 AM</v>
      </c>
      <c r="AC489" s="4">
        <v>45666</v>
      </c>
      <c r="AD489" s="25">
        <v>6918.88</v>
      </c>
      <c r="BL489" s="2" t="s">
        <v>1639</v>
      </c>
      <c r="BM489" s="4">
        <v>45654</v>
      </c>
      <c r="BN489" s="25">
        <v>6210.89</v>
      </c>
    </row>
    <row r="490" spans="1:66" x14ac:dyDescent="0.35">
      <c r="A490">
        <v>3441</v>
      </c>
      <c r="B490" t="s">
        <v>15</v>
      </c>
      <c r="C490" s="1">
        <v>45850</v>
      </c>
      <c r="D490" t="s">
        <v>9</v>
      </c>
      <c r="E490" t="s">
        <v>28</v>
      </c>
      <c r="F490">
        <v>1</v>
      </c>
      <c r="G490">
        <v>1367.01</v>
      </c>
      <c r="H490">
        <v>1367.01</v>
      </c>
      <c r="I490">
        <v>379.31</v>
      </c>
      <c r="J490">
        <v>987.7</v>
      </c>
      <c r="K490">
        <v>374</v>
      </c>
      <c r="L490" s="11" t="s">
        <v>282</v>
      </c>
      <c r="M490">
        <f t="shared" si="36"/>
        <v>12</v>
      </c>
      <c r="N490">
        <f t="shared" si="37"/>
        <v>7</v>
      </c>
      <c r="O490">
        <f t="shared" si="38"/>
        <v>2025</v>
      </c>
      <c r="P490" s="4">
        <f t="shared" si="39"/>
        <v>45850</v>
      </c>
      <c r="Q490" t="s">
        <v>1138</v>
      </c>
      <c r="R490" t="s">
        <v>1135</v>
      </c>
      <c r="S490">
        <v>2</v>
      </c>
      <c r="T490" t="s">
        <v>1143</v>
      </c>
      <c r="U490" s="11" t="str">
        <f t="shared" ref="U490:U553" si="40">TEXT(L490,"hh:mm:ss AM/PM")</f>
        <v>05:42:45 PM</v>
      </c>
      <c r="AC490" s="4">
        <v>45667</v>
      </c>
      <c r="AD490" s="25">
        <v>16098.679999999998</v>
      </c>
      <c r="BL490" s="2" t="s">
        <v>1640</v>
      </c>
      <c r="BM490" s="4">
        <v>45655</v>
      </c>
      <c r="BN490" s="25">
        <v>12248.31</v>
      </c>
    </row>
    <row r="491" spans="1:66" x14ac:dyDescent="0.35">
      <c r="A491">
        <v>5352</v>
      </c>
      <c r="B491" t="s">
        <v>3</v>
      </c>
      <c r="C491" s="1">
        <v>45787</v>
      </c>
      <c r="D491" t="s">
        <v>6</v>
      </c>
      <c r="E491" t="s">
        <v>28</v>
      </c>
      <c r="F491">
        <v>1</v>
      </c>
      <c r="G491">
        <v>1590.28</v>
      </c>
      <c r="H491">
        <v>1590.28</v>
      </c>
      <c r="I491">
        <v>0</v>
      </c>
      <c r="J491">
        <v>1590.28</v>
      </c>
      <c r="K491">
        <v>127</v>
      </c>
      <c r="L491" s="11" t="s">
        <v>283</v>
      </c>
      <c r="M491">
        <f t="shared" si="36"/>
        <v>10</v>
      </c>
      <c r="N491">
        <f t="shared" si="37"/>
        <v>5</v>
      </c>
      <c r="O491">
        <f t="shared" si="38"/>
        <v>2025</v>
      </c>
      <c r="P491" s="4">
        <f t="shared" si="39"/>
        <v>45787</v>
      </c>
      <c r="Q491" t="s">
        <v>1138</v>
      </c>
      <c r="R491" t="s">
        <v>1137</v>
      </c>
      <c r="S491">
        <v>5</v>
      </c>
      <c r="T491" t="s">
        <v>1144</v>
      </c>
      <c r="U491" s="11" t="str">
        <f t="shared" si="40"/>
        <v>02:58:00 PM</v>
      </c>
      <c r="AC491" s="4">
        <v>45668</v>
      </c>
      <c r="AD491" s="25">
        <v>22302.1</v>
      </c>
      <c r="BL491" s="2" t="s">
        <v>1641</v>
      </c>
      <c r="BM491" s="4">
        <v>45656</v>
      </c>
      <c r="BN491" s="25">
        <v>10194.06</v>
      </c>
    </row>
    <row r="492" spans="1:66" x14ac:dyDescent="0.35">
      <c r="A492">
        <v>3330</v>
      </c>
      <c r="B492" t="s">
        <v>25</v>
      </c>
      <c r="C492" s="1">
        <v>45200</v>
      </c>
      <c r="D492" t="s">
        <v>24</v>
      </c>
      <c r="E492" t="s">
        <v>30</v>
      </c>
      <c r="F492">
        <v>1</v>
      </c>
      <c r="G492">
        <v>1005.13</v>
      </c>
      <c r="H492">
        <v>1005.13</v>
      </c>
      <c r="I492">
        <v>200.86</v>
      </c>
      <c r="J492">
        <v>804.27</v>
      </c>
      <c r="K492">
        <v>301</v>
      </c>
      <c r="L492" s="11" t="s">
        <v>284</v>
      </c>
      <c r="M492">
        <f t="shared" si="36"/>
        <v>1</v>
      </c>
      <c r="N492">
        <f t="shared" si="37"/>
        <v>10</v>
      </c>
      <c r="O492">
        <f t="shared" si="38"/>
        <v>2023</v>
      </c>
      <c r="P492" s="4">
        <f t="shared" si="39"/>
        <v>45200</v>
      </c>
      <c r="Q492" t="s">
        <v>1136</v>
      </c>
      <c r="R492" t="s">
        <v>1137</v>
      </c>
      <c r="S492">
        <v>5</v>
      </c>
      <c r="T492" t="s">
        <v>1148</v>
      </c>
      <c r="U492" s="11" t="str">
        <f t="shared" si="40"/>
        <v>02:52:30 PM</v>
      </c>
      <c r="AC492" s="4">
        <v>45669</v>
      </c>
      <c r="AD492" s="25">
        <v>967.78</v>
      </c>
      <c r="BL492" s="2" t="s">
        <v>1642</v>
      </c>
      <c r="BM492" s="4">
        <v>45657</v>
      </c>
      <c r="BN492" s="25">
        <v>9158.2199999999993</v>
      </c>
    </row>
    <row r="493" spans="1:66" x14ac:dyDescent="0.35">
      <c r="A493">
        <v>1977</v>
      </c>
      <c r="B493" t="s">
        <v>0</v>
      </c>
      <c r="C493" s="1">
        <v>45273</v>
      </c>
      <c r="D493" t="s">
        <v>1</v>
      </c>
      <c r="E493" t="s">
        <v>26</v>
      </c>
      <c r="F493">
        <v>3</v>
      </c>
      <c r="G493">
        <v>1179.43</v>
      </c>
      <c r="H493">
        <v>3538.29</v>
      </c>
      <c r="I493">
        <v>353.58</v>
      </c>
      <c r="J493">
        <v>3184.71</v>
      </c>
      <c r="K493">
        <v>266</v>
      </c>
      <c r="L493" s="11" t="s">
        <v>285</v>
      </c>
      <c r="M493">
        <f t="shared" si="36"/>
        <v>13</v>
      </c>
      <c r="N493">
        <f t="shared" si="37"/>
        <v>12</v>
      </c>
      <c r="O493">
        <f t="shared" si="38"/>
        <v>2023</v>
      </c>
      <c r="P493" s="4">
        <f t="shared" si="39"/>
        <v>45273</v>
      </c>
      <c r="Q493" t="s">
        <v>1138</v>
      </c>
      <c r="R493" t="s">
        <v>1137</v>
      </c>
      <c r="S493">
        <v>1</v>
      </c>
      <c r="T493" t="s">
        <v>1147</v>
      </c>
      <c r="U493" s="11" t="str">
        <f t="shared" si="40"/>
        <v>09:26:58 AM</v>
      </c>
      <c r="AC493" s="4">
        <v>45670</v>
      </c>
      <c r="AD493" s="25">
        <v>8348.9699999999993</v>
      </c>
      <c r="BL493" s="2" t="s">
        <v>1643</v>
      </c>
      <c r="BM493" s="4">
        <v>45658</v>
      </c>
      <c r="BN493" s="25">
        <v>810.08</v>
      </c>
    </row>
    <row r="494" spans="1:66" x14ac:dyDescent="0.35">
      <c r="A494">
        <v>6039</v>
      </c>
      <c r="B494" t="s">
        <v>8</v>
      </c>
      <c r="C494" s="1">
        <v>45607</v>
      </c>
      <c r="D494" t="s">
        <v>11</v>
      </c>
      <c r="E494" t="s">
        <v>37</v>
      </c>
      <c r="F494">
        <v>3</v>
      </c>
      <c r="G494">
        <v>1887.42</v>
      </c>
      <c r="H494">
        <v>5662.26</v>
      </c>
      <c r="I494">
        <v>158.53</v>
      </c>
      <c r="J494">
        <v>5503.73</v>
      </c>
      <c r="K494">
        <v>84</v>
      </c>
      <c r="L494" s="11" t="s">
        <v>286</v>
      </c>
      <c r="M494">
        <f t="shared" si="36"/>
        <v>11</v>
      </c>
      <c r="N494">
        <f t="shared" si="37"/>
        <v>11</v>
      </c>
      <c r="O494">
        <f t="shared" si="38"/>
        <v>2024</v>
      </c>
      <c r="P494" s="4">
        <f t="shared" si="39"/>
        <v>45607</v>
      </c>
      <c r="Q494" t="s">
        <v>1138</v>
      </c>
      <c r="R494" t="s">
        <v>1135</v>
      </c>
      <c r="S494">
        <v>1</v>
      </c>
      <c r="T494" t="s">
        <v>1147</v>
      </c>
      <c r="U494" s="11" t="str">
        <f t="shared" si="40"/>
        <v>08:58:16 AM</v>
      </c>
      <c r="AC494" s="4">
        <v>45671</v>
      </c>
      <c r="AD494" s="25">
        <v>7481.6200000000008</v>
      </c>
      <c r="BL494" s="2" t="s">
        <v>1644</v>
      </c>
      <c r="BM494" s="4">
        <v>45659</v>
      </c>
      <c r="BN494" s="25">
        <v>3960.7599999999998</v>
      </c>
    </row>
    <row r="495" spans="1:66" x14ac:dyDescent="0.35">
      <c r="A495">
        <v>5728</v>
      </c>
      <c r="B495" t="s">
        <v>8</v>
      </c>
      <c r="C495" s="1">
        <v>45486</v>
      </c>
      <c r="D495" t="s">
        <v>6</v>
      </c>
      <c r="E495" t="s">
        <v>28</v>
      </c>
      <c r="F495">
        <v>5</v>
      </c>
      <c r="G495">
        <v>1296.46</v>
      </c>
      <c r="H495">
        <v>6482.3</v>
      </c>
      <c r="I495">
        <v>0</v>
      </c>
      <c r="J495">
        <v>6482.3</v>
      </c>
      <c r="K495">
        <v>63</v>
      </c>
      <c r="L495" s="11" t="s">
        <v>287</v>
      </c>
      <c r="M495">
        <f t="shared" si="36"/>
        <v>13</v>
      </c>
      <c r="N495">
        <f t="shared" si="37"/>
        <v>7</v>
      </c>
      <c r="O495">
        <f t="shared" si="38"/>
        <v>2024</v>
      </c>
      <c r="P495" s="4">
        <f t="shared" si="39"/>
        <v>45486</v>
      </c>
      <c r="Q495" t="s">
        <v>1139</v>
      </c>
      <c r="R495" t="s">
        <v>1137</v>
      </c>
      <c r="S495">
        <v>1</v>
      </c>
      <c r="T495" t="s">
        <v>1150</v>
      </c>
      <c r="U495" s="11" t="str">
        <f t="shared" si="40"/>
        <v>06:37:30 PM</v>
      </c>
      <c r="AC495" s="4">
        <v>45672</v>
      </c>
      <c r="AD495" s="25">
        <v>17275.620000000003</v>
      </c>
      <c r="BL495" s="2" t="s">
        <v>1645</v>
      </c>
      <c r="BM495" s="4">
        <v>45660</v>
      </c>
      <c r="BN495" s="25">
        <v>12053.26</v>
      </c>
    </row>
    <row r="496" spans="1:66" x14ac:dyDescent="0.35">
      <c r="A496">
        <v>3037</v>
      </c>
      <c r="B496" t="s">
        <v>20</v>
      </c>
      <c r="C496" s="1">
        <v>45509</v>
      </c>
      <c r="D496" t="s">
        <v>9</v>
      </c>
      <c r="E496" t="s">
        <v>2</v>
      </c>
      <c r="F496">
        <v>5</v>
      </c>
      <c r="G496">
        <v>1581.98</v>
      </c>
      <c r="H496">
        <v>7909.9</v>
      </c>
      <c r="I496">
        <v>0</v>
      </c>
      <c r="J496">
        <v>7909.9</v>
      </c>
      <c r="K496">
        <v>304</v>
      </c>
      <c r="L496" s="11" t="s">
        <v>288</v>
      </c>
      <c r="M496">
        <f t="shared" si="36"/>
        <v>5</v>
      </c>
      <c r="N496">
        <f t="shared" si="37"/>
        <v>8</v>
      </c>
      <c r="O496">
        <f t="shared" si="38"/>
        <v>2024</v>
      </c>
      <c r="P496" s="4">
        <f t="shared" si="39"/>
        <v>45509</v>
      </c>
      <c r="Q496" t="s">
        <v>1138</v>
      </c>
      <c r="R496" t="s">
        <v>1137</v>
      </c>
      <c r="S496">
        <v>4</v>
      </c>
      <c r="T496" t="s">
        <v>1149</v>
      </c>
      <c r="U496" s="11" t="str">
        <f t="shared" si="40"/>
        <v>03:52:12 AM</v>
      </c>
      <c r="AC496" s="4">
        <v>45673</v>
      </c>
      <c r="AD496" s="25">
        <v>19074.23</v>
      </c>
      <c r="BL496" s="2" t="s">
        <v>1646</v>
      </c>
      <c r="BM496" s="4">
        <v>45661</v>
      </c>
      <c r="BN496" s="25">
        <v>6484.79</v>
      </c>
    </row>
    <row r="497" spans="1:66" x14ac:dyDescent="0.35">
      <c r="A497">
        <v>5982</v>
      </c>
      <c r="B497" t="s">
        <v>0</v>
      </c>
      <c r="C497" s="1">
        <v>45688</v>
      </c>
      <c r="D497" t="s">
        <v>16</v>
      </c>
      <c r="E497" t="s">
        <v>28</v>
      </c>
      <c r="F497">
        <v>1</v>
      </c>
      <c r="G497">
        <v>1742.17</v>
      </c>
      <c r="H497">
        <v>1742.17</v>
      </c>
      <c r="I497">
        <v>174.3</v>
      </c>
      <c r="J497">
        <v>1567.87</v>
      </c>
      <c r="K497">
        <v>213</v>
      </c>
      <c r="L497" s="11" t="s">
        <v>289</v>
      </c>
      <c r="M497">
        <f t="shared" si="36"/>
        <v>31</v>
      </c>
      <c r="N497">
        <f t="shared" si="37"/>
        <v>1</v>
      </c>
      <c r="O497">
        <f t="shared" si="38"/>
        <v>2025</v>
      </c>
      <c r="P497" s="4">
        <f t="shared" si="39"/>
        <v>45688</v>
      </c>
      <c r="Q497" t="s">
        <v>1134</v>
      </c>
      <c r="R497" t="s">
        <v>1135</v>
      </c>
      <c r="S497">
        <v>5</v>
      </c>
      <c r="T497" t="s">
        <v>1149</v>
      </c>
      <c r="U497" s="11" t="str">
        <f t="shared" si="40"/>
        <v>06:25:11 PM</v>
      </c>
      <c r="AC497" s="4">
        <v>45674</v>
      </c>
      <c r="AD497" s="25">
        <v>15404.8</v>
      </c>
      <c r="BL497" s="2" t="s">
        <v>1647</v>
      </c>
      <c r="BM497" s="4">
        <v>45662</v>
      </c>
      <c r="BN497" s="25">
        <v>4763.37</v>
      </c>
    </row>
    <row r="498" spans="1:66" x14ac:dyDescent="0.35">
      <c r="A498">
        <v>7594</v>
      </c>
      <c r="B498" t="s">
        <v>0</v>
      </c>
      <c r="C498" s="1">
        <v>45356</v>
      </c>
      <c r="D498" t="s">
        <v>27</v>
      </c>
      <c r="E498" t="s">
        <v>2</v>
      </c>
      <c r="F498">
        <v>4</v>
      </c>
      <c r="G498">
        <v>1771.22</v>
      </c>
      <c r="H498">
        <v>7084.88</v>
      </c>
      <c r="I498">
        <v>1062.4000000000001</v>
      </c>
      <c r="J498">
        <v>6022.48</v>
      </c>
      <c r="K498">
        <v>105</v>
      </c>
      <c r="L498" s="11" t="s">
        <v>290</v>
      </c>
      <c r="M498">
        <f t="shared" si="36"/>
        <v>5</v>
      </c>
      <c r="N498">
        <f t="shared" si="37"/>
        <v>3</v>
      </c>
      <c r="O498">
        <f t="shared" si="38"/>
        <v>2024</v>
      </c>
      <c r="P498" s="4">
        <f t="shared" si="39"/>
        <v>45356</v>
      </c>
      <c r="Q498" t="s">
        <v>1134</v>
      </c>
      <c r="R498" t="s">
        <v>1137</v>
      </c>
      <c r="S498">
        <v>3</v>
      </c>
      <c r="T498" t="s">
        <v>1149</v>
      </c>
      <c r="U498" s="11" t="str">
        <f t="shared" si="40"/>
        <v>11:10:06 PM</v>
      </c>
      <c r="AC498" s="4">
        <v>45675</v>
      </c>
      <c r="AD498" s="25">
        <v>5967.7000000000007</v>
      </c>
      <c r="BL498" s="2" t="s">
        <v>1648</v>
      </c>
      <c r="BM498" s="4">
        <v>45663</v>
      </c>
      <c r="BN498" s="25">
        <v>5814.15</v>
      </c>
    </row>
    <row r="499" spans="1:66" x14ac:dyDescent="0.35">
      <c r="A499">
        <v>9199</v>
      </c>
      <c r="B499" t="s">
        <v>13</v>
      </c>
      <c r="C499" s="1">
        <v>45564</v>
      </c>
      <c r="D499" t="s">
        <v>16</v>
      </c>
      <c r="E499" t="s">
        <v>38</v>
      </c>
      <c r="F499">
        <v>5</v>
      </c>
      <c r="G499">
        <v>732.06</v>
      </c>
      <c r="H499">
        <v>3660.3</v>
      </c>
      <c r="I499">
        <v>366.03</v>
      </c>
      <c r="J499">
        <v>3294.27</v>
      </c>
      <c r="K499">
        <v>310</v>
      </c>
      <c r="L499" s="11" t="s">
        <v>291</v>
      </c>
      <c r="M499">
        <f t="shared" si="36"/>
        <v>29</v>
      </c>
      <c r="N499">
        <f t="shared" si="37"/>
        <v>9</v>
      </c>
      <c r="O499">
        <f t="shared" si="38"/>
        <v>2024</v>
      </c>
      <c r="P499" s="4">
        <f t="shared" si="39"/>
        <v>45564</v>
      </c>
      <c r="Q499" t="s">
        <v>1136</v>
      </c>
      <c r="R499" t="s">
        <v>1137</v>
      </c>
      <c r="S499">
        <v>2</v>
      </c>
      <c r="T499" t="s">
        <v>1144</v>
      </c>
      <c r="U499" s="11" t="str">
        <f t="shared" si="40"/>
        <v>04:47:02 PM</v>
      </c>
      <c r="AC499" s="4">
        <v>45676</v>
      </c>
      <c r="AD499" s="25">
        <v>7070.7699999999995</v>
      </c>
      <c r="BL499" s="2" t="s">
        <v>1649</v>
      </c>
      <c r="BM499" s="4">
        <v>45664</v>
      </c>
      <c r="BN499" s="25">
        <v>12209.300000000001</v>
      </c>
    </row>
    <row r="500" spans="1:66" x14ac:dyDescent="0.35">
      <c r="A500">
        <v>9090</v>
      </c>
      <c r="B500" t="s">
        <v>0</v>
      </c>
      <c r="C500" s="1">
        <v>45485</v>
      </c>
      <c r="D500" t="s">
        <v>27</v>
      </c>
      <c r="E500" t="s">
        <v>38</v>
      </c>
      <c r="F500">
        <v>3</v>
      </c>
      <c r="G500">
        <v>356.9</v>
      </c>
      <c r="H500">
        <v>1070.7</v>
      </c>
      <c r="I500">
        <v>214.14</v>
      </c>
      <c r="J500">
        <v>856.56</v>
      </c>
      <c r="K500">
        <v>54</v>
      </c>
      <c r="L500" s="11" t="s">
        <v>292</v>
      </c>
      <c r="M500">
        <f t="shared" si="36"/>
        <v>12</v>
      </c>
      <c r="N500">
        <f t="shared" si="37"/>
        <v>7</v>
      </c>
      <c r="O500">
        <f t="shared" si="38"/>
        <v>2024</v>
      </c>
      <c r="P500" s="4">
        <f t="shared" si="39"/>
        <v>45485</v>
      </c>
      <c r="Q500" t="s">
        <v>1138</v>
      </c>
      <c r="R500" t="s">
        <v>1137</v>
      </c>
      <c r="S500">
        <v>4</v>
      </c>
      <c r="T500" t="s">
        <v>1146</v>
      </c>
      <c r="U500" s="11" t="str">
        <f t="shared" si="40"/>
        <v>11:51:28 PM</v>
      </c>
      <c r="AC500" s="4">
        <v>45677</v>
      </c>
      <c r="AD500" s="25">
        <v>9013.7999999999993</v>
      </c>
      <c r="BL500" s="2" t="s">
        <v>1650</v>
      </c>
      <c r="BM500" s="4">
        <v>45665</v>
      </c>
      <c r="BN500" s="25">
        <v>24621.119999999999</v>
      </c>
    </row>
    <row r="501" spans="1:66" x14ac:dyDescent="0.35">
      <c r="A501">
        <v>2317</v>
      </c>
      <c r="B501" t="s">
        <v>31</v>
      </c>
      <c r="C501" s="1">
        <v>45609</v>
      </c>
      <c r="D501" t="s">
        <v>24</v>
      </c>
      <c r="E501" t="s">
        <v>36</v>
      </c>
      <c r="F501">
        <v>2</v>
      </c>
      <c r="G501">
        <v>943.71</v>
      </c>
      <c r="H501">
        <v>1887.42</v>
      </c>
      <c r="I501">
        <v>377.65</v>
      </c>
      <c r="J501">
        <v>1509.77</v>
      </c>
      <c r="K501">
        <v>209</v>
      </c>
      <c r="L501" s="11" t="s">
        <v>293</v>
      </c>
      <c r="M501">
        <f t="shared" si="36"/>
        <v>13</v>
      </c>
      <c r="N501">
        <f t="shared" si="37"/>
        <v>11</v>
      </c>
      <c r="O501">
        <f t="shared" si="38"/>
        <v>2024</v>
      </c>
      <c r="P501" s="4">
        <f t="shared" si="39"/>
        <v>45609</v>
      </c>
      <c r="Q501" t="s">
        <v>1136</v>
      </c>
      <c r="R501" t="s">
        <v>1135</v>
      </c>
      <c r="S501">
        <v>3</v>
      </c>
      <c r="T501" t="s">
        <v>1149</v>
      </c>
      <c r="U501" s="11" t="str">
        <f t="shared" si="40"/>
        <v>11:44:50 AM</v>
      </c>
      <c r="AC501" s="4">
        <v>45678</v>
      </c>
      <c r="AD501" s="25">
        <v>4597.37</v>
      </c>
      <c r="BL501" s="2" t="s">
        <v>1651</v>
      </c>
      <c r="BM501" s="4">
        <v>45666</v>
      </c>
      <c r="BN501" s="25">
        <v>6918.88</v>
      </c>
    </row>
    <row r="502" spans="1:66" x14ac:dyDescent="0.35">
      <c r="A502">
        <v>1653</v>
      </c>
      <c r="B502" t="s">
        <v>20</v>
      </c>
      <c r="C502" s="1">
        <v>45835</v>
      </c>
      <c r="D502" t="s">
        <v>27</v>
      </c>
      <c r="E502" t="s">
        <v>37</v>
      </c>
      <c r="F502">
        <v>2</v>
      </c>
      <c r="G502">
        <v>1738.85</v>
      </c>
      <c r="H502">
        <v>3477.7</v>
      </c>
      <c r="I502">
        <v>695.54</v>
      </c>
      <c r="J502">
        <v>2782.16</v>
      </c>
      <c r="K502">
        <v>246</v>
      </c>
      <c r="L502" s="11" t="s">
        <v>294</v>
      </c>
      <c r="M502">
        <f t="shared" si="36"/>
        <v>27</v>
      </c>
      <c r="N502">
        <f t="shared" si="37"/>
        <v>6</v>
      </c>
      <c r="O502">
        <f t="shared" si="38"/>
        <v>2025</v>
      </c>
      <c r="P502" s="4">
        <f t="shared" si="39"/>
        <v>45835</v>
      </c>
      <c r="Q502" t="s">
        <v>1134</v>
      </c>
      <c r="R502" t="s">
        <v>1135</v>
      </c>
      <c r="S502">
        <v>5</v>
      </c>
      <c r="T502" t="s">
        <v>1145</v>
      </c>
      <c r="U502" s="11" t="str">
        <f t="shared" si="40"/>
        <v>05:32:06 AM</v>
      </c>
      <c r="AC502" s="4">
        <v>45680</v>
      </c>
      <c r="AD502" s="25">
        <v>3091.75</v>
      </c>
      <c r="BL502" s="2" t="s">
        <v>1652</v>
      </c>
      <c r="BM502" s="4">
        <v>45667</v>
      </c>
      <c r="BN502" s="25">
        <v>16098.679999999998</v>
      </c>
    </row>
    <row r="503" spans="1:66" x14ac:dyDescent="0.35">
      <c r="A503">
        <v>8078</v>
      </c>
      <c r="B503" t="s">
        <v>20</v>
      </c>
      <c r="C503" s="1">
        <v>45715</v>
      </c>
      <c r="D503" t="s">
        <v>1</v>
      </c>
      <c r="E503" t="s">
        <v>32</v>
      </c>
      <c r="F503">
        <v>1</v>
      </c>
      <c r="G503">
        <v>2092.4299999999998</v>
      </c>
      <c r="H503">
        <v>2092.4299999999998</v>
      </c>
      <c r="I503">
        <v>418.32</v>
      </c>
      <c r="J503">
        <v>1674.11</v>
      </c>
      <c r="K503">
        <v>342</v>
      </c>
      <c r="L503" s="11" t="s">
        <v>295</v>
      </c>
      <c r="M503">
        <f t="shared" si="36"/>
        <v>27</v>
      </c>
      <c r="N503">
        <f t="shared" si="37"/>
        <v>2</v>
      </c>
      <c r="O503">
        <f t="shared" si="38"/>
        <v>2025</v>
      </c>
      <c r="P503" s="4">
        <f t="shared" si="39"/>
        <v>45715</v>
      </c>
      <c r="Q503" t="s">
        <v>1138</v>
      </c>
      <c r="R503" t="s">
        <v>1135</v>
      </c>
      <c r="S503">
        <v>1</v>
      </c>
      <c r="T503" t="s">
        <v>1141</v>
      </c>
      <c r="U503" s="11" t="str">
        <f t="shared" si="40"/>
        <v>03:06:19 PM</v>
      </c>
      <c r="AC503" s="4">
        <v>45681</v>
      </c>
      <c r="AD503" s="25">
        <v>10674.63</v>
      </c>
      <c r="BL503" s="2" t="s">
        <v>1653</v>
      </c>
      <c r="BM503" s="4">
        <v>45668</v>
      </c>
      <c r="BN503" s="25">
        <v>22302.1</v>
      </c>
    </row>
    <row r="504" spans="1:66" x14ac:dyDescent="0.35">
      <c r="A504">
        <v>6280</v>
      </c>
      <c r="B504" t="s">
        <v>0</v>
      </c>
      <c r="C504" s="1">
        <v>45613</v>
      </c>
      <c r="D504" t="s">
        <v>27</v>
      </c>
      <c r="E504" t="s">
        <v>32</v>
      </c>
      <c r="F504">
        <v>1</v>
      </c>
      <c r="G504">
        <v>2260.09</v>
      </c>
      <c r="H504">
        <v>2260.09</v>
      </c>
      <c r="I504">
        <v>225.76</v>
      </c>
      <c r="J504">
        <v>2034.33</v>
      </c>
      <c r="K504">
        <v>329</v>
      </c>
      <c r="L504" s="11" t="s">
        <v>296</v>
      </c>
      <c r="M504">
        <f t="shared" si="36"/>
        <v>17</v>
      </c>
      <c r="N504">
        <f t="shared" si="37"/>
        <v>11</v>
      </c>
      <c r="O504">
        <f t="shared" si="38"/>
        <v>2024</v>
      </c>
      <c r="P504" s="4">
        <f t="shared" si="39"/>
        <v>45613</v>
      </c>
      <c r="Q504" t="s">
        <v>1138</v>
      </c>
      <c r="R504" t="s">
        <v>1135</v>
      </c>
      <c r="S504">
        <v>5</v>
      </c>
      <c r="T504" t="s">
        <v>1143</v>
      </c>
      <c r="U504" s="11" t="str">
        <f t="shared" si="40"/>
        <v>09:42:58 AM</v>
      </c>
      <c r="AC504" s="4">
        <v>45682</v>
      </c>
      <c r="AD504" s="25">
        <v>4208.1000000000004</v>
      </c>
      <c r="BL504" s="2" t="s">
        <v>1654</v>
      </c>
      <c r="BM504" s="4">
        <v>45669</v>
      </c>
      <c r="BN504" s="25">
        <v>967.78</v>
      </c>
    </row>
    <row r="505" spans="1:66" x14ac:dyDescent="0.35">
      <c r="A505">
        <v>5102</v>
      </c>
      <c r="B505" t="s">
        <v>19</v>
      </c>
      <c r="C505" s="1">
        <v>45165</v>
      </c>
      <c r="D505" t="s">
        <v>24</v>
      </c>
      <c r="E505" t="s">
        <v>22</v>
      </c>
      <c r="F505">
        <v>1</v>
      </c>
      <c r="G505">
        <v>322.04000000000002</v>
      </c>
      <c r="H505">
        <v>322.04000000000002</v>
      </c>
      <c r="I505">
        <v>48.14</v>
      </c>
      <c r="J505">
        <v>273.89999999999998</v>
      </c>
      <c r="K505">
        <v>89</v>
      </c>
      <c r="L505" s="11" t="s">
        <v>297</v>
      </c>
      <c r="M505">
        <f t="shared" si="36"/>
        <v>27</v>
      </c>
      <c r="N505">
        <f t="shared" si="37"/>
        <v>8</v>
      </c>
      <c r="O505">
        <f t="shared" si="38"/>
        <v>2023</v>
      </c>
      <c r="P505" s="4">
        <f t="shared" si="39"/>
        <v>45165</v>
      </c>
      <c r="Q505" t="s">
        <v>1136</v>
      </c>
      <c r="R505" t="s">
        <v>1137</v>
      </c>
      <c r="S505">
        <v>2</v>
      </c>
      <c r="T505" t="s">
        <v>1146</v>
      </c>
      <c r="U505" s="11" t="str">
        <f t="shared" si="40"/>
        <v>09:31:57 PM</v>
      </c>
      <c r="AC505" s="4">
        <v>45683</v>
      </c>
      <c r="AD505" s="25">
        <v>21677.11</v>
      </c>
      <c r="BL505" s="2" t="s">
        <v>1655</v>
      </c>
      <c r="BM505" s="4">
        <v>45670</v>
      </c>
      <c r="BN505" s="25">
        <v>8348.9699999999993</v>
      </c>
    </row>
    <row r="506" spans="1:66" x14ac:dyDescent="0.35">
      <c r="A506">
        <v>2496</v>
      </c>
      <c r="B506" t="s">
        <v>25</v>
      </c>
      <c r="C506" s="1">
        <v>45322</v>
      </c>
      <c r="D506" t="s">
        <v>16</v>
      </c>
      <c r="E506" t="s">
        <v>10</v>
      </c>
      <c r="F506">
        <v>4</v>
      </c>
      <c r="G506">
        <v>1860.03</v>
      </c>
      <c r="H506">
        <v>7440.12</v>
      </c>
      <c r="I506">
        <v>366.03</v>
      </c>
      <c r="J506">
        <v>7074.09</v>
      </c>
      <c r="K506">
        <v>48</v>
      </c>
      <c r="L506" s="11" t="s">
        <v>298</v>
      </c>
      <c r="M506">
        <f t="shared" si="36"/>
        <v>31</v>
      </c>
      <c r="N506">
        <f t="shared" si="37"/>
        <v>1</v>
      </c>
      <c r="O506">
        <f t="shared" si="38"/>
        <v>2024</v>
      </c>
      <c r="P506" s="4">
        <f t="shared" si="39"/>
        <v>45322</v>
      </c>
      <c r="Q506" t="s">
        <v>1134</v>
      </c>
      <c r="R506" t="s">
        <v>1135</v>
      </c>
      <c r="S506">
        <v>4</v>
      </c>
      <c r="T506" t="s">
        <v>1147</v>
      </c>
      <c r="U506" s="11" t="str">
        <f t="shared" si="40"/>
        <v>07:54:02 PM</v>
      </c>
      <c r="AC506" s="4">
        <v>45684</v>
      </c>
      <c r="AD506" s="25">
        <v>14254.42</v>
      </c>
      <c r="BL506" s="2" t="s">
        <v>1656</v>
      </c>
      <c r="BM506" s="4">
        <v>45671</v>
      </c>
      <c r="BN506" s="25">
        <v>7481.6200000000008</v>
      </c>
    </row>
    <row r="507" spans="1:66" x14ac:dyDescent="0.35">
      <c r="A507">
        <v>1339</v>
      </c>
      <c r="B507" t="s">
        <v>8</v>
      </c>
      <c r="C507" s="1">
        <v>45739</v>
      </c>
      <c r="D507" t="s">
        <v>11</v>
      </c>
      <c r="E507" t="s">
        <v>12</v>
      </c>
      <c r="F507">
        <v>4</v>
      </c>
      <c r="G507">
        <v>2381.27</v>
      </c>
      <c r="H507">
        <v>9525.08</v>
      </c>
      <c r="I507">
        <v>1428.43</v>
      </c>
      <c r="J507">
        <v>8096.65</v>
      </c>
      <c r="K507">
        <v>137</v>
      </c>
      <c r="L507" s="11" t="s">
        <v>299</v>
      </c>
      <c r="M507">
        <f t="shared" si="36"/>
        <v>23</v>
      </c>
      <c r="N507">
        <f t="shared" si="37"/>
        <v>3</v>
      </c>
      <c r="O507">
        <f t="shared" si="38"/>
        <v>2025</v>
      </c>
      <c r="P507" s="4">
        <f t="shared" si="39"/>
        <v>45739</v>
      </c>
      <c r="Q507" t="s">
        <v>1138</v>
      </c>
      <c r="R507" t="s">
        <v>1135</v>
      </c>
      <c r="S507">
        <v>4</v>
      </c>
      <c r="T507" t="s">
        <v>1150</v>
      </c>
      <c r="U507" s="11" t="str">
        <f t="shared" si="40"/>
        <v>11:35:16 AM</v>
      </c>
      <c r="AC507" s="4">
        <v>45685</v>
      </c>
      <c r="AD507" s="25">
        <v>18203.560000000001</v>
      </c>
      <c r="BL507" s="2" t="s">
        <v>1657</v>
      </c>
      <c r="BM507" s="4">
        <v>45672</v>
      </c>
      <c r="BN507" s="25">
        <v>17275.620000000003</v>
      </c>
    </row>
    <row r="508" spans="1:66" x14ac:dyDescent="0.35">
      <c r="A508">
        <v>5415</v>
      </c>
      <c r="B508" t="s">
        <v>25</v>
      </c>
      <c r="C508" s="1">
        <v>45592</v>
      </c>
      <c r="D508" t="s">
        <v>23</v>
      </c>
      <c r="E508" t="s">
        <v>38</v>
      </c>
      <c r="F508">
        <v>4</v>
      </c>
      <c r="G508">
        <v>1045.8</v>
      </c>
      <c r="H508">
        <v>4183.2</v>
      </c>
      <c r="I508">
        <v>418.32</v>
      </c>
      <c r="J508">
        <v>3764.88</v>
      </c>
      <c r="K508">
        <v>233</v>
      </c>
      <c r="L508" s="11" t="s">
        <v>300</v>
      </c>
      <c r="M508">
        <f t="shared" si="36"/>
        <v>27</v>
      </c>
      <c r="N508">
        <f t="shared" si="37"/>
        <v>10</v>
      </c>
      <c r="O508">
        <f t="shared" si="38"/>
        <v>2024</v>
      </c>
      <c r="P508" s="4">
        <f t="shared" si="39"/>
        <v>45592</v>
      </c>
      <c r="Q508" t="s">
        <v>1136</v>
      </c>
      <c r="R508" t="s">
        <v>1137</v>
      </c>
      <c r="S508">
        <v>2</v>
      </c>
      <c r="T508" t="s">
        <v>1141</v>
      </c>
      <c r="U508" s="11" t="str">
        <f t="shared" si="40"/>
        <v>01:43:47 PM</v>
      </c>
      <c r="AC508" s="4">
        <v>45686</v>
      </c>
      <c r="AD508" s="25">
        <v>14823.8</v>
      </c>
      <c r="BL508" s="2" t="s">
        <v>1658</v>
      </c>
      <c r="BM508" s="4">
        <v>45673</v>
      </c>
      <c r="BN508" s="25">
        <v>19074.23</v>
      </c>
    </row>
    <row r="509" spans="1:66" x14ac:dyDescent="0.35">
      <c r="A509">
        <v>1659</v>
      </c>
      <c r="B509" t="s">
        <v>15</v>
      </c>
      <c r="C509" s="1">
        <v>45737</v>
      </c>
      <c r="D509" t="s">
        <v>9</v>
      </c>
      <c r="E509" t="s">
        <v>18</v>
      </c>
      <c r="F509">
        <v>1</v>
      </c>
      <c r="G509">
        <v>400.89</v>
      </c>
      <c r="H509">
        <v>400.89</v>
      </c>
      <c r="I509">
        <v>80.510000000000005</v>
      </c>
      <c r="J509">
        <v>320.38</v>
      </c>
      <c r="K509">
        <v>371</v>
      </c>
      <c r="L509" s="11" t="s">
        <v>301</v>
      </c>
      <c r="M509">
        <f t="shared" si="36"/>
        <v>21</v>
      </c>
      <c r="N509">
        <f t="shared" si="37"/>
        <v>3</v>
      </c>
      <c r="O509">
        <f t="shared" si="38"/>
        <v>2025</v>
      </c>
      <c r="P509" s="4">
        <f t="shared" si="39"/>
        <v>45737</v>
      </c>
      <c r="Q509" t="s">
        <v>1134</v>
      </c>
      <c r="R509" t="s">
        <v>1137</v>
      </c>
      <c r="S509">
        <v>3</v>
      </c>
      <c r="T509" t="s">
        <v>1144</v>
      </c>
      <c r="U509" s="11" t="str">
        <f t="shared" si="40"/>
        <v>09:27:42 PM</v>
      </c>
      <c r="AC509" s="4">
        <v>45687</v>
      </c>
      <c r="AD509" s="25">
        <v>1516.41</v>
      </c>
      <c r="BL509" s="2" t="s">
        <v>1659</v>
      </c>
      <c r="BM509" s="4">
        <v>45674</v>
      </c>
      <c r="BN509" s="25">
        <v>15404.8</v>
      </c>
    </row>
    <row r="510" spans="1:66" x14ac:dyDescent="0.35">
      <c r="A510">
        <v>3870</v>
      </c>
      <c r="B510" t="s">
        <v>0</v>
      </c>
      <c r="C510" s="1">
        <v>45510</v>
      </c>
      <c r="D510" t="s">
        <v>9</v>
      </c>
      <c r="E510" t="s">
        <v>37</v>
      </c>
      <c r="F510">
        <v>5</v>
      </c>
      <c r="G510">
        <v>1714.78</v>
      </c>
      <c r="H510">
        <v>8573.9</v>
      </c>
      <c r="I510">
        <v>1285.67</v>
      </c>
      <c r="J510">
        <v>7288.23</v>
      </c>
      <c r="K510">
        <v>92</v>
      </c>
      <c r="L510" s="11" t="s">
        <v>302</v>
      </c>
      <c r="M510">
        <f t="shared" si="36"/>
        <v>6</v>
      </c>
      <c r="N510">
        <f t="shared" si="37"/>
        <v>8</v>
      </c>
      <c r="O510">
        <f t="shared" si="38"/>
        <v>2024</v>
      </c>
      <c r="P510" s="4">
        <f t="shared" si="39"/>
        <v>45510</v>
      </c>
      <c r="Q510" t="s">
        <v>1136</v>
      </c>
      <c r="R510" t="s">
        <v>1137</v>
      </c>
      <c r="S510">
        <v>3</v>
      </c>
      <c r="T510" t="s">
        <v>1143</v>
      </c>
      <c r="U510" s="11" t="str">
        <f t="shared" si="40"/>
        <v>05:20:28 PM</v>
      </c>
      <c r="AC510" s="4">
        <v>45688</v>
      </c>
      <c r="AD510" s="25">
        <v>6913.07</v>
      </c>
      <c r="BL510" s="2" t="s">
        <v>1660</v>
      </c>
      <c r="BM510" s="4">
        <v>45675</v>
      </c>
      <c r="BN510" s="25">
        <v>5967.7000000000007</v>
      </c>
    </row>
    <row r="511" spans="1:66" x14ac:dyDescent="0.35">
      <c r="A511">
        <v>9502</v>
      </c>
      <c r="B511" t="s">
        <v>20</v>
      </c>
      <c r="C511" s="1">
        <v>45651</v>
      </c>
      <c r="D511" t="s">
        <v>16</v>
      </c>
      <c r="E511" t="s">
        <v>30</v>
      </c>
      <c r="F511">
        <v>4</v>
      </c>
      <c r="G511">
        <v>2297.44</v>
      </c>
      <c r="H511">
        <v>9189.76</v>
      </c>
      <c r="I511">
        <v>918.81</v>
      </c>
      <c r="J511">
        <v>8270.9500000000007</v>
      </c>
      <c r="K511">
        <v>57</v>
      </c>
      <c r="L511" s="11" t="s">
        <v>303</v>
      </c>
      <c r="M511">
        <f t="shared" si="36"/>
        <v>25</v>
      </c>
      <c r="N511">
        <f t="shared" si="37"/>
        <v>12</v>
      </c>
      <c r="O511">
        <f t="shared" si="38"/>
        <v>2024</v>
      </c>
      <c r="P511" s="4">
        <f t="shared" si="39"/>
        <v>45651</v>
      </c>
      <c r="Q511" t="s">
        <v>1139</v>
      </c>
      <c r="R511" t="s">
        <v>1135</v>
      </c>
      <c r="S511">
        <v>4</v>
      </c>
      <c r="T511" t="s">
        <v>1144</v>
      </c>
      <c r="U511" s="11" t="str">
        <f t="shared" si="40"/>
        <v>05:03:27 PM</v>
      </c>
      <c r="AC511" s="4">
        <v>45689</v>
      </c>
      <c r="AD511" s="25">
        <v>6441.63</v>
      </c>
      <c r="BL511" s="2" t="s">
        <v>1661</v>
      </c>
      <c r="BM511" s="4">
        <v>45676</v>
      </c>
      <c r="BN511" s="25">
        <v>7070.7699999999995</v>
      </c>
    </row>
    <row r="512" spans="1:66" x14ac:dyDescent="0.35">
      <c r="A512">
        <v>8245</v>
      </c>
      <c r="B512" t="s">
        <v>20</v>
      </c>
      <c r="C512" s="1">
        <v>45856</v>
      </c>
      <c r="D512" t="s">
        <v>4</v>
      </c>
      <c r="E512" t="s">
        <v>2</v>
      </c>
      <c r="F512">
        <v>3</v>
      </c>
      <c r="G512">
        <v>112.05</v>
      </c>
      <c r="H512">
        <v>336.15</v>
      </c>
      <c r="I512">
        <v>0</v>
      </c>
      <c r="J512">
        <v>336.15</v>
      </c>
      <c r="K512">
        <v>444</v>
      </c>
      <c r="L512" s="11" t="s">
        <v>304</v>
      </c>
      <c r="M512">
        <f t="shared" si="36"/>
        <v>18</v>
      </c>
      <c r="N512">
        <f t="shared" si="37"/>
        <v>7</v>
      </c>
      <c r="O512">
        <f t="shared" si="38"/>
        <v>2025</v>
      </c>
      <c r="P512" s="4">
        <f t="shared" si="39"/>
        <v>45856</v>
      </c>
      <c r="Q512" t="s">
        <v>1138</v>
      </c>
      <c r="R512" t="s">
        <v>1135</v>
      </c>
      <c r="S512">
        <v>4</v>
      </c>
      <c r="T512" t="s">
        <v>1144</v>
      </c>
      <c r="U512" s="11" t="str">
        <f t="shared" si="40"/>
        <v>05:23:04 PM</v>
      </c>
      <c r="AC512" s="4">
        <v>45690</v>
      </c>
      <c r="AD512" s="25">
        <v>5337.73</v>
      </c>
      <c r="BL512" s="2" t="s">
        <v>1662</v>
      </c>
      <c r="BM512" s="4">
        <v>45677</v>
      </c>
      <c r="BN512" s="25">
        <v>9013.7999999999993</v>
      </c>
    </row>
    <row r="513" spans="1:66" x14ac:dyDescent="0.35">
      <c r="A513">
        <v>5557</v>
      </c>
      <c r="B513" t="s">
        <v>25</v>
      </c>
      <c r="C513" s="1">
        <v>45285</v>
      </c>
      <c r="D513" t="s">
        <v>27</v>
      </c>
      <c r="E513" t="s">
        <v>36</v>
      </c>
      <c r="F513">
        <v>5</v>
      </c>
      <c r="G513">
        <v>311.25</v>
      </c>
      <c r="H513">
        <v>1556.25</v>
      </c>
      <c r="I513">
        <v>156.04</v>
      </c>
      <c r="J513">
        <v>1400.21</v>
      </c>
      <c r="K513">
        <v>338</v>
      </c>
      <c r="L513" s="11" t="s">
        <v>305</v>
      </c>
      <c r="M513">
        <f t="shared" si="36"/>
        <v>25</v>
      </c>
      <c r="N513">
        <f t="shared" si="37"/>
        <v>12</v>
      </c>
      <c r="O513">
        <f t="shared" si="38"/>
        <v>2023</v>
      </c>
      <c r="P513" s="4">
        <f t="shared" si="39"/>
        <v>45285</v>
      </c>
      <c r="Q513" t="s">
        <v>1139</v>
      </c>
      <c r="R513" t="s">
        <v>1135</v>
      </c>
      <c r="S513">
        <v>1</v>
      </c>
      <c r="T513" t="s">
        <v>1145</v>
      </c>
      <c r="U513" s="11" t="str">
        <f t="shared" si="40"/>
        <v>03:03:39 PM</v>
      </c>
      <c r="AC513" s="4">
        <v>45691</v>
      </c>
      <c r="AD513" s="25">
        <v>30245.200000000001</v>
      </c>
      <c r="BL513" s="2" t="s">
        <v>1663</v>
      </c>
      <c r="BM513" s="4">
        <v>45678</v>
      </c>
      <c r="BN513" s="25">
        <v>4597.37</v>
      </c>
    </row>
    <row r="514" spans="1:66" x14ac:dyDescent="0.35">
      <c r="A514">
        <v>8141</v>
      </c>
      <c r="B514" t="s">
        <v>25</v>
      </c>
      <c r="C514" s="1">
        <v>45638</v>
      </c>
      <c r="D514" t="s">
        <v>16</v>
      </c>
      <c r="E514" t="s">
        <v>21</v>
      </c>
      <c r="F514">
        <v>2</v>
      </c>
      <c r="G514">
        <v>2101.56</v>
      </c>
      <c r="H514">
        <v>4203.12</v>
      </c>
      <c r="I514">
        <v>296.31</v>
      </c>
      <c r="J514">
        <v>3906.81</v>
      </c>
      <c r="K514">
        <v>285</v>
      </c>
      <c r="L514" s="11" t="s">
        <v>306</v>
      </c>
      <c r="M514">
        <f t="shared" ref="M514:M577" si="41">DAY(C514)</f>
        <v>12</v>
      </c>
      <c r="N514">
        <f t="shared" ref="N514:N577" si="42">MONTH(C514)</f>
        <v>12</v>
      </c>
      <c r="O514">
        <f t="shared" ref="O514:O577" si="43">YEAR(C514)</f>
        <v>2024</v>
      </c>
      <c r="P514" s="4">
        <f t="shared" si="39"/>
        <v>45638</v>
      </c>
      <c r="Q514" t="s">
        <v>1134</v>
      </c>
      <c r="R514" t="s">
        <v>1137</v>
      </c>
      <c r="S514">
        <v>3</v>
      </c>
      <c r="T514" t="s">
        <v>1142</v>
      </c>
      <c r="U514" s="11" t="str">
        <f t="shared" si="40"/>
        <v>12:54:54 PM</v>
      </c>
      <c r="AC514" s="4">
        <v>45692</v>
      </c>
      <c r="AD514" s="25">
        <v>10956.83</v>
      </c>
      <c r="BL514" s="2" t="s">
        <v>1664</v>
      </c>
      <c r="BM514" s="4">
        <v>45680</v>
      </c>
      <c r="BN514" s="25">
        <v>3091.75</v>
      </c>
    </row>
    <row r="515" spans="1:66" x14ac:dyDescent="0.35">
      <c r="A515">
        <v>9056</v>
      </c>
      <c r="B515" t="s">
        <v>8</v>
      </c>
      <c r="C515" s="1">
        <v>45215</v>
      </c>
      <c r="D515" t="s">
        <v>27</v>
      </c>
      <c r="E515" t="s">
        <v>37</v>
      </c>
      <c r="F515">
        <v>4</v>
      </c>
      <c r="G515">
        <v>2174.6</v>
      </c>
      <c r="H515">
        <v>8698.4</v>
      </c>
      <c r="I515">
        <v>1304.76</v>
      </c>
      <c r="J515">
        <v>7393.64</v>
      </c>
      <c r="K515">
        <v>38</v>
      </c>
      <c r="L515" s="11" t="s">
        <v>307</v>
      </c>
      <c r="M515">
        <f t="shared" si="41"/>
        <v>16</v>
      </c>
      <c r="N515">
        <f t="shared" si="42"/>
        <v>10</v>
      </c>
      <c r="O515">
        <f t="shared" si="43"/>
        <v>2023</v>
      </c>
      <c r="P515" s="4">
        <f t="shared" ref="P515:P578" si="44">DATE(O515,N515,M515)</f>
        <v>45215</v>
      </c>
      <c r="Q515" t="s">
        <v>1139</v>
      </c>
      <c r="R515" t="s">
        <v>1137</v>
      </c>
      <c r="S515">
        <v>2</v>
      </c>
      <c r="T515" t="s">
        <v>1142</v>
      </c>
      <c r="U515" s="11" t="str">
        <f t="shared" si="40"/>
        <v>10:01:45 PM</v>
      </c>
      <c r="AC515" s="4">
        <v>45693</v>
      </c>
      <c r="AD515" s="25">
        <v>4558.3600000000006</v>
      </c>
      <c r="BL515" s="2" t="s">
        <v>1665</v>
      </c>
      <c r="BM515" s="4">
        <v>45681</v>
      </c>
      <c r="BN515" s="25">
        <v>10674.63</v>
      </c>
    </row>
    <row r="516" spans="1:66" x14ac:dyDescent="0.35">
      <c r="A516">
        <v>8700</v>
      </c>
      <c r="B516" t="s">
        <v>31</v>
      </c>
      <c r="C516" s="1">
        <v>45415</v>
      </c>
      <c r="D516" t="s">
        <v>11</v>
      </c>
      <c r="E516" t="s">
        <v>2</v>
      </c>
      <c r="F516">
        <v>1</v>
      </c>
      <c r="G516">
        <v>1302.27</v>
      </c>
      <c r="H516">
        <v>1302.27</v>
      </c>
      <c r="I516">
        <v>130.31</v>
      </c>
      <c r="J516">
        <v>1171.96</v>
      </c>
      <c r="K516">
        <v>281</v>
      </c>
      <c r="L516" s="11" t="s">
        <v>308</v>
      </c>
      <c r="M516">
        <f t="shared" si="41"/>
        <v>3</v>
      </c>
      <c r="N516">
        <f t="shared" si="42"/>
        <v>5</v>
      </c>
      <c r="O516">
        <f t="shared" si="43"/>
        <v>2024</v>
      </c>
      <c r="P516" s="4">
        <f t="shared" si="44"/>
        <v>45415</v>
      </c>
      <c r="Q516" t="s">
        <v>1139</v>
      </c>
      <c r="R516" t="s">
        <v>1135</v>
      </c>
      <c r="S516">
        <v>3</v>
      </c>
      <c r="T516" t="s">
        <v>1144</v>
      </c>
      <c r="U516" s="11" t="str">
        <f t="shared" si="40"/>
        <v>01:40:47 AM</v>
      </c>
      <c r="AC516" s="4">
        <v>45694</v>
      </c>
      <c r="AD516" s="25">
        <v>11097.1</v>
      </c>
      <c r="BL516" s="2" t="s">
        <v>1666</v>
      </c>
      <c r="BM516" s="4">
        <v>45682</v>
      </c>
      <c r="BN516" s="25">
        <v>4208.1000000000004</v>
      </c>
    </row>
    <row r="517" spans="1:66" x14ac:dyDescent="0.35">
      <c r="A517">
        <v>7690</v>
      </c>
      <c r="B517" t="s">
        <v>31</v>
      </c>
      <c r="C517" s="1">
        <v>45403</v>
      </c>
      <c r="D517" t="s">
        <v>4</v>
      </c>
      <c r="E517" t="s">
        <v>22</v>
      </c>
      <c r="F517">
        <v>4</v>
      </c>
      <c r="G517">
        <v>2011.09</v>
      </c>
      <c r="H517">
        <v>8044.36</v>
      </c>
      <c r="I517">
        <v>804.27</v>
      </c>
      <c r="J517">
        <v>7240.09</v>
      </c>
      <c r="K517">
        <v>229</v>
      </c>
      <c r="L517" s="11" t="s">
        <v>309</v>
      </c>
      <c r="M517">
        <f t="shared" si="41"/>
        <v>21</v>
      </c>
      <c r="N517">
        <f t="shared" si="42"/>
        <v>4</v>
      </c>
      <c r="O517">
        <f t="shared" si="43"/>
        <v>2024</v>
      </c>
      <c r="P517" s="4">
        <f t="shared" si="44"/>
        <v>45403</v>
      </c>
      <c r="Q517" t="s">
        <v>1134</v>
      </c>
      <c r="R517" t="s">
        <v>1137</v>
      </c>
      <c r="S517">
        <v>1</v>
      </c>
      <c r="T517" t="s">
        <v>1149</v>
      </c>
      <c r="U517" s="11" t="str">
        <f t="shared" si="40"/>
        <v>01:48:02 AM</v>
      </c>
      <c r="AC517" s="4">
        <v>45695</v>
      </c>
      <c r="AD517" s="25">
        <v>2725.7200000000003</v>
      </c>
      <c r="BL517" s="2" t="s">
        <v>1667</v>
      </c>
      <c r="BM517" s="4">
        <v>45683</v>
      </c>
      <c r="BN517" s="25">
        <v>21677.11</v>
      </c>
    </row>
    <row r="518" spans="1:66" x14ac:dyDescent="0.35">
      <c r="A518">
        <v>6260</v>
      </c>
      <c r="B518" t="s">
        <v>15</v>
      </c>
      <c r="C518" s="1">
        <v>45665</v>
      </c>
      <c r="D518" t="s">
        <v>11</v>
      </c>
      <c r="E518" t="s">
        <v>38</v>
      </c>
      <c r="F518">
        <v>4</v>
      </c>
      <c r="G518">
        <v>1875.8</v>
      </c>
      <c r="H518">
        <v>7503.2</v>
      </c>
      <c r="I518">
        <v>750.32</v>
      </c>
      <c r="J518">
        <v>6752.88</v>
      </c>
      <c r="K518">
        <v>9</v>
      </c>
      <c r="L518" s="11" t="s">
        <v>310</v>
      </c>
      <c r="M518">
        <f t="shared" si="41"/>
        <v>8</v>
      </c>
      <c r="N518">
        <f t="shared" si="42"/>
        <v>1</v>
      </c>
      <c r="O518">
        <f t="shared" si="43"/>
        <v>2025</v>
      </c>
      <c r="P518" s="4">
        <f t="shared" si="44"/>
        <v>45665</v>
      </c>
      <c r="Q518" t="s">
        <v>1136</v>
      </c>
      <c r="R518" t="s">
        <v>1137</v>
      </c>
      <c r="S518">
        <v>4</v>
      </c>
      <c r="T518" t="s">
        <v>1147</v>
      </c>
      <c r="U518" s="11" t="str">
        <f t="shared" si="40"/>
        <v>12:30:07 PM</v>
      </c>
      <c r="AC518" s="4">
        <v>45696</v>
      </c>
      <c r="AD518" s="25">
        <v>5678.03</v>
      </c>
      <c r="BL518" s="2" t="s">
        <v>1668</v>
      </c>
      <c r="BM518" s="4">
        <v>45684</v>
      </c>
      <c r="BN518" s="25">
        <v>14254.42</v>
      </c>
    </row>
    <row r="519" spans="1:66" x14ac:dyDescent="0.35">
      <c r="A519">
        <v>2713</v>
      </c>
      <c r="B519" t="s">
        <v>13</v>
      </c>
      <c r="C519" s="1">
        <v>45811</v>
      </c>
      <c r="D519" t="s">
        <v>1</v>
      </c>
      <c r="E519" t="s">
        <v>7</v>
      </c>
      <c r="F519">
        <v>5</v>
      </c>
      <c r="G519">
        <v>82.17</v>
      </c>
      <c r="H519">
        <v>410.85</v>
      </c>
      <c r="I519">
        <v>269.75</v>
      </c>
      <c r="J519">
        <v>141.1</v>
      </c>
      <c r="K519">
        <v>46</v>
      </c>
      <c r="L519" s="11" t="s">
        <v>311</v>
      </c>
      <c r="M519">
        <f t="shared" si="41"/>
        <v>3</v>
      </c>
      <c r="N519">
        <f t="shared" si="42"/>
        <v>6</v>
      </c>
      <c r="O519">
        <f t="shared" si="43"/>
        <v>2025</v>
      </c>
      <c r="P519" s="4">
        <f t="shared" si="44"/>
        <v>45811</v>
      </c>
      <c r="Q519" t="s">
        <v>1139</v>
      </c>
      <c r="R519" t="s">
        <v>1137</v>
      </c>
      <c r="S519">
        <v>4</v>
      </c>
      <c r="T519" t="s">
        <v>1141</v>
      </c>
      <c r="U519" s="11" t="str">
        <f t="shared" si="40"/>
        <v>11:49:55 AM</v>
      </c>
      <c r="AC519" s="4">
        <v>45697</v>
      </c>
      <c r="AD519" s="25">
        <v>23381.1</v>
      </c>
      <c r="BL519" s="2" t="s">
        <v>1669</v>
      </c>
      <c r="BM519" s="4">
        <v>45685</v>
      </c>
      <c r="BN519" s="25">
        <v>18203.560000000001</v>
      </c>
    </row>
    <row r="520" spans="1:66" x14ac:dyDescent="0.35">
      <c r="A520">
        <v>3634</v>
      </c>
      <c r="B520" t="s">
        <v>15</v>
      </c>
      <c r="C520" s="1">
        <v>45401</v>
      </c>
      <c r="D520" t="s">
        <v>11</v>
      </c>
      <c r="E520" t="s">
        <v>12</v>
      </c>
      <c r="F520">
        <v>1</v>
      </c>
      <c r="G520">
        <v>2047.61</v>
      </c>
      <c r="H520">
        <v>2047.61</v>
      </c>
      <c r="I520">
        <v>307.10000000000002</v>
      </c>
      <c r="J520">
        <v>1740.51</v>
      </c>
      <c r="K520">
        <v>432</v>
      </c>
      <c r="L520" s="11" t="s">
        <v>312</v>
      </c>
      <c r="M520">
        <f t="shared" si="41"/>
        <v>19</v>
      </c>
      <c r="N520">
        <f t="shared" si="42"/>
        <v>4</v>
      </c>
      <c r="O520">
        <f t="shared" si="43"/>
        <v>2024</v>
      </c>
      <c r="P520" s="4">
        <f t="shared" si="44"/>
        <v>45401</v>
      </c>
      <c r="Q520" t="s">
        <v>1136</v>
      </c>
      <c r="R520" t="s">
        <v>1135</v>
      </c>
      <c r="S520">
        <v>1</v>
      </c>
      <c r="T520" t="s">
        <v>1149</v>
      </c>
      <c r="U520" s="11" t="str">
        <f t="shared" si="40"/>
        <v>03:39:01 AM</v>
      </c>
      <c r="AC520" s="4">
        <v>45698</v>
      </c>
      <c r="AD520" s="25">
        <v>10023.91</v>
      </c>
      <c r="BL520" s="2" t="s">
        <v>1670</v>
      </c>
      <c r="BM520" s="4">
        <v>45686</v>
      </c>
      <c r="BN520" s="25">
        <v>14823.8</v>
      </c>
    </row>
    <row r="521" spans="1:66" x14ac:dyDescent="0.35">
      <c r="A521">
        <v>7744</v>
      </c>
      <c r="B521" t="s">
        <v>3</v>
      </c>
      <c r="C521" s="1">
        <v>45683</v>
      </c>
      <c r="D521" t="s">
        <v>17</v>
      </c>
      <c r="E521" t="s">
        <v>37</v>
      </c>
      <c r="F521">
        <v>3</v>
      </c>
      <c r="G521">
        <v>1805.25</v>
      </c>
      <c r="H521">
        <v>5415.75</v>
      </c>
      <c r="I521">
        <v>0</v>
      </c>
      <c r="J521">
        <v>5415.75</v>
      </c>
      <c r="K521">
        <v>58</v>
      </c>
      <c r="L521" s="11" t="s">
        <v>313</v>
      </c>
      <c r="M521">
        <f t="shared" si="41"/>
        <v>26</v>
      </c>
      <c r="N521">
        <f t="shared" si="42"/>
        <v>1</v>
      </c>
      <c r="O521">
        <f t="shared" si="43"/>
        <v>2025</v>
      </c>
      <c r="P521" s="4">
        <f t="shared" si="44"/>
        <v>45683</v>
      </c>
      <c r="Q521" t="s">
        <v>1139</v>
      </c>
      <c r="R521" t="s">
        <v>1137</v>
      </c>
      <c r="S521">
        <v>2</v>
      </c>
      <c r="T521" t="s">
        <v>1148</v>
      </c>
      <c r="U521" s="11" t="str">
        <f t="shared" si="40"/>
        <v>10:36:12 AM</v>
      </c>
      <c r="AC521" s="4">
        <v>45699</v>
      </c>
      <c r="AD521" s="25">
        <v>10922.8</v>
      </c>
      <c r="BL521" s="2" t="s">
        <v>1671</v>
      </c>
      <c r="BM521" s="4">
        <v>45687</v>
      </c>
      <c r="BN521" s="25">
        <v>1516.41</v>
      </c>
    </row>
    <row r="522" spans="1:66" x14ac:dyDescent="0.35">
      <c r="A522">
        <v>9117</v>
      </c>
      <c r="B522" t="s">
        <v>31</v>
      </c>
      <c r="C522" s="1">
        <v>45368</v>
      </c>
      <c r="D522" t="s">
        <v>1</v>
      </c>
      <c r="E522" t="s">
        <v>10</v>
      </c>
      <c r="F522">
        <v>3</v>
      </c>
      <c r="G522">
        <v>2079.98</v>
      </c>
      <c r="H522">
        <v>6239.94</v>
      </c>
      <c r="I522">
        <v>256.47000000000003</v>
      </c>
      <c r="J522">
        <v>5983.47</v>
      </c>
      <c r="K522">
        <v>493</v>
      </c>
      <c r="L522" s="11" t="s">
        <v>314</v>
      </c>
      <c r="M522">
        <f t="shared" si="41"/>
        <v>17</v>
      </c>
      <c r="N522">
        <f t="shared" si="42"/>
        <v>3</v>
      </c>
      <c r="O522">
        <f t="shared" si="43"/>
        <v>2024</v>
      </c>
      <c r="P522" s="4">
        <f t="shared" si="44"/>
        <v>45368</v>
      </c>
      <c r="Q522" t="s">
        <v>1136</v>
      </c>
      <c r="R522" t="s">
        <v>1137</v>
      </c>
      <c r="S522">
        <v>4</v>
      </c>
      <c r="T522" t="s">
        <v>1147</v>
      </c>
      <c r="U522" s="11" t="str">
        <f t="shared" si="40"/>
        <v>08:03:17 PM</v>
      </c>
      <c r="AC522" s="4">
        <v>45700</v>
      </c>
      <c r="AD522" s="25">
        <v>1646.72</v>
      </c>
      <c r="BL522" s="2" t="s">
        <v>1672</v>
      </c>
      <c r="BM522" s="4">
        <v>45688</v>
      </c>
      <c r="BN522" s="25">
        <v>6913.07</v>
      </c>
    </row>
    <row r="523" spans="1:66" x14ac:dyDescent="0.35">
      <c r="A523">
        <v>7561</v>
      </c>
      <c r="B523" t="s">
        <v>0</v>
      </c>
      <c r="C523" s="1">
        <v>45776</v>
      </c>
      <c r="D523" t="s">
        <v>1</v>
      </c>
      <c r="E523" t="s">
        <v>18</v>
      </c>
      <c r="F523">
        <v>4</v>
      </c>
      <c r="G523">
        <v>419.98</v>
      </c>
      <c r="H523">
        <v>1679.92</v>
      </c>
      <c r="I523">
        <v>167.66</v>
      </c>
      <c r="J523">
        <v>1512.26</v>
      </c>
      <c r="K523">
        <v>367</v>
      </c>
      <c r="L523" s="11" t="s">
        <v>315</v>
      </c>
      <c r="M523">
        <f t="shared" si="41"/>
        <v>29</v>
      </c>
      <c r="N523">
        <f t="shared" si="42"/>
        <v>4</v>
      </c>
      <c r="O523">
        <f t="shared" si="43"/>
        <v>2025</v>
      </c>
      <c r="P523" s="4">
        <f t="shared" si="44"/>
        <v>45776</v>
      </c>
      <c r="Q523" t="s">
        <v>1134</v>
      </c>
      <c r="R523" t="s">
        <v>1135</v>
      </c>
      <c r="S523">
        <v>5</v>
      </c>
      <c r="T523" t="s">
        <v>1144</v>
      </c>
      <c r="U523" s="11" t="str">
        <f t="shared" si="40"/>
        <v>04:07:24 PM</v>
      </c>
      <c r="AC523" s="4">
        <v>45701</v>
      </c>
      <c r="AD523" s="25">
        <v>4047.08</v>
      </c>
      <c r="BL523" s="2" t="s">
        <v>1673</v>
      </c>
      <c r="BM523" s="4">
        <v>45689</v>
      </c>
      <c r="BN523" s="25">
        <v>6441.63</v>
      </c>
    </row>
    <row r="524" spans="1:66" x14ac:dyDescent="0.35">
      <c r="A524">
        <v>1601</v>
      </c>
      <c r="B524" t="s">
        <v>31</v>
      </c>
      <c r="C524" s="1">
        <v>45498</v>
      </c>
      <c r="D524" t="s">
        <v>6</v>
      </c>
      <c r="E524" t="s">
        <v>38</v>
      </c>
      <c r="F524">
        <v>4</v>
      </c>
      <c r="G524">
        <v>600.91999999999996</v>
      </c>
      <c r="H524">
        <v>2403.6799999999998</v>
      </c>
      <c r="I524">
        <v>0</v>
      </c>
      <c r="J524">
        <v>2403.6799999999998</v>
      </c>
      <c r="K524">
        <v>422</v>
      </c>
      <c r="L524" s="11" t="s">
        <v>316</v>
      </c>
      <c r="M524">
        <f t="shared" si="41"/>
        <v>25</v>
      </c>
      <c r="N524">
        <f t="shared" si="42"/>
        <v>7</v>
      </c>
      <c r="O524">
        <f t="shared" si="43"/>
        <v>2024</v>
      </c>
      <c r="P524" s="4">
        <f t="shared" si="44"/>
        <v>45498</v>
      </c>
      <c r="Q524" t="s">
        <v>1139</v>
      </c>
      <c r="R524" t="s">
        <v>1135</v>
      </c>
      <c r="S524">
        <v>4</v>
      </c>
      <c r="T524" t="s">
        <v>1148</v>
      </c>
      <c r="U524" s="11" t="str">
        <f t="shared" si="40"/>
        <v>12:50:40 AM</v>
      </c>
      <c r="AC524" s="4">
        <v>45702</v>
      </c>
      <c r="AD524" s="25">
        <v>9772.42</v>
      </c>
      <c r="BL524" s="2" t="s">
        <v>1674</v>
      </c>
      <c r="BM524" s="4">
        <v>45690</v>
      </c>
      <c r="BN524" s="25">
        <v>5337.73</v>
      </c>
    </row>
    <row r="525" spans="1:66" x14ac:dyDescent="0.35">
      <c r="A525">
        <v>2442</v>
      </c>
      <c r="B525" t="s">
        <v>25</v>
      </c>
      <c r="C525" s="1">
        <v>45389</v>
      </c>
      <c r="D525" t="s">
        <v>4</v>
      </c>
      <c r="E525" t="s">
        <v>5</v>
      </c>
      <c r="F525">
        <v>1</v>
      </c>
      <c r="G525">
        <v>2312.38</v>
      </c>
      <c r="H525">
        <v>2312.38</v>
      </c>
      <c r="I525">
        <v>231.57</v>
      </c>
      <c r="J525">
        <v>2080.81</v>
      </c>
      <c r="K525">
        <v>428</v>
      </c>
      <c r="L525" s="11" t="s">
        <v>317</v>
      </c>
      <c r="M525">
        <f t="shared" si="41"/>
        <v>7</v>
      </c>
      <c r="N525">
        <f t="shared" si="42"/>
        <v>4</v>
      </c>
      <c r="O525">
        <f t="shared" si="43"/>
        <v>2024</v>
      </c>
      <c r="P525" s="4">
        <f t="shared" si="44"/>
        <v>45389</v>
      </c>
      <c r="Q525" t="s">
        <v>1134</v>
      </c>
      <c r="R525" t="s">
        <v>1137</v>
      </c>
      <c r="S525">
        <v>5</v>
      </c>
      <c r="T525" t="s">
        <v>1149</v>
      </c>
      <c r="U525" s="11" t="str">
        <f t="shared" si="40"/>
        <v>06:00:43 PM</v>
      </c>
      <c r="AC525" s="4">
        <v>45703</v>
      </c>
      <c r="AD525" s="25">
        <v>10022.25</v>
      </c>
      <c r="BL525" s="2" t="s">
        <v>1675</v>
      </c>
      <c r="BM525" s="4">
        <v>45691</v>
      </c>
      <c r="BN525" s="25">
        <v>30245.200000000001</v>
      </c>
    </row>
    <row r="526" spans="1:66" x14ac:dyDescent="0.35">
      <c r="A526">
        <v>5135</v>
      </c>
      <c r="B526" t="s">
        <v>15</v>
      </c>
      <c r="C526" s="1">
        <v>45396</v>
      </c>
      <c r="D526" t="s">
        <v>16</v>
      </c>
      <c r="E526" t="s">
        <v>36</v>
      </c>
      <c r="F526">
        <v>2</v>
      </c>
      <c r="G526">
        <v>2402.02</v>
      </c>
      <c r="H526">
        <v>4804.04</v>
      </c>
      <c r="I526">
        <v>393.42</v>
      </c>
      <c r="J526">
        <v>4410.62</v>
      </c>
      <c r="K526">
        <v>2</v>
      </c>
      <c r="L526" s="11" t="s">
        <v>318</v>
      </c>
      <c r="M526">
        <f t="shared" si="41"/>
        <v>14</v>
      </c>
      <c r="N526">
        <f t="shared" si="42"/>
        <v>4</v>
      </c>
      <c r="O526">
        <f t="shared" si="43"/>
        <v>2024</v>
      </c>
      <c r="P526" s="4">
        <f t="shared" si="44"/>
        <v>45396</v>
      </c>
      <c r="Q526" t="s">
        <v>1139</v>
      </c>
      <c r="R526" t="s">
        <v>1137</v>
      </c>
      <c r="S526">
        <v>1</v>
      </c>
      <c r="T526" t="s">
        <v>1148</v>
      </c>
      <c r="U526" s="11" t="str">
        <f t="shared" si="40"/>
        <v>05:52:29 PM</v>
      </c>
      <c r="AC526" s="4">
        <v>45704</v>
      </c>
      <c r="AD526" s="25">
        <v>7565.45</v>
      </c>
      <c r="BL526" s="2" t="s">
        <v>1676</v>
      </c>
      <c r="BM526" s="4">
        <v>45692</v>
      </c>
      <c r="BN526" s="25">
        <v>10956.83</v>
      </c>
    </row>
    <row r="527" spans="1:66" x14ac:dyDescent="0.35">
      <c r="A527">
        <v>2899</v>
      </c>
      <c r="B527" t="s">
        <v>15</v>
      </c>
      <c r="C527" s="1">
        <v>45745</v>
      </c>
      <c r="D527" t="s">
        <v>27</v>
      </c>
      <c r="E527" t="s">
        <v>18</v>
      </c>
      <c r="F527">
        <v>5</v>
      </c>
      <c r="G527">
        <v>500.49</v>
      </c>
      <c r="H527">
        <v>2502.4499999999998</v>
      </c>
      <c r="I527">
        <v>211.65</v>
      </c>
      <c r="J527">
        <v>2290.8000000000002</v>
      </c>
      <c r="K527">
        <v>417</v>
      </c>
      <c r="L527" s="11" t="s">
        <v>319</v>
      </c>
      <c r="M527">
        <f t="shared" si="41"/>
        <v>29</v>
      </c>
      <c r="N527">
        <f t="shared" si="42"/>
        <v>3</v>
      </c>
      <c r="O527">
        <f t="shared" si="43"/>
        <v>2025</v>
      </c>
      <c r="P527" s="4">
        <f t="shared" si="44"/>
        <v>45745</v>
      </c>
      <c r="Q527" t="s">
        <v>1134</v>
      </c>
      <c r="R527" t="s">
        <v>1135</v>
      </c>
      <c r="S527">
        <v>1</v>
      </c>
      <c r="T527" t="s">
        <v>1144</v>
      </c>
      <c r="U527" s="11" t="str">
        <f t="shared" si="40"/>
        <v>09:22:36 AM</v>
      </c>
      <c r="AC527" s="4">
        <v>45705</v>
      </c>
      <c r="AD527" s="25">
        <v>15827.27</v>
      </c>
      <c r="BL527" s="2" t="s">
        <v>1677</v>
      </c>
      <c r="BM527" s="4">
        <v>45693</v>
      </c>
      <c r="BN527" s="25">
        <v>4558.3600000000006</v>
      </c>
    </row>
    <row r="528" spans="1:66" x14ac:dyDescent="0.35">
      <c r="A528">
        <v>7622</v>
      </c>
      <c r="B528" t="s">
        <v>25</v>
      </c>
      <c r="C528" s="1">
        <v>45816</v>
      </c>
      <c r="D528" t="s">
        <v>27</v>
      </c>
      <c r="E528" t="s">
        <v>21</v>
      </c>
      <c r="F528">
        <v>4</v>
      </c>
      <c r="G528">
        <v>2440.1999999999998</v>
      </c>
      <c r="H528">
        <v>9760.7999999999993</v>
      </c>
      <c r="I528">
        <v>1464.12</v>
      </c>
      <c r="J528">
        <v>8296.68</v>
      </c>
      <c r="K528">
        <v>468</v>
      </c>
      <c r="L528" s="11" t="s">
        <v>320</v>
      </c>
      <c r="M528">
        <f t="shared" si="41"/>
        <v>8</v>
      </c>
      <c r="N528">
        <f t="shared" si="42"/>
        <v>6</v>
      </c>
      <c r="O528">
        <f t="shared" si="43"/>
        <v>2025</v>
      </c>
      <c r="P528" s="4">
        <f t="shared" si="44"/>
        <v>45816</v>
      </c>
      <c r="Q528" t="s">
        <v>1134</v>
      </c>
      <c r="R528" t="s">
        <v>1135</v>
      </c>
      <c r="S528">
        <v>4</v>
      </c>
      <c r="T528" t="s">
        <v>1145</v>
      </c>
      <c r="U528" s="11" t="str">
        <f t="shared" si="40"/>
        <v>06:50:03 PM</v>
      </c>
      <c r="AC528" s="4">
        <v>45706</v>
      </c>
      <c r="AD528" s="25">
        <v>5473.02</v>
      </c>
      <c r="BL528" s="2" t="s">
        <v>1678</v>
      </c>
      <c r="BM528" s="4">
        <v>45694</v>
      </c>
      <c r="BN528" s="25">
        <v>11097.1</v>
      </c>
    </row>
    <row r="529" spans="1:66" x14ac:dyDescent="0.35">
      <c r="A529">
        <v>9431</v>
      </c>
      <c r="B529" t="s">
        <v>13</v>
      </c>
      <c r="C529" s="1">
        <v>45785</v>
      </c>
      <c r="D529" t="s">
        <v>11</v>
      </c>
      <c r="E529" t="s">
        <v>26</v>
      </c>
      <c r="F529">
        <v>4</v>
      </c>
      <c r="G529">
        <v>2019.39</v>
      </c>
      <c r="H529">
        <v>8077.56</v>
      </c>
      <c r="I529">
        <v>315.39999999999998</v>
      </c>
      <c r="J529">
        <v>7762.16</v>
      </c>
      <c r="K529">
        <v>70</v>
      </c>
      <c r="L529" s="11" t="s">
        <v>321</v>
      </c>
      <c r="M529">
        <f t="shared" si="41"/>
        <v>8</v>
      </c>
      <c r="N529">
        <f t="shared" si="42"/>
        <v>5</v>
      </c>
      <c r="O529">
        <f t="shared" si="43"/>
        <v>2025</v>
      </c>
      <c r="P529" s="4">
        <f t="shared" si="44"/>
        <v>45785</v>
      </c>
      <c r="Q529" t="s">
        <v>1139</v>
      </c>
      <c r="R529" t="s">
        <v>1137</v>
      </c>
      <c r="S529">
        <v>3</v>
      </c>
      <c r="T529" t="s">
        <v>1142</v>
      </c>
      <c r="U529" s="11" t="str">
        <f t="shared" si="40"/>
        <v>10:26:04 PM</v>
      </c>
      <c r="AC529" s="4">
        <v>45707</v>
      </c>
      <c r="AD529" s="25">
        <v>6792.7199999999993</v>
      </c>
      <c r="BL529" s="2" t="s">
        <v>1679</v>
      </c>
      <c r="BM529" s="4">
        <v>45695</v>
      </c>
      <c r="BN529" s="25">
        <v>2725.7200000000003</v>
      </c>
    </row>
    <row r="530" spans="1:66" x14ac:dyDescent="0.35">
      <c r="A530">
        <v>1018</v>
      </c>
      <c r="B530" t="s">
        <v>3</v>
      </c>
      <c r="C530" s="1">
        <v>45655</v>
      </c>
      <c r="D530" t="s">
        <v>24</v>
      </c>
      <c r="E530" t="s">
        <v>7</v>
      </c>
      <c r="F530">
        <v>3</v>
      </c>
      <c r="G530">
        <v>1795.29</v>
      </c>
      <c r="H530">
        <v>5385.87</v>
      </c>
      <c r="I530">
        <v>1077.3399999999999</v>
      </c>
      <c r="J530">
        <v>4308.53</v>
      </c>
      <c r="K530">
        <v>478</v>
      </c>
      <c r="L530" s="11" t="s">
        <v>322</v>
      </c>
      <c r="M530">
        <f t="shared" si="41"/>
        <v>29</v>
      </c>
      <c r="N530">
        <f t="shared" si="42"/>
        <v>12</v>
      </c>
      <c r="O530">
        <f t="shared" si="43"/>
        <v>2024</v>
      </c>
      <c r="P530" s="4">
        <f t="shared" si="44"/>
        <v>45655</v>
      </c>
      <c r="Q530" t="s">
        <v>1139</v>
      </c>
      <c r="R530" t="s">
        <v>1137</v>
      </c>
      <c r="S530">
        <v>5</v>
      </c>
      <c r="T530" t="s">
        <v>1141</v>
      </c>
      <c r="U530" s="11" t="str">
        <f t="shared" si="40"/>
        <v>01:48:51 PM</v>
      </c>
      <c r="AC530" s="4">
        <v>45708</v>
      </c>
      <c r="AD530" s="25">
        <v>1167.81</v>
      </c>
      <c r="BL530" s="2" t="s">
        <v>1680</v>
      </c>
      <c r="BM530" s="4">
        <v>45696</v>
      </c>
      <c r="BN530" s="25">
        <v>5678.03</v>
      </c>
    </row>
    <row r="531" spans="1:66" x14ac:dyDescent="0.35">
      <c r="A531">
        <v>9889</v>
      </c>
      <c r="B531" t="s">
        <v>31</v>
      </c>
      <c r="C531" s="1">
        <v>45503</v>
      </c>
      <c r="D531" t="s">
        <v>17</v>
      </c>
      <c r="E531" t="s">
        <v>26</v>
      </c>
      <c r="F531">
        <v>3</v>
      </c>
      <c r="G531">
        <v>2299.1</v>
      </c>
      <c r="H531">
        <v>6897.3</v>
      </c>
      <c r="I531">
        <v>263.11</v>
      </c>
      <c r="J531">
        <v>6634.19</v>
      </c>
      <c r="K531">
        <v>67</v>
      </c>
      <c r="L531" s="11" t="s">
        <v>323</v>
      </c>
      <c r="M531">
        <f t="shared" si="41"/>
        <v>30</v>
      </c>
      <c r="N531">
        <f t="shared" si="42"/>
        <v>7</v>
      </c>
      <c r="O531">
        <f t="shared" si="43"/>
        <v>2024</v>
      </c>
      <c r="P531" s="4">
        <f t="shared" si="44"/>
        <v>45503</v>
      </c>
      <c r="Q531" t="s">
        <v>1139</v>
      </c>
      <c r="R531" t="s">
        <v>1137</v>
      </c>
      <c r="S531">
        <v>2</v>
      </c>
      <c r="T531" t="s">
        <v>1148</v>
      </c>
      <c r="U531" s="11" t="str">
        <f t="shared" si="40"/>
        <v>06:29:33 AM</v>
      </c>
      <c r="AC531" s="4">
        <v>45709</v>
      </c>
      <c r="AD531" s="25">
        <v>12757.93</v>
      </c>
      <c r="BL531" s="2" t="s">
        <v>1681</v>
      </c>
      <c r="BM531" s="4">
        <v>45697</v>
      </c>
      <c r="BN531" s="25">
        <v>23381.1</v>
      </c>
    </row>
    <row r="532" spans="1:66" x14ac:dyDescent="0.35">
      <c r="A532">
        <v>7770</v>
      </c>
      <c r="B532" t="s">
        <v>25</v>
      </c>
      <c r="C532" s="1">
        <v>45187</v>
      </c>
      <c r="D532" t="s">
        <v>4</v>
      </c>
      <c r="E532" t="s">
        <v>12</v>
      </c>
      <c r="F532">
        <v>5</v>
      </c>
      <c r="G532">
        <v>1238.3599999999999</v>
      </c>
      <c r="H532">
        <v>6191.8</v>
      </c>
      <c r="I532">
        <v>0</v>
      </c>
      <c r="J532">
        <v>6191.8</v>
      </c>
      <c r="K532">
        <v>292</v>
      </c>
      <c r="L532" s="11" t="s">
        <v>324</v>
      </c>
      <c r="M532">
        <f t="shared" si="41"/>
        <v>18</v>
      </c>
      <c r="N532">
        <f t="shared" si="42"/>
        <v>9</v>
      </c>
      <c r="O532">
        <f t="shared" si="43"/>
        <v>2023</v>
      </c>
      <c r="P532" s="4">
        <f t="shared" si="44"/>
        <v>45187</v>
      </c>
      <c r="Q532" t="s">
        <v>1138</v>
      </c>
      <c r="R532" t="s">
        <v>1137</v>
      </c>
      <c r="S532">
        <v>4</v>
      </c>
      <c r="T532" t="s">
        <v>1144</v>
      </c>
      <c r="U532" s="11" t="str">
        <f t="shared" si="40"/>
        <v>11:52:06 AM</v>
      </c>
      <c r="AC532" s="4">
        <v>45710</v>
      </c>
      <c r="AD532" s="25">
        <v>5934.5</v>
      </c>
      <c r="BL532" s="2" t="s">
        <v>1682</v>
      </c>
      <c r="BM532" s="4">
        <v>45698</v>
      </c>
      <c r="BN532" s="25">
        <v>10023.91</v>
      </c>
    </row>
    <row r="533" spans="1:66" x14ac:dyDescent="0.35">
      <c r="A533">
        <v>4073</v>
      </c>
      <c r="B533" t="s">
        <v>3</v>
      </c>
      <c r="C533" s="1">
        <v>45547</v>
      </c>
      <c r="D533" t="s">
        <v>24</v>
      </c>
      <c r="E533" t="s">
        <v>5</v>
      </c>
      <c r="F533">
        <v>1</v>
      </c>
      <c r="G533">
        <v>1340.45</v>
      </c>
      <c r="H533">
        <v>1340.45</v>
      </c>
      <c r="I533">
        <v>268.08999999999997</v>
      </c>
      <c r="J533">
        <v>1072.3599999999999</v>
      </c>
      <c r="K533">
        <v>12</v>
      </c>
      <c r="L533" s="11" t="s">
        <v>325</v>
      </c>
      <c r="M533">
        <f t="shared" si="41"/>
        <v>12</v>
      </c>
      <c r="N533">
        <f t="shared" si="42"/>
        <v>9</v>
      </c>
      <c r="O533">
        <f t="shared" si="43"/>
        <v>2024</v>
      </c>
      <c r="P533" s="4">
        <f t="shared" si="44"/>
        <v>45547</v>
      </c>
      <c r="Q533" t="s">
        <v>1136</v>
      </c>
      <c r="R533" t="s">
        <v>1135</v>
      </c>
      <c r="S533">
        <v>2</v>
      </c>
      <c r="T533" t="s">
        <v>1145</v>
      </c>
      <c r="U533" s="11" t="str">
        <f t="shared" si="40"/>
        <v>11:09:46 PM</v>
      </c>
      <c r="AC533" s="4">
        <v>45711</v>
      </c>
      <c r="AD533" s="25">
        <v>9702.7000000000007</v>
      </c>
      <c r="BL533" s="2" t="s">
        <v>1683</v>
      </c>
      <c r="BM533" s="4">
        <v>45699</v>
      </c>
      <c r="BN533" s="25">
        <v>10922.8</v>
      </c>
    </row>
    <row r="534" spans="1:66" x14ac:dyDescent="0.35">
      <c r="A534">
        <v>6927</v>
      </c>
      <c r="B534" t="s">
        <v>20</v>
      </c>
      <c r="C534" s="1">
        <v>45628</v>
      </c>
      <c r="D534" t="s">
        <v>16</v>
      </c>
      <c r="E534" t="s">
        <v>29</v>
      </c>
      <c r="F534">
        <v>2</v>
      </c>
      <c r="G534">
        <v>724.59</v>
      </c>
      <c r="H534">
        <v>1449.18</v>
      </c>
      <c r="I534">
        <v>217.46</v>
      </c>
      <c r="J534">
        <v>1231.72</v>
      </c>
      <c r="K534">
        <v>402</v>
      </c>
      <c r="L534" s="11" t="s">
        <v>326</v>
      </c>
      <c r="M534">
        <f t="shared" si="41"/>
        <v>2</v>
      </c>
      <c r="N534">
        <f t="shared" si="42"/>
        <v>12</v>
      </c>
      <c r="O534">
        <f t="shared" si="43"/>
        <v>2024</v>
      </c>
      <c r="P534" s="4">
        <f t="shared" si="44"/>
        <v>45628</v>
      </c>
      <c r="Q534" t="s">
        <v>1138</v>
      </c>
      <c r="R534" t="s">
        <v>1137</v>
      </c>
      <c r="S534">
        <v>4</v>
      </c>
      <c r="T534" t="s">
        <v>1146</v>
      </c>
      <c r="U534" s="11" t="str">
        <f t="shared" si="40"/>
        <v>12:42:47 PM</v>
      </c>
      <c r="AC534" s="4">
        <v>45712</v>
      </c>
      <c r="AD534" s="25">
        <v>2626.12</v>
      </c>
      <c r="BL534" s="2" t="s">
        <v>1684</v>
      </c>
      <c r="BM534" s="4">
        <v>45700</v>
      </c>
      <c r="BN534" s="25">
        <v>1646.72</v>
      </c>
    </row>
    <row r="535" spans="1:66" x14ac:dyDescent="0.35">
      <c r="A535">
        <v>9167</v>
      </c>
      <c r="B535" t="s">
        <v>19</v>
      </c>
      <c r="C535" s="1">
        <v>45630</v>
      </c>
      <c r="D535" t="s">
        <v>23</v>
      </c>
      <c r="E535" t="s">
        <v>29</v>
      </c>
      <c r="F535">
        <v>3</v>
      </c>
      <c r="G535">
        <v>573.53</v>
      </c>
      <c r="H535">
        <v>1720.59</v>
      </c>
      <c r="I535">
        <v>258.13</v>
      </c>
      <c r="J535">
        <v>1462.46</v>
      </c>
      <c r="K535">
        <v>277</v>
      </c>
      <c r="L535" s="11" t="s">
        <v>327</v>
      </c>
      <c r="M535">
        <f t="shared" si="41"/>
        <v>4</v>
      </c>
      <c r="N535">
        <f t="shared" si="42"/>
        <v>12</v>
      </c>
      <c r="O535">
        <f t="shared" si="43"/>
        <v>2024</v>
      </c>
      <c r="P535" s="4">
        <f t="shared" si="44"/>
        <v>45630</v>
      </c>
      <c r="Q535" t="s">
        <v>1138</v>
      </c>
      <c r="R535" t="s">
        <v>1137</v>
      </c>
      <c r="S535">
        <v>3</v>
      </c>
      <c r="T535" t="s">
        <v>1149</v>
      </c>
      <c r="U535" s="11" t="str">
        <f t="shared" si="40"/>
        <v>04:15:46 PM</v>
      </c>
      <c r="AC535" s="4">
        <v>45713</v>
      </c>
      <c r="AD535" s="25">
        <v>4682.0300000000007</v>
      </c>
      <c r="BL535" s="2" t="s">
        <v>1685</v>
      </c>
      <c r="BM535" s="4">
        <v>45701</v>
      </c>
      <c r="BN535" s="25">
        <v>4047.08</v>
      </c>
    </row>
    <row r="536" spans="1:66" x14ac:dyDescent="0.35">
      <c r="A536">
        <v>8242</v>
      </c>
      <c r="B536" t="s">
        <v>15</v>
      </c>
      <c r="C536" s="1">
        <v>45735</v>
      </c>
      <c r="D536" t="s">
        <v>4</v>
      </c>
      <c r="E536" t="s">
        <v>7</v>
      </c>
      <c r="F536">
        <v>2</v>
      </c>
      <c r="G536">
        <v>1869.16</v>
      </c>
      <c r="H536">
        <v>3738.32</v>
      </c>
      <c r="I536">
        <v>747.83</v>
      </c>
      <c r="J536">
        <v>2990.49</v>
      </c>
      <c r="K536">
        <v>287</v>
      </c>
      <c r="L536" s="11" t="s">
        <v>328</v>
      </c>
      <c r="M536">
        <f t="shared" si="41"/>
        <v>19</v>
      </c>
      <c r="N536">
        <f t="shared" si="42"/>
        <v>3</v>
      </c>
      <c r="O536">
        <f t="shared" si="43"/>
        <v>2025</v>
      </c>
      <c r="P536" s="4">
        <f t="shared" si="44"/>
        <v>45735</v>
      </c>
      <c r="Q536" t="s">
        <v>1134</v>
      </c>
      <c r="R536" t="s">
        <v>1135</v>
      </c>
      <c r="S536">
        <v>3</v>
      </c>
      <c r="T536" t="s">
        <v>1142</v>
      </c>
      <c r="U536" s="11" t="str">
        <f t="shared" si="40"/>
        <v>04:44:20 AM</v>
      </c>
      <c r="AC536" s="4">
        <v>45714</v>
      </c>
      <c r="AD536" s="25">
        <v>13304.9</v>
      </c>
      <c r="BL536" s="2" t="s">
        <v>1686</v>
      </c>
      <c r="BM536" s="4">
        <v>45702</v>
      </c>
      <c r="BN536" s="25">
        <v>9772.42</v>
      </c>
    </row>
    <row r="537" spans="1:66" x14ac:dyDescent="0.35">
      <c r="A537">
        <v>1845</v>
      </c>
      <c r="B537" t="s">
        <v>3</v>
      </c>
      <c r="C537" s="1">
        <v>45303</v>
      </c>
      <c r="D537" t="s">
        <v>24</v>
      </c>
      <c r="E537" t="s">
        <v>29</v>
      </c>
      <c r="F537">
        <v>4</v>
      </c>
      <c r="G537">
        <v>1015.09</v>
      </c>
      <c r="H537">
        <v>4060.36</v>
      </c>
      <c r="I537">
        <v>101.26</v>
      </c>
      <c r="J537">
        <v>3959.1</v>
      </c>
      <c r="K537">
        <v>489</v>
      </c>
      <c r="L537" s="11" t="s">
        <v>329</v>
      </c>
      <c r="M537">
        <f t="shared" si="41"/>
        <v>12</v>
      </c>
      <c r="N537">
        <f t="shared" si="42"/>
        <v>1</v>
      </c>
      <c r="O537">
        <f t="shared" si="43"/>
        <v>2024</v>
      </c>
      <c r="P537" s="4">
        <f t="shared" si="44"/>
        <v>45303</v>
      </c>
      <c r="Q537" t="s">
        <v>1139</v>
      </c>
      <c r="R537" t="s">
        <v>1137</v>
      </c>
      <c r="S537">
        <v>3</v>
      </c>
      <c r="T537" t="s">
        <v>1146</v>
      </c>
      <c r="U537" s="11" t="str">
        <f t="shared" si="40"/>
        <v>03:21:09 AM</v>
      </c>
      <c r="AC537" s="4">
        <v>45715</v>
      </c>
      <c r="AD537" s="25">
        <v>8846.14</v>
      </c>
      <c r="BL537" s="2" t="s">
        <v>1687</v>
      </c>
      <c r="BM537" s="4">
        <v>45703</v>
      </c>
      <c r="BN537" s="25">
        <v>10022.25</v>
      </c>
    </row>
    <row r="538" spans="1:66" x14ac:dyDescent="0.35">
      <c r="A538">
        <v>5375</v>
      </c>
      <c r="B538" t="s">
        <v>19</v>
      </c>
      <c r="C538" s="1">
        <v>45571</v>
      </c>
      <c r="D538" t="s">
        <v>6</v>
      </c>
      <c r="E538" t="s">
        <v>22</v>
      </c>
      <c r="F538">
        <v>2</v>
      </c>
      <c r="G538">
        <v>2275.86</v>
      </c>
      <c r="H538">
        <v>4551.72</v>
      </c>
      <c r="I538">
        <v>264.77</v>
      </c>
      <c r="J538">
        <v>4286.95</v>
      </c>
      <c r="K538">
        <v>360</v>
      </c>
      <c r="L538" s="11" t="s">
        <v>330</v>
      </c>
      <c r="M538">
        <f t="shared" si="41"/>
        <v>6</v>
      </c>
      <c r="N538">
        <f t="shared" si="42"/>
        <v>10</v>
      </c>
      <c r="O538">
        <f t="shared" si="43"/>
        <v>2024</v>
      </c>
      <c r="P538" s="4">
        <f t="shared" si="44"/>
        <v>45571</v>
      </c>
      <c r="Q538" t="s">
        <v>1136</v>
      </c>
      <c r="R538" t="s">
        <v>1135</v>
      </c>
      <c r="S538">
        <v>3</v>
      </c>
      <c r="T538" t="s">
        <v>1144</v>
      </c>
      <c r="U538" s="11" t="str">
        <f t="shared" si="40"/>
        <v>06:18:48 AM</v>
      </c>
      <c r="AC538" s="4">
        <v>45716</v>
      </c>
      <c r="AD538" s="25">
        <v>5426.54</v>
      </c>
      <c r="BL538" s="2" t="s">
        <v>1688</v>
      </c>
      <c r="BM538" s="4">
        <v>45704</v>
      </c>
      <c r="BN538" s="25">
        <v>7565.45</v>
      </c>
    </row>
    <row r="539" spans="1:66" x14ac:dyDescent="0.35">
      <c r="A539">
        <v>3146</v>
      </c>
      <c r="B539" t="s">
        <v>31</v>
      </c>
      <c r="C539" s="1">
        <v>45865</v>
      </c>
      <c r="D539" t="s">
        <v>6</v>
      </c>
      <c r="E539" t="s">
        <v>26</v>
      </c>
      <c r="F539">
        <v>4</v>
      </c>
      <c r="G539">
        <v>509.62</v>
      </c>
      <c r="H539">
        <v>2038.48</v>
      </c>
      <c r="I539">
        <v>407.53</v>
      </c>
      <c r="J539">
        <v>1630.95</v>
      </c>
      <c r="K539">
        <v>349</v>
      </c>
      <c r="L539" s="11" t="s">
        <v>331</v>
      </c>
      <c r="M539">
        <f t="shared" si="41"/>
        <v>27</v>
      </c>
      <c r="N539">
        <f t="shared" si="42"/>
        <v>7</v>
      </c>
      <c r="O539">
        <f t="shared" si="43"/>
        <v>2025</v>
      </c>
      <c r="P539" s="4">
        <f t="shared" si="44"/>
        <v>45865</v>
      </c>
      <c r="Q539" t="s">
        <v>1134</v>
      </c>
      <c r="R539" t="s">
        <v>1137</v>
      </c>
      <c r="S539">
        <v>1</v>
      </c>
      <c r="T539" t="s">
        <v>1141</v>
      </c>
      <c r="U539" s="11" t="str">
        <f t="shared" si="40"/>
        <v>05:58:55 PM</v>
      </c>
      <c r="AC539" s="4">
        <v>45717</v>
      </c>
      <c r="AD539" s="25">
        <v>13783.81</v>
      </c>
      <c r="BL539" s="2" t="s">
        <v>1689</v>
      </c>
      <c r="BM539" s="4">
        <v>45705</v>
      </c>
      <c r="BN539" s="25">
        <v>15827.27</v>
      </c>
    </row>
    <row r="540" spans="1:66" x14ac:dyDescent="0.35">
      <c r="A540">
        <v>5719</v>
      </c>
      <c r="B540" t="s">
        <v>8</v>
      </c>
      <c r="C540" s="1">
        <v>45485</v>
      </c>
      <c r="D540" t="s">
        <v>27</v>
      </c>
      <c r="E540" t="s">
        <v>38</v>
      </c>
      <c r="F540">
        <v>4</v>
      </c>
      <c r="G540">
        <v>180.11</v>
      </c>
      <c r="H540">
        <v>720.44</v>
      </c>
      <c r="I540">
        <v>144.41999999999999</v>
      </c>
      <c r="J540">
        <v>576.02</v>
      </c>
      <c r="K540">
        <v>142</v>
      </c>
      <c r="L540" s="11" t="s">
        <v>332</v>
      </c>
      <c r="M540">
        <f t="shared" si="41"/>
        <v>12</v>
      </c>
      <c r="N540">
        <f t="shared" si="42"/>
        <v>7</v>
      </c>
      <c r="O540">
        <f t="shared" si="43"/>
        <v>2024</v>
      </c>
      <c r="P540" s="4">
        <f t="shared" si="44"/>
        <v>45485</v>
      </c>
      <c r="Q540" t="s">
        <v>1138</v>
      </c>
      <c r="R540" t="s">
        <v>1137</v>
      </c>
      <c r="S540">
        <v>1</v>
      </c>
      <c r="T540" t="s">
        <v>1149</v>
      </c>
      <c r="U540" s="11" t="str">
        <f t="shared" si="40"/>
        <v>08:07:51 PM</v>
      </c>
      <c r="AC540" s="4">
        <v>45718</v>
      </c>
      <c r="AD540" s="25">
        <v>1496.49</v>
      </c>
      <c r="BL540" s="2" t="s">
        <v>1690</v>
      </c>
      <c r="BM540" s="4">
        <v>45706</v>
      </c>
      <c r="BN540" s="25">
        <v>5473.02</v>
      </c>
    </row>
    <row r="541" spans="1:66" x14ac:dyDescent="0.35">
      <c r="A541">
        <v>8941</v>
      </c>
      <c r="B541" t="s">
        <v>8</v>
      </c>
      <c r="C541" s="1">
        <v>45239</v>
      </c>
      <c r="D541" t="s">
        <v>17</v>
      </c>
      <c r="E541" t="s">
        <v>2</v>
      </c>
      <c r="F541">
        <v>1</v>
      </c>
      <c r="G541">
        <v>878.14</v>
      </c>
      <c r="H541">
        <v>878.14</v>
      </c>
      <c r="I541">
        <v>133.63</v>
      </c>
      <c r="J541">
        <v>744.51</v>
      </c>
      <c r="K541">
        <v>363</v>
      </c>
      <c r="L541" s="11" t="s">
        <v>333</v>
      </c>
      <c r="M541">
        <f t="shared" si="41"/>
        <v>9</v>
      </c>
      <c r="N541">
        <f t="shared" si="42"/>
        <v>11</v>
      </c>
      <c r="O541">
        <f t="shared" si="43"/>
        <v>2023</v>
      </c>
      <c r="P541" s="4">
        <f t="shared" si="44"/>
        <v>45239</v>
      </c>
      <c r="Q541" t="s">
        <v>1139</v>
      </c>
      <c r="R541" t="s">
        <v>1135</v>
      </c>
      <c r="S541">
        <v>5</v>
      </c>
      <c r="T541" t="s">
        <v>1145</v>
      </c>
      <c r="U541" s="11" t="str">
        <f t="shared" si="40"/>
        <v>12:07:51 PM</v>
      </c>
      <c r="AC541" s="4">
        <v>45719</v>
      </c>
      <c r="AD541" s="25">
        <v>3743.3</v>
      </c>
      <c r="BL541" s="2" t="s">
        <v>1691</v>
      </c>
      <c r="BM541" s="4">
        <v>45707</v>
      </c>
      <c r="BN541" s="25">
        <v>6792.7199999999993</v>
      </c>
    </row>
    <row r="542" spans="1:66" x14ac:dyDescent="0.35">
      <c r="A542">
        <v>1472</v>
      </c>
      <c r="B542" t="s">
        <v>25</v>
      </c>
      <c r="C542" s="1">
        <v>45634</v>
      </c>
      <c r="D542" t="s">
        <v>17</v>
      </c>
      <c r="E542" t="s">
        <v>29</v>
      </c>
      <c r="F542">
        <v>5</v>
      </c>
      <c r="G542">
        <v>2111.52</v>
      </c>
      <c r="H542">
        <v>10557.6</v>
      </c>
      <c r="I542">
        <v>265.60000000000002</v>
      </c>
      <c r="J542">
        <v>10292</v>
      </c>
      <c r="K542">
        <v>154</v>
      </c>
      <c r="L542" s="11" t="s">
        <v>334</v>
      </c>
      <c r="M542">
        <f t="shared" si="41"/>
        <v>8</v>
      </c>
      <c r="N542">
        <f t="shared" si="42"/>
        <v>12</v>
      </c>
      <c r="O542">
        <f t="shared" si="43"/>
        <v>2024</v>
      </c>
      <c r="P542" s="4">
        <f t="shared" si="44"/>
        <v>45634</v>
      </c>
      <c r="Q542" t="s">
        <v>1134</v>
      </c>
      <c r="R542" t="s">
        <v>1135</v>
      </c>
      <c r="S542">
        <v>2</v>
      </c>
      <c r="T542" t="s">
        <v>1149</v>
      </c>
      <c r="U542" s="11" t="str">
        <f t="shared" si="40"/>
        <v>07:14:48 AM</v>
      </c>
      <c r="AC542" s="4">
        <v>45720</v>
      </c>
      <c r="AD542" s="25">
        <v>9505.16</v>
      </c>
      <c r="BL542" s="2" t="s">
        <v>1692</v>
      </c>
      <c r="BM542" s="4">
        <v>45708</v>
      </c>
      <c r="BN542" s="25">
        <v>1167.81</v>
      </c>
    </row>
    <row r="543" spans="1:66" x14ac:dyDescent="0.35">
      <c r="A543">
        <v>4920</v>
      </c>
      <c r="B543" t="s">
        <v>0</v>
      </c>
      <c r="C543" s="1">
        <v>45696</v>
      </c>
      <c r="D543" t="s">
        <v>11</v>
      </c>
      <c r="E543" t="s">
        <v>36</v>
      </c>
      <c r="F543">
        <v>2</v>
      </c>
      <c r="G543">
        <v>2385.42</v>
      </c>
      <c r="H543">
        <v>4770.84</v>
      </c>
      <c r="I543">
        <v>136.12</v>
      </c>
      <c r="J543">
        <v>4634.72</v>
      </c>
      <c r="K543">
        <v>266</v>
      </c>
      <c r="L543" s="11" t="s">
        <v>335</v>
      </c>
      <c r="M543">
        <f t="shared" si="41"/>
        <v>8</v>
      </c>
      <c r="N543">
        <f t="shared" si="42"/>
        <v>2</v>
      </c>
      <c r="O543">
        <f t="shared" si="43"/>
        <v>2025</v>
      </c>
      <c r="P543" s="4">
        <f t="shared" si="44"/>
        <v>45696</v>
      </c>
      <c r="Q543" t="s">
        <v>1139</v>
      </c>
      <c r="R543" t="s">
        <v>1137</v>
      </c>
      <c r="S543">
        <v>4</v>
      </c>
      <c r="T543" t="s">
        <v>1146</v>
      </c>
      <c r="U543" s="11" t="str">
        <f t="shared" si="40"/>
        <v>06:01:26 PM</v>
      </c>
      <c r="AC543" s="4">
        <v>45721</v>
      </c>
      <c r="AD543" s="25">
        <v>1590.28</v>
      </c>
      <c r="BL543" s="2" t="s">
        <v>1693</v>
      </c>
      <c r="BM543" s="4">
        <v>45709</v>
      </c>
      <c r="BN543" s="25">
        <v>12757.93</v>
      </c>
    </row>
    <row r="544" spans="1:66" x14ac:dyDescent="0.35">
      <c r="A544">
        <v>3594</v>
      </c>
      <c r="B544" t="s">
        <v>3</v>
      </c>
      <c r="C544" s="1">
        <v>45386</v>
      </c>
      <c r="D544" t="s">
        <v>27</v>
      </c>
      <c r="E544" t="s">
        <v>21</v>
      </c>
      <c r="F544">
        <v>1</v>
      </c>
      <c r="G544">
        <v>922.96</v>
      </c>
      <c r="H544">
        <v>922.96</v>
      </c>
      <c r="I544">
        <v>0</v>
      </c>
      <c r="J544">
        <v>922.96</v>
      </c>
      <c r="K544">
        <v>452</v>
      </c>
      <c r="L544" s="11" t="s">
        <v>336</v>
      </c>
      <c r="M544">
        <f t="shared" si="41"/>
        <v>4</v>
      </c>
      <c r="N544">
        <f t="shared" si="42"/>
        <v>4</v>
      </c>
      <c r="O544">
        <f t="shared" si="43"/>
        <v>2024</v>
      </c>
      <c r="P544" s="4">
        <f t="shared" si="44"/>
        <v>45386</v>
      </c>
      <c r="Q544" t="s">
        <v>1134</v>
      </c>
      <c r="R544" t="s">
        <v>1137</v>
      </c>
      <c r="S544">
        <v>4</v>
      </c>
      <c r="T544" t="s">
        <v>1146</v>
      </c>
      <c r="U544" s="11" t="str">
        <f t="shared" si="40"/>
        <v>04:56:59 AM</v>
      </c>
      <c r="AC544" s="4">
        <v>45722</v>
      </c>
      <c r="AD544" s="25">
        <v>6879.869999999999</v>
      </c>
      <c r="BL544" s="2" t="s">
        <v>1694</v>
      </c>
      <c r="BM544" s="4">
        <v>45710</v>
      </c>
      <c r="BN544" s="25">
        <v>5934.5</v>
      </c>
    </row>
    <row r="545" spans="1:66" x14ac:dyDescent="0.35">
      <c r="A545">
        <v>1224</v>
      </c>
      <c r="B545" t="s">
        <v>25</v>
      </c>
      <c r="C545" s="1">
        <v>45573</v>
      </c>
      <c r="D545" t="s">
        <v>11</v>
      </c>
      <c r="E545" t="s">
        <v>12</v>
      </c>
      <c r="F545">
        <v>3</v>
      </c>
      <c r="G545">
        <v>607.55999999999995</v>
      </c>
      <c r="H545">
        <v>1822.68</v>
      </c>
      <c r="I545">
        <v>356.07</v>
      </c>
      <c r="J545">
        <v>1466.61</v>
      </c>
      <c r="K545">
        <v>385</v>
      </c>
      <c r="L545" s="11" t="s">
        <v>337</v>
      </c>
      <c r="M545">
        <f t="shared" si="41"/>
        <v>8</v>
      </c>
      <c r="N545">
        <f t="shared" si="42"/>
        <v>10</v>
      </c>
      <c r="O545">
        <f t="shared" si="43"/>
        <v>2024</v>
      </c>
      <c r="P545" s="4">
        <f t="shared" si="44"/>
        <v>45573</v>
      </c>
      <c r="Q545" t="s">
        <v>1139</v>
      </c>
      <c r="R545" t="s">
        <v>1137</v>
      </c>
      <c r="S545">
        <v>1</v>
      </c>
      <c r="T545" t="s">
        <v>1147</v>
      </c>
      <c r="U545" s="11" t="str">
        <f t="shared" si="40"/>
        <v>04:56:16 AM</v>
      </c>
      <c r="AC545" s="4">
        <v>45723</v>
      </c>
      <c r="AD545" s="25">
        <v>8096.65</v>
      </c>
      <c r="BL545" s="2" t="s">
        <v>1695</v>
      </c>
      <c r="BM545" s="4">
        <v>45711</v>
      </c>
      <c r="BN545" s="25">
        <v>9702.7000000000007</v>
      </c>
    </row>
    <row r="546" spans="1:66" x14ac:dyDescent="0.35">
      <c r="A546">
        <v>7684</v>
      </c>
      <c r="B546" t="s">
        <v>20</v>
      </c>
      <c r="C546" s="1">
        <v>45217</v>
      </c>
      <c r="D546" t="s">
        <v>4</v>
      </c>
      <c r="E546" t="s">
        <v>12</v>
      </c>
      <c r="F546">
        <v>4</v>
      </c>
      <c r="G546">
        <v>660.68</v>
      </c>
      <c r="H546">
        <v>2642.72</v>
      </c>
      <c r="I546">
        <v>309.58999999999997</v>
      </c>
      <c r="J546">
        <v>2333.13</v>
      </c>
      <c r="K546">
        <v>328</v>
      </c>
      <c r="L546" s="11" t="s">
        <v>338</v>
      </c>
      <c r="M546">
        <f t="shared" si="41"/>
        <v>18</v>
      </c>
      <c r="N546">
        <f t="shared" si="42"/>
        <v>10</v>
      </c>
      <c r="O546">
        <f t="shared" si="43"/>
        <v>2023</v>
      </c>
      <c r="P546" s="4">
        <f t="shared" si="44"/>
        <v>45217</v>
      </c>
      <c r="Q546" t="s">
        <v>1138</v>
      </c>
      <c r="R546" t="s">
        <v>1135</v>
      </c>
      <c r="S546">
        <v>4</v>
      </c>
      <c r="T546" t="s">
        <v>1150</v>
      </c>
      <c r="U546" s="11" t="str">
        <f t="shared" si="40"/>
        <v>05:40:36 AM</v>
      </c>
      <c r="AC546" s="4">
        <v>45724</v>
      </c>
      <c r="AD546" s="25">
        <v>25393.019999999997</v>
      </c>
      <c r="BL546" s="2" t="s">
        <v>1696</v>
      </c>
      <c r="BM546" s="4">
        <v>45712</v>
      </c>
      <c r="BN546" s="25">
        <v>2626.12</v>
      </c>
    </row>
    <row r="547" spans="1:66" x14ac:dyDescent="0.35">
      <c r="A547">
        <v>4681</v>
      </c>
      <c r="B547" t="s">
        <v>25</v>
      </c>
      <c r="C547" s="1">
        <v>45798</v>
      </c>
      <c r="D547" t="s">
        <v>9</v>
      </c>
      <c r="E547" t="s">
        <v>38</v>
      </c>
      <c r="F547">
        <v>4</v>
      </c>
      <c r="G547">
        <v>699.69</v>
      </c>
      <c r="H547">
        <v>2798.76</v>
      </c>
      <c r="I547">
        <v>385.95</v>
      </c>
      <c r="J547">
        <v>2412.81</v>
      </c>
      <c r="K547">
        <v>370</v>
      </c>
      <c r="L547" s="11" t="s">
        <v>339</v>
      </c>
      <c r="M547">
        <f t="shared" si="41"/>
        <v>21</v>
      </c>
      <c r="N547">
        <f t="shared" si="42"/>
        <v>5</v>
      </c>
      <c r="O547">
        <f t="shared" si="43"/>
        <v>2025</v>
      </c>
      <c r="P547" s="4">
        <f t="shared" si="44"/>
        <v>45798</v>
      </c>
      <c r="Q547" t="s">
        <v>1136</v>
      </c>
      <c r="R547" t="s">
        <v>1137</v>
      </c>
      <c r="S547">
        <v>1</v>
      </c>
      <c r="T547" t="s">
        <v>1149</v>
      </c>
      <c r="U547" s="11" t="str">
        <f t="shared" si="40"/>
        <v>05:29:54 AM</v>
      </c>
      <c r="AC547" s="4">
        <v>45725</v>
      </c>
      <c r="AD547" s="25">
        <v>9448.7200000000012</v>
      </c>
      <c r="BL547" s="2" t="s">
        <v>1697</v>
      </c>
      <c r="BM547" s="4">
        <v>45713</v>
      </c>
      <c r="BN547" s="25">
        <v>4682.0300000000007</v>
      </c>
    </row>
    <row r="548" spans="1:66" x14ac:dyDescent="0.35">
      <c r="A548">
        <v>2858</v>
      </c>
      <c r="B548" t="s">
        <v>25</v>
      </c>
      <c r="C548" s="1">
        <v>45503</v>
      </c>
      <c r="D548" t="s">
        <v>27</v>
      </c>
      <c r="E548" t="s">
        <v>36</v>
      </c>
      <c r="F548">
        <v>4</v>
      </c>
      <c r="G548">
        <v>1254.1300000000001</v>
      </c>
      <c r="H548">
        <v>5016.5200000000004</v>
      </c>
      <c r="I548">
        <v>752.81</v>
      </c>
      <c r="J548">
        <v>4263.71</v>
      </c>
      <c r="K548">
        <v>151</v>
      </c>
      <c r="L548" s="11" t="s">
        <v>340</v>
      </c>
      <c r="M548">
        <f t="shared" si="41"/>
        <v>30</v>
      </c>
      <c r="N548">
        <f t="shared" si="42"/>
        <v>7</v>
      </c>
      <c r="O548">
        <f t="shared" si="43"/>
        <v>2024</v>
      </c>
      <c r="P548" s="4">
        <f t="shared" si="44"/>
        <v>45503</v>
      </c>
      <c r="Q548" t="s">
        <v>1138</v>
      </c>
      <c r="R548" t="s">
        <v>1135</v>
      </c>
      <c r="S548">
        <v>5</v>
      </c>
      <c r="T548" t="s">
        <v>1147</v>
      </c>
      <c r="U548" s="11" t="str">
        <f t="shared" si="40"/>
        <v>04:04:44 PM</v>
      </c>
      <c r="AC548" s="4">
        <v>45726</v>
      </c>
      <c r="AD548" s="25">
        <v>4189.01</v>
      </c>
      <c r="BL548" s="2" t="s">
        <v>1698</v>
      </c>
      <c r="BM548" s="4">
        <v>45714</v>
      </c>
      <c r="BN548" s="25">
        <v>13304.9</v>
      </c>
    </row>
    <row r="549" spans="1:66" x14ac:dyDescent="0.35">
      <c r="A549">
        <v>2924</v>
      </c>
      <c r="B549" t="s">
        <v>3</v>
      </c>
      <c r="C549" s="1">
        <v>45648</v>
      </c>
      <c r="D549" t="s">
        <v>4</v>
      </c>
      <c r="E549" t="s">
        <v>38</v>
      </c>
      <c r="F549">
        <v>2</v>
      </c>
      <c r="G549">
        <v>2421.11</v>
      </c>
      <c r="H549">
        <v>4842.22</v>
      </c>
      <c r="I549">
        <v>0</v>
      </c>
      <c r="J549">
        <v>4842.22</v>
      </c>
      <c r="K549">
        <v>395</v>
      </c>
      <c r="L549" s="11" t="s">
        <v>341</v>
      </c>
      <c r="M549">
        <f t="shared" si="41"/>
        <v>22</v>
      </c>
      <c r="N549">
        <f t="shared" si="42"/>
        <v>12</v>
      </c>
      <c r="O549">
        <f t="shared" si="43"/>
        <v>2024</v>
      </c>
      <c r="P549" s="4">
        <f t="shared" si="44"/>
        <v>45648</v>
      </c>
      <c r="Q549" t="s">
        <v>1136</v>
      </c>
      <c r="R549" t="s">
        <v>1135</v>
      </c>
      <c r="S549">
        <v>2</v>
      </c>
      <c r="T549" t="s">
        <v>1146</v>
      </c>
      <c r="U549" s="11" t="str">
        <f t="shared" si="40"/>
        <v>06:17:18 AM</v>
      </c>
      <c r="AC549" s="4">
        <v>45727</v>
      </c>
      <c r="AD549" s="25">
        <v>2279.1799999999998</v>
      </c>
      <c r="BL549" s="2" t="s">
        <v>1699</v>
      </c>
      <c r="BM549" s="4">
        <v>45715</v>
      </c>
      <c r="BN549" s="25">
        <v>8846.14</v>
      </c>
    </row>
    <row r="550" spans="1:66" x14ac:dyDescent="0.35">
      <c r="A550">
        <v>3522</v>
      </c>
      <c r="B550" t="s">
        <v>0</v>
      </c>
      <c r="C550" s="1">
        <v>45532</v>
      </c>
      <c r="D550" t="s">
        <v>6</v>
      </c>
      <c r="E550" t="s">
        <v>33</v>
      </c>
      <c r="F550">
        <v>4</v>
      </c>
      <c r="G550">
        <v>2093.2600000000002</v>
      </c>
      <c r="H550">
        <v>8373.0400000000009</v>
      </c>
      <c r="I550">
        <v>0</v>
      </c>
      <c r="J550">
        <v>8373.0400000000009</v>
      </c>
      <c r="K550">
        <v>105</v>
      </c>
      <c r="L550" s="11" t="s">
        <v>342</v>
      </c>
      <c r="M550">
        <f t="shared" si="41"/>
        <v>28</v>
      </c>
      <c r="N550">
        <f t="shared" si="42"/>
        <v>8</v>
      </c>
      <c r="O550">
        <f t="shared" si="43"/>
        <v>2024</v>
      </c>
      <c r="P550" s="4">
        <f t="shared" si="44"/>
        <v>45532</v>
      </c>
      <c r="Q550" t="s">
        <v>1139</v>
      </c>
      <c r="R550" t="s">
        <v>1137</v>
      </c>
      <c r="S550">
        <v>5</v>
      </c>
      <c r="T550" t="s">
        <v>1148</v>
      </c>
      <c r="U550" s="11" t="str">
        <f t="shared" si="40"/>
        <v>07:53:29 AM</v>
      </c>
      <c r="AC550" s="4">
        <v>45728</v>
      </c>
      <c r="AD550" s="25">
        <v>10860.55</v>
      </c>
      <c r="BL550" s="2" t="s">
        <v>1700</v>
      </c>
      <c r="BM550" s="4">
        <v>45716</v>
      </c>
      <c r="BN550" s="25">
        <v>5426.54</v>
      </c>
    </row>
    <row r="551" spans="1:66" x14ac:dyDescent="0.35">
      <c r="A551">
        <v>5781</v>
      </c>
      <c r="B551" t="s">
        <v>0</v>
      </c>
      <c r="C551" s="1">
        <v>45540</v>
      </c>
      <c r="D551" t="s">
        <v>16</v>
      </c>
      <c r="E551" t="s">
        <v>30</v>
      </c>
      <c r="F551">
        <v>1</v>
      </c>
      <c r="G551">
        <v>1187.73</v>
      </c>
      <c r="H551">
        <v>1187.73</v>
      </c>
      <c r="I551">
        <v>107.07</v>
      </c>
      <c r="J551">
        <v>1080.6600000000001</v>
      </c>
      <c r="K551">
        <v>169</v>
      </c>
      <c r="L551" s="11" t="s">
        <v>343</v>
      </c>
      <c r="M551">
        <f t="shared" si="41"/>
        <v>5</v>
      </c>
      <c r="N551">
        <f t="shared" si="42"/>
        <v>9</v>
      </c>
      <c r="O551">
        <f t="shared" si="43"/>
        <v>2024</v>
      </c>
      <c r="P551" s="4">
        <f t="shared" si="44"/>
        <v>45540</v>
      </c>
      <c r="Q551" t="s">
        <v>1134</v>
      </c>
      <c r="R551" t="s">
        <v>1135</v>
      </c>
      <c r="S551">
        <v>3</v>
      </c>
      <c r="T551" t="s">
        <v>1146</v>
      </c>
      <c r="U551" s="11" t="str">
        <f t="shared" si="40"/>
        <v>02:36:01 AM</v>
      </c>
      <c r="AC551" s="4">
        <v>45729</v>
      </c>
      <c r="AD551" s="25">
        <v>18468.330000000002</v>
      </c>
      <c r="BL551" s="2" t="s">
        <v>1701</v>
      </c>
      <c r="BM551" s="4">
        <v>45717</v>
      </c>
      <c r="BN551" s="25">
        <v>13783.81</v>
      </c>
    </row>
    <row r="552" spans="1:66" x14ac:dyDescent="0.35">
      <c r="A552">
        <v>5479</v>
      </c>
      <c r="B552" t="s">
        <v>8</v>
      </c>
      <c r="C552" s="1">
        <v>45467</v>
      </c>
      <c r="D552" t="s">
        <v>24</v>
      </c>
      <c r="E552" t="s">
        <v>7</v>
      </c>
      <c r="F552">
        <v>1</v>
      </c>
      <c r="G552">
        <v>1465.78</v>
      </c>
      <c r="H552">
        <v>1465.78</v>
      </c>
      <c r="I552">
        <v>146.91</v>
      </c>
      <c r="J552">
        <v>1318.87</v>
      </c>
      <c r="K552">
        <v>116</v>
      </c>
      <c r="L552" s="11" t="s">
        <v>344</v>
      </c>
      <c r="M552">
        <f t="shared" si="41"/>
        <v>24</v>
      </c>
      <c r="N552">
        <f t="shared" si="42"/>
        <v>6</v>
      </c>
      <c r="O552">
        <f t="shared" si="43"/>
        <v>2024</v>
      </c>
      <c r="P552" s="4">
        <f t="shared" si="44"/>
        <v>45467</v>
      </c>
      <c r="Q552" t="s">
        <v>1138</v>
      </c>
      <c r="R552" t="s">
        <v>1137</v>
      </c>
      <c r="S552">
        <v>3</v>
      </c>
      <c r="T552" t="s">
        <v>1149</v>
      </c>
      <c r="U552" s="11" t="str">
        <f t="shared" si="40"/>
        <v>07:48:44 AM</v>
      </c>
      <c r="AC552" s="4">
        <v>45730</v>
      </c>
      <c r="AD552" s="25">
        <v>13927.4</v>
      </c>
      <c r="BL552" s="2" t="s">
        <v>1702</v>
      </c>
      <c r="BM552" s="4">
        <v>45718</v>
      </c>
      <c r="BN552" s="25">
        <v>1496.49</v>
      </c>
    </row>
    <row r="553" spans="1:66" x14ac:dyDescent="0.35">
      <c r="A553">
        <v>8905</v>
      </c>
      <c r="B553" t="s">
        <v>13</v>
      </c>
      <c r="C553" s="1">
        <v>45511</v>
      </c>
      <c r="D553" t="s">
        <v>34</v>
      </c>
      <c r="E553" t="s">
        <v>21</v>
      </c>
      <c r="F553">
        <v>4</v>
      </c>
      <c r="G553">
        <v>844.11</v>
      </c>
      <c r="H553">
        <v>3376.44</v>
      </c>
      <c r="I553">
        <v>84.66</v>
      </c>
      <c r="J553">
        <v>3291.78</v>
      </c>
      <c r="K553">
        <v>199</v>
      </c>
      <c r="L553" s="11" t="s">
        <v>345</v>
      </c>
      <c r="M553">
        <f t="shared" si="41"/>
        <v>7</v>
      </c>
      <c r="N553">
        <f t="shared" si="42"/>
        <v>8</v>
      </c>
      <c r="O553">
        <f t="shared" si="43"/>
        <v>2024</v>
      </c>
      <c r="P553" s="4">
        <f t="shared" si="44"/>
        <v>45511</v>
      </c>
      <c r="Q553" t="s">
        <v>1136</v>
      </c>
      <c r="R553" t="s">
        <v>1137</v>
      </c>
      <c r="S553">
        <v>3</v>
      </c>
      <c r="T553" t="s">
        <v>1145</v>
      </c>
      <c r="U553" s="11" t="str">
        <f t="shared" si="40"/>
        <v>02:30:03 PM</v>
      </c>
      <c r="AC553" s="4">
        <v>45731</v>
      </c>
      <c r="AD553" s="25">
        <v>9705.19</v>
      </c>
      <c r="BL553" s="2" t="s">
        <v>1703</v>
      </c>
      <c r="BM553" s="4">
        <v>45719</v>
      </c>
      <c r="BN553" s="25">
        <v>3743.3</v>
      </c>
    </row>
    <row r="554" spans="1:66" x14ac:dyDescent="0.35">
      <c r="A554">
        <v>4993</v>
      </c>
      <c r="B554" t="s">
        <v>0</v>
      </c>
      <c r="C554" s="1">
        <v>45499</v>
      </c>
      <c r="D554" t="s">
        <v>17</v>
      </c>
      <c r="E554" t="s">
        <v>29</v>
      </c>
      <c r="F554">
        <v>1</v>
      </c>
      <c r="G554">
        <v>942.88</v>
      </c>
      <c r="H554">
        <v>942.88</v>
      </c>
      <c r="I554">
        <v>141.1</v>
      </c>
      <c r="J554">
        <v>801.78</v>
      </c>
      <c r="K554">
        <v>257</v>
      </c>
      <c r="L554" s="11" t="s">
        <v>346</v>
      </c>
      <c r="M554">
        <f t="shared" si="41"/>
        <v>26</v>
      </c>
      <c r="N554">
        <f t="shared" si="42"/>
        <v>7</v>
      </c>
      <c r="O554">
        <f t="shared" si="43"/>
        <v>2024</v>
      </c>
      <c r="P554" s="4">
        <f t="shared" si="44"/>
        <v>45499</v>
      </c>
      <c r="Q554" t="s">
        <v>1138</v>
      </c>
      <c r="R554" t="s">
        <v>1137</v>
      </c>
      <c r="S554">
        <v>5</v>
      </c>
      <c r="T554" t="s">
        <v>1149</v>
      </c>
      <c r="U554" s="11" t="str">
        <f t="shared" ref="U554:U617" si="45">TEXT(L554,"hh:mm:ss AM/PM")</f>
        <v>06:48:14 AM</v>
      </c>
      <c r="AC554" s="4">
        <v>45732</v>
      </c>
      <c r="AD554" s="25">
        <v>11677.27</v>
      </c>
      <c r="BL554" s="2" t="s">
        <v>1704</v>
      </c>
      <c r="BM554" s="4">
        <v>45720</v>
      </c>
      <c r="BN554" s="25">
        <v>9505.16</v>
      </c>
    </row>
    <row r="555" spans="1:66" x14ac:dyDescent="0.35">
      <c r="A555">
        <v>3369</v>
      </c>
      <c r="B555" t="s">
        <v>19</v>
      </c>
      <c r="C555" s="1">
        <v>45442</v>
      </c>
      <c r="D555" t="s">
        <v>17</v>
      </c>
      <c r="E555" t="s">
        <v>32</v>
      </c>
      <c r="F555">
        <v>3</v>
      </c>
      <c r="G555">
        <v>1923.94</v>
      </c>
      <c r="H555">
        <v>5771.82</v>
      </c>
      <c r="I555">
        <v>576.85</v>
      </c>
      <c r="J555">
        <v>5194.97</v>
      </c>
      <c r="K555">
        <v>224</v>
      </c>
      <c r="L555" s="11" t="s">
        <v>347</v>
      </c>
      <c r="M555">
        <f t="shared" si="41"/>
        <v>30</v>
      </c>
      <c r="N555">
        <f t="shared" si="42"/>
        <v>5</v>
      </c>
      <c r="O555">
        <f t="shared" si="43"/>
        <v>2024</v>
      </c>
      <c r="P555" s="4">
        <f t="shared" si="44"/>
        <v>45442</v>
      </c>
      <c r="Q555" t="s">
        <v>1136</v>
      </c>
      <c r="R555" t="s">
        <v>1137</v>
      </c>
      <c r="S555">
        <v>4</v>
      </c>
      <c r="T555" t="s">
        <v>1149</v>
      </c>
      <c r="U555" s="11" t="str">
        <f t="shared" si="45"/>
        <v>12:51:42 AM</v>
      </c>
      <c r="AC555" s="4">
        <v>45733</v>
      </c>
      <c r="AD555" s="25">
        <v>5804.19</v>
      </c>
      <c r="BL555" s="2" t="s">
        <v>1705</v>
      </c>
      <c r="BM555" s="4">
        <v>45721</v>
      </c>
      <c r="BN555" s="25">
        <v>1590.28</v>
      </c>
    </row>
    <row r="556" spans="1:66" x14ac:dyDescent="0.35">
      <c r="A556">
        <v>4122</v>
      </c>
      <c r="B556" t="s">
        <v>20</v>
      </c>
      <c r="C556" s="1">
        <v>45861</v>
      </c>
      <c r="D556" t="s">
        <v>34</v>
      </c>
      <c r="E556" t="s">
        <v>18</v>
      </c>
      <c r="F556">
        <v>5</v>
      </c>
      <c r="G556">
        <v>611.71</v>
      </c>
      <c r="H556">
        <v>3058.55</v>
      </c>
      <c r="I556">
        <v>180.94</v>
      </c>
      <c r="J556">
        <v>2877.61</v>
      </c>
      <c r="K556">
        <v>382</v>
      </c>
      <c r="L556" s="11" t="s">
        <v>348</v>
      </c>
      <c r="M556">
        <f t="shared" si="41"/>
        <v>23</v>
      </c>
      <c r="N556">
        <f t="shared" si="42"/>
        <v>7</v>
      </c>
      <c r="O556">
        <f t="shared" si="43"/>
        <v>2025</v>
      </c>
      <c r="P556" s="4">
        <f t="shared" si="44"/>
        <v>45861</v>
      </c>
      <c r="Q556" t="s">
        <v>1138</v>
      </c>
      <c r="R556" t="s">
        <v>1137</v>
      </c>
      <c r="S556">
        <v>2</v>
      </c>
      <c r="T556" t="s">
        <v>1143</v>
      </c>
      <c r="U556" s="11" t="str">
        <f t="shared" si="45"/>
        <v>08:23:26 PM</v>
      </c>
      <c r="AC556" s="4">
        <v>45734</v>
      </c>
      <c r="AD556" s="25">
        <v>10426.460000000001</v>
      </c>
      <c r="BL556" s="2" t="s">
        <v>1706</v>
      </c>
      <c r="BM556" s="4">
        <v>45722</v>
      </c>
      <c r="BN556" s="25">
        <v>6879.869999999999</v>
      </c>
    </row>
    <row r="557" spans="1:66" x14ac:dyDescent="0.35">
      <c r="A557">
        <v>9327</v>
      </c>
      <c r="B557" t="s">
        <v>8</v>
      </c>
      <c r="C557" s="1">
        <v>45724</v>
      </c>
      <c r="D557" t="s">
        <v>24</v>
      </c>
      <c r="E557" t="s">
        <v>12</v>
      </c>
      <c r="F557">
        <v>1</v>
      </c>
      <c r="G557">
        <v>1414.32</v>
      </c>
      <c r="H557">
        <v>1414.32</v>
      </c>
      <c r="I557">
        <v>97.11</v>
      </c>
      <c r="J557">
        <v>1317.21</v>
      </c>
      <c r="K557">
        <v>284</v>
      </c>
      <c r="L557" s="11" t="s">
        <v>349</v>
      </c>
      <c r="M557">
        <f t="shared" si="41"/>
        <v>8</v>
      </c>
      <c r="N557">
        <f t="shared" si="42"/>
        <v>3</v>
      </c>
      <c r="O557">
        <f t="shared" si="43"/>
        <v>2025</v>
      </c>
      <c r="P557" s="4">
        <f t="shared" si="44"/>
        <v>45724</v>
      </c>
      <c r="Q557" t="s">
        <v>1136</v>
      </c>
      <c r="R557" t="s">
        <v>1135</v>
      </c>
      <c r="S557">
        <v>3</v>
      </c>
      <c r="T557" t="s">
        <v>1144</v>
      </c>
      <c r="U557" s="11" t="str">
        <f t="shared" si="45"/>
        <v>01:38:12 PM</v>
      </c>
      <c r="AC557" s="4">
        <v>45735</v>
      </c>
      <c r="AD557" s="25">
        <v>25793.08</v>
      </c>
      <c r="BL557" s="2" t="s">
        <v>1707</v>
      </c>
      <c r="BM557" s="4">
        <v>45723</v>
      </c>
      <c r="BN557" s="25">
        <v>8096.65</v>
      </c>
    </row>
    <row r="558" spans="1:66" x14ac:dyDescent="0.35">
      <c r="A558">
        <v>3236</v>
      </c>
      <c r="B558" t="s">
        <v>13</v>
      </c>
      <c r="C558" s="1">
        <v>45816</v>
      </c>
      <c r="D558" t="s">
        <v>27</v>
      </c>
      <c r="E558" t="s">
        <v>7</v>
      </c>
      <c r="F558">
        <v>1</v>
      </c>
      <c r="G558">
        <v>815.89</v>
      </c>
      <c r="H558">
        <v>815.89</v>
      </c>
      <c r="I558">
        <v>163.51</v>
      </c>
      <c r="J558">
        <v>652.38</v>
      </c>
      <c r="K558">
        <v>383</v>
      </c>
      <c r="L558" s="11" t="s">
        <v>350</v>
      </c>
      <c r="M558">
        <f t="shared" si="41"/>
        <v>8</v>
      </c>
      <c r="N558">
        <f t="shared" si="42"/>
        <v>6</v>
      </c>
      <c r="O558">
        <f t="shared" si="43"/>
        <v>2025</v>
      </c>
      <c r="P558" s="4">
        <f t="shared" si="44"/>
        <v>45816</v>
      </c>
      <c r="Q558" t="s">
        <v>1136</v>
      </c>
      <c r="R558" t="s">
        <v>1135</v>
      </c>
      <c r="S558">
        <v>3</v>
      </c>
      <c r="T558" t="s">
        <v>1143</v>
      </c>
      <c r="U558" s="11" t="str">
        <f t="shared" si="45"/>
        <v>08:00:55 AM</v>
      </c>
      <c r="AC558" s="4">
        <v>45736</v>
      </c>
      <c r="AD558" s="25">
        <v>17940.449999999997</v>
      </c>
      <c r="BL558" s="2" t="s">
        <v>1708</v>
      </c>
      <c r="BM558" s="4">
        <v>45724</v>
      </c>
      <c r="BN558" s="25">
        <v>25393.019999999997</v>
      </c>
    </row>
    <row r="559" spans="1:66" x14ac:dyDescent="0.35">
      <c r="A559">
        <v>2143</v>
      </c>
      <c r="B559" t="s">
        <v>13</v>
      </c>
      <c r="C559" s="1">
        <v>45359</v>
      </c>
      <c r="D559" t="s">
        <v>16</v>
      </c>
      <c r="E559" t="s">
        <v>36</v>
      </c>
      <c r="F559">
        <v>2</v>
      </c>
      <c r="G559">
        <v>469.78</v>
      </c>
      <c r="H559">
        <v>939.56</v>
      </c>
      <c r="I559">
        <v>187.58</v>
      </c>
      <c r="J559">
        <v>751.98</v>
      </c>
      <c r="K559">
        <v>113</v>
      </c>
      <c r="L559" s="11" t="s">
        <v>351</v>
      </c>
      <c r="M559">
        <f t="shared" si="41"/>
        <v>8</v>
      </c>
      <c r="N559">
        <f t="shared" si="42"/>
        <v>3</v>
      </c>
      <c r="O559">
        <f t="shared" si="43"/>
        <v>2024</v>
      </c>
      <c r="P559" s="4">
        <f t="shared" si="44"/>
        <v>45359</v>
      </c>
      <c r="Q559" t="s">
        <v>1139</v>
      </c>
      <c r="R559" t="s">
        <v>1137</v>
      </c>
      <c r="S559">
        <v>3</v>
      </c>
      <c r="T559" t="s">
        <v>1146</v>
      </c>
      <c r="U559" s="11" t="str">
        <f t="shared" si="45"/>
        <v>04:13:32 PM</v>
      </c>
      <c r="AC559" s="4">
        <v>45737</v>
      </c>
      <c r="AD559" s="25">
        <v>15303.539999999997</v>
      </c>
      <c r="BL559" s="2" t="s">
        <v>1709</v>
      </c>
      <c r="BM559" s="4">
        <v>45725</v>
      </c>
      <c r="BN559" s="25">
        <v>9448.7200000000012</v>
      </c>
    </row>
    <row r="560" spans="1:66" x14ac:dyDescent="0.35">
      <c r="A560">
        <v>7798</v>
      </c>
      <c r="B560" t="s">
        <v>0</v>
      </c>
      <c r="C560" s="1">
        <v>45408</v>
      </c>
      <c r="D560" t="s">
        <v>23</v>
      </c>
      <c r="E560" t="s">
        <v>29</v>
      </c>
      <c r="F560">
        <v>5</v>
      </c>
      <c r="G560">
        <v>1192.71</v>
      </c>
      <c r="H560">
        <v>5963.55</v>
      </c>
      <c r="I560">
        <v>894.74</v>
      </c>
      <c r="J560">
        <v>5068.8100000000004</v>
      </c>
      <c r="K560">
        <v>281</v>
      </c>
      <c r="L560" s="11" t="s">
        <v>352</v>
      </c>
      <c r="M560">
        <f t="shared" si="41"/>
        <v>26</v>
      </c>
      <c r="N560">
        <f t="shared" si="42"/>
        <v>4</v>
      </c>
      <c r="O560">
        <f t="shared" si="43"/>
        <v>2024</v>
      </c>
      <c r="P560" s="4">
        <f t="shared" si="44"/>
        <v>45408</v>
      </c>
      <c r="Q560" t="s">
        <v>1136</v>
      </c>
      <c r="R560" t="s">
        <v>1137</v>
      </c>
      <c r="S560">
        <v>2</v>
      </c>
      <c r="T560" t="s">
        <v>1149</v>
      </c>
      <c r="U560" s="11" t="str">
        <f t="shared" si="45"/>
        <v>11:47:41 PM</v>
      </c>
      <c r="AC560" s="4">
        <v>45738</v>
      </c>
      <c r="AD560" s="25">
        <v>19926.64</v>
      </c>
      <c r="BL560" s="2" t="s">
        <v>1710</v>
      </c>
      <c r="BM560" s="4">
        <v>45726</v>
      </c>
      <c r="BN560" s="25">
        <v>4189.01</v>
      </c>
    </row>
    <row r="561" spans="1:66" x14ac:dyDescent="0.35">
      <c r="A561">
        <v>9318</v>
      </c>
      <c r="B561" t="s">
        <v>0</v>
      </c>
      <c r="C561" s="1">
        <v>45352</v>
      </c>
      <c r="D561" t="s">
        <v>24</v>
      </c>
      <c r="E561" t="s">
        <v>38</v>
      </c>
      <c r="F561">
        <v>2</v>
      </c>
      <c r="G561">
        <v>1828.49</v>
      </c>
      <c r="H561">
        <v>3656.98</v>
      </c>
      <c r="I561">
        <v>548.63</v>
      </c>
      <c r="J561">
        <v>3108.35</v>
      </c>
      <c r="K561">
        <v>249</v>
      </c>
      <c r="L561" s="11" t="s">
        <v>353</v>
      </c>
      <c r="M561">
        <f t="shared" si="41"/>
        <v>1</v>
      </c>
      <c r="N561">
        <f t="shared" si="42"/>
        <v>3</v>
      </c>
      <c r="O561">
        <f t="shared" si="43"/>
        <v>2024</v>
      </c>
      <c r="P561" s="4">
        <f t="shared" si="44"/>
        <v>45352</v>
      </c>
      <c r="Q561" t="s">
        <v>1139</v>
      </c>
      <c r="R561" t="s">
        <v>1135</v>
      </c>
      <c r="S561">
        <v>3</v>
      </c>
      <c r="T561" t="s">
        <v>1144</v>
      </c>
      <c r="U561" s="11" t="str">
        <f t="shared" si="45"/>
        <v>07:27:38 PM</v>
      </c>
      <c r="AC561" s="4">
        <v>45739</v>
      </c>
      <c r="AD561" s="25">
        <v>24382.080000000002</v>
      </c>
      <c r="BL561" s="2" t="s">
        <v>1711</v>
      </c>
      <c r="BM561" s="4">
        <v>45727</v>
      </c>
      <c r="BN561" s="25">
        <v>2279.1799999999998</v>
      </c>
    </row>
    <row r="562" spans="1:66" x14ac:dyDescent="0.35">
      <c r="A562">
        <v>1042</v>
      </c>
      <c r="B562" t="s">
        <v>8</v>
      </c>
      <c r="C562" s="1">
        <v>45364</v>
      </c>
      <c r="D562" t="s">
        <v>16</v>
      </c>
      <c r="E562" t="s">
        <v>14</v>
      </c>
      <c r="F562">
        <v>1</v>
      </c>
      <c r="G562">
        <v>768.58</v>
      </c>
      <c r="H562">
        <v>768.58</v>
      </c>
      <c r="I562">
        <v>115.37</v>
      </c>
      <c r="J562">
        <v>653.21</v>
      </c>
      <c r="K562">
        <v>35</v>
      </c>
      <c r="L562" s="11" t="s">
        <v>354</v>
      </c>
      <c r="M562">
        <f t="shared" si="41"/>
        <v>13</v>
      </c>
      <c r="N562">
        <f t="shared" si="42"/>
        <v>3</v>
      </c>
      <c r="O562">
        <f t="shared" si="43"/>
        <v>2024</v>
      </c>
      <c r="P562" s="4">
        <f t="shared" si="44"/>
        <v>45364</v>
      </c>
      <c r="Q562" t="s">
        <v>1136</v>
      </c>
      <c r="R562" t="s">
        <v>1135</v>
      </c>
      <c r="S562">
        <v>2</v>
      </c>
      <c r="T562" t="s">
        <v>1143</v>
      </c>
      <c r="U562" s="11" t="str">
        <f t="shared" si="45"/>
        <v>10:18:03 PM</v>
      </c>
      <c r="AC562" s="4">
        <v>45740</v>
      </c>
      <c r="AD562" s="25">
        <v>12690.7</v>
      </c>
      <c r="BL562" s="2" t="s">
        <v>1712</v>
      </c>
      <c r="BM562" s="4">
        <v>45728</v>
      </c>
      <c r="BN562" s="25">
        <v>10860.55</v>
      </c>
    </row>
    <row r="563" spans="1:66" x14ac:dyDescent="0.35">
      <c r="A563">
        <v>5891</v>
      </c>
      <c r="B563" t="s">
        <v>15</v>
      </c>
      <c r="C563" s="1">
        <v>45795</v>
      </c>
      <c r="D563" t="s">
        <v>34</v>
      </c>
      <c r="E563" t="s">
        <v>10</v>
      </c>
      <c r="F563">
        <v>5</v>
      </c>
      <c r="G563">
        <v>1669.13</v>
      </c>
      <c r="H563">
        <v>8345.65</v>
      </c>
      <c r="I563">
        <v>271.41000000000003</v>
      </c>
      <c r="J563">
        <v>8074.24</v>
      </c>
      <c r="K563">
        <v>355</v>
      </c>
      <c r="L563" s="11" t="s">
        <v>355</v>
      </c>
      <c r="M563">
        <f t="shared" si="41"/>
        <v>18</v>
      </c>
      <c r="N563">
        <f t="shared" si="42"/>
        <v>5</v>
      </c>
      <c r="O563">
        <f t="shared" si="43"/>
        <v>2025</v>
      </c>
      <c r="P563" s="4">
        <f t="shared" si="44"/>
        <v>45795</v>
      </c>
      <c r="Q563" t="s">
        <v>1134</v>
      </c>
      <c r="R563" t="s">
        <v>1135</v>
      </c>
      <c r="S563">
        <v>3</v>
      </c>
      <c r="T563" t="s">
        <v>1149</v>
      </c>
      <c r="U563" s="11" t="str">
        <f t="shared" si="45"/>
        <v>09:06:56 PM</v>
      </c>
      <c r="AC563" s="4">
        <v>45741</v>
      </c>
      <c r="AD563" s="25">
        <v>21246.34</v>
      </c>
      <c r="BL563" s="2" t="s">
        <v>1713</v>
      </c>
      <c r="BM563" s="4">
        <v>45729</v>
      </c>
      <c r="BN563" s="25">
        <v>18468.330000000002</v>
      </c>
    </row>
    <row r="564" spans="1:66" x14ac:dyDescent="0.35">
      <c r="A564">
        <v>9022</v>
      </c>
      <c r="B564" t="s">
        <v>25</v>
      </c>
      <c r="C564" s="1">
        <v>45817</v>
      </c>
      <c r="D564" t="s">
        <v>9</v>
      </c>
      <c r="E564" t="s">
        <v>18</v>
      </c>
      <c r="F564">
        <v>1</v>
      </c>
      <c r="G564">
        <v>835.81</v>
      </c>
      <c r="H564">
        <v>835.81</v>
      </c>
      <c r="I564">
        <v>0</v>
      </c>
      <c r="J564">
        <v>835.81</v>
      </c>
      <c r="K564">
        <v>402</v>
      </c>
      <c r="L564" s="11" t="s">
        <v>356</v>
      </c>
      <c r="M564">
        <f t="shared" si="41"/>
        <v>9</v>
      </c>
      <c r="N564">
        <f t="shared" si="42"/>
        <v>6</v>
      </c>
      <c r="O564">
        <f t="shared" si="43"/>
        <v>2025</v>
      </c>
      <c r="P564" s="4">
        <f t="shared" si="44"/>
        <v>45817</v>
      </c>
      <c r="Q564" t="s">
        <v>1134</v>
      </c>
      <c r="R564" t="s">
        <v>1135</v>
      </c>
      <c r="S564">
        <v>5</v>
      </c>
      <c r="T564" t="s">
        <v>1141</v>
      </c>
      <c r="U564" s="11" t="str">
        <f t="shared" si="45"/>
        <v>12:21:27 PM</v>
      </c>
      <c r="AC564" s="4">
        <v>45742</v>
      </c>
      <c r="AD564" s="25">
        <v>7110.6100000000006</v>
      </c>
      <c r="BL564" s="2" t="s">
        <v>1714</v>
      </c>
      <c r="BM564" s="4">
        <v>45730</v>
      </c>
      <c r="BN564" s="25">
        <v>13927.4</v>
      </c>
    </row>
    <row r="565" spans="1:66" x14ac:dyDescent="0.35">
      <c r="A565">
        <v>3434</v>
      </c>
      <c r="B565" t="s">
        <v>13</v>
      </c>
      <c r="C565" s="1">
        <v>45491</v>
      </c>
      <c r="D565" t="s">
        <v>24</v>
      </c>
      <c r="E565" t="s">
        <v>12</v>
      </c>
      <c r="F565">
        <v>2</v>
      </c>
      <c r="G565">
        <v>1718.1</v>
      </c>
      <c r="H565">
        <v>3436.2</v>
      </c>
      <c r="I565">
        <v>343.62</v>
      </c>
      <c r="J565">
        <v>3092.58</v>
      </c>
      <c r="K565">
        <v>169</v>
      </c>
      <c r="L565" s="11" t="s">
        <v>357</v>
      </c>
      <c r="M565">
        <f t="shared" si="41"/>
        <v>18</v>
      </c>
      <c r="N565">
        <f t="shared" si="42"/>
        <v>7</v>
      </c>
      <c r="O565">
        <f t="shared" si="43"/>
        <v>2024</v>
      </c>
      <c r="P565" s="4">
        <f t="shared" si="44"/>
        <v>45491</v>
      </c>
      <c r="Q565" t="s">
        <v>1134</v>
      </c>
      <c r="R565" t="s">
        <v>1137</v>
      </c>
      <c r="S565">
        <v>5</v>
      </c>
      <c r="T565" t="s">
        <v>1143</v>
      </c>
      <c r="U565" s="11" t="str">
        <f t="shared" si="45"/>
        <v>07:01:46 PM</v>
      </c>
      <c r="AC565" s="4">
        <v>45743</v>
      </c>
      <c r="AD565" s="25">
        <v>8401.2599999999984</v>
      </c>
      <c r="BL565" s="2" t="s">
        <v>1715</v>
      </c>
      <c r="BM565" s="4">
        <v>45731</v>
      </c>
      <c r="BN565" s="25">
        <v>9705.19</v>
      </c>
    </row>
    <row r="566" spans="1:66" x14ac:dyDescent="0.35">
      <c r="A566">
        <v>9824</v>
      </c>
      <c r="B566" t="s">
        <v>15</v>
      </c>
      <c r="C566" s="1">
        <v>45521</v>
      </c>
      <c r="D566" t="s">
        <v>11</v>
      </c>
      <c r="E566" t="s">
        <v>26</v>
      </c>
      <c r="F566">
        <v>4</v>
      </c>
      <c r="G566">
        <v>1410.17</v>
      </c>
      <c r="H566">
        <v>5640.68</v>
      </c>
      <c r="I566">
        <v>845.77</v>
      </c>
      <c r="J566">
        <v>4794.91</v>
      </c>
      <c r="K566">
        <v>89</v>
      </c>
      <c r="L566" s="11" t="s">
        <v>358</v>
      </c>
      <c r="M566">
        <f t="shared" si="41"/>
        <v>17</v>
      </c>
      <c r="N566">
        <f t="shared" si="42"/>
        <v>8</v>
      </c>
      <c r="O566">
        <f t="shared" si="43"/>
        <v>2024</v>
      </c>
      <c r="P566" s="4">
        <f t="shared" si="44"/>
        <v>45521</v>
      </c>
      <c r="Q566" t="s">
        <v>1136</v>
      </c>
      <c r="R566" t="s">
        <v>1137</v>
      </c>
      <c r="S566">
        <v>2</v>
      </c>
      <c r="T566" t="s">
        <v>1144</v>
      </c>
      <c r="U566" s="11" t="str">
        <f t="shared" si="45"/>
        <v>01:48:29 AM</v>
      </c>
      <c r="AC566" s="4">
        <v>45744</v>
      </c>
      <c r="AD566" s="25">
        <v>4075.2999999999997</v>
      </c>
      <c r="BL566" s="2" t="s">
        <v>1716</v>
      </c>
      <c r="BM566" s="4">
        <v>45732</v>
      </c>
      <c r="BN566" s="25">
        <v>11677.27</v>
      </c>
    </row>
    <row r="567" spans="1:66" x14ac:dyDescent="0.35">
      <c r="A567">
        <v>6654</v>
      </c>
      <c r="B567" t="s">
        <v>8</v>
      </c>
      <c r="C567" s="1">
        <v>45403</v>
      </c>
      <c r="D567" t="s">
        <v>27</v>
      </c>
      <c r="E567" t="s">
        <v>33</v>
      </c>
      <c r="F567">
        <v>3</v>
      </c>
      <c r="G567">
        <v>1847.58</v>
      </c>
      <c r="H567">
        <v>5542.74</v>
      </c>
      <c r="I567">
        <v>0</v>
      </c>
      <c r="J567">
        <v>5542.74</v>
      </c>
      <c r="K567">
        <v>320</v>
      </c>
      <c r="L567" s="11" t="s">
        <v>359</v>
      </c>
      <c r="M567">
        <f t="shared" si="41"/>
        <v>21</v>
      </c>
      <c r="N567">
        <f t="shared" si="42"/>
        <v>4</v>
      </c>
      <c r="O567">
        <f t="shared" si="43"/>
        <v>2024</v>
      </c>
      <c r="P567" s="4">
        <f t="shared" si="44"/>
        <v>45403</v>
      </c>
      <c r="Q567" t="s">
        <v>1139</v>
      </c>
      <c r="R567" t="s">
        <v>1135</v>
      </c>
      <c r="S567">
        <v>5</v>
      </c>
      <c r="T567" t="s">
        <v>1143</v>
      </c>
      <c r="U567" s="11" t="str">
        <f t="shared" si="45"/>
        <v>05:52:58 AM</v>
      </c>
      <c r="AC567" s="4">
        <v>45745</v>
      </c>
      <c r="AD567" s="25">
        <v>22996.81</v>
      </c>
      <c r="BL567" s="2" t="s">
        <v>1717</v>
      </c>
      <c r="BM567" s="4">
        <v>45733</v>
      </c>
      <c r="BN567" s="25">
        <v>5804.19</v>
      </c>
    </row>
    <row r="568" spans="1:66" x14ac:dyDescent="0.35">
      <c r="A568">
        <v>9903</v>
      </c>
      <c r="B568" t="s">
        <v>0</v>
      </c>
      <c r="C568" s="1">
        <v>45437</v>
      </c>
      <c r="D568" t="s">
        <v>1</v>
      </c>
      <c r="E568" t="s">
        <v>36</v>
      </c>
      <c r="F568">
        <v>1</v>
      </c>
      <c r="G568">
        <v>2038.48</v>
      </c>
      <c r="H568">
        <v>2038.48</v>
      </c>
      <c r="I568">
        <v>153.55000000000001</v>
      </c>
      <c r="J568">
        <v>1884.93</v>
      </c>
      <c r="K568">
        <v>296</v>
      </c>
      <c r="L568" s="11" t="s">
        <v>360</v>
      </c>
      <c r="M568">
        <f t="shared" si="41"/>
        <v>25</v>
      </c>
      <c r="N568">
        <f t="shared" si="42"/>
        <v>5</v>
      </c>
      <c r="O568">
        <f t="shared" si="43"/>
        <v>2024</v>
      </c>
      <c r="P568" s="4">
        <f t="shared" si="44"/>
        <v>45437</v>
      </c>
      <c r="Q568" t="s">
        <v>1139</v>
      </c>
      <c r="R568" t="s">
        <v>1137</v>
      </c>
      <c r="S568">
        <v>2</v>
      </c>
      <c r="T568" t="s">
        <v>1150</v>
      </c>
      <c r="U568" s="11" t="str">
        <f t="shared" si="45"/>
        <v>10:22:26 AM</v>
      </c>
      <c r="AC568" s="4">
        <v>45746</v>
      </c>
      <c r="AD568" s="25">
        <v>13431.06</v>
      </c>
      <c r="BL568" s="2" t="s">
        <v>1718</v>
      </c>
      <c r="BM568" s="4">
        <v>45734</v>
      </c>
      <c r="BN568" s="25">
        <v>10426.460000000001</v>
      </c>
    </row>
    <row r="569" spans="1:66" x14ac:dyDescent="0.35">
      <c r="A569">
        <v>8460</v>
      </c>
      <c r="B569" t="s">
        <v>20</v>
      </c>
      <c r="C569" s="1">
        <v>45869</v>
      </c>
      <c r="D569" t="s">
        <v>27</v>
      </c>
      <c r="E569" t="s">
        <v>2</v>
      </c>
      <c r="F569">
        <v>5</v>
      </c>
      <c r="G569">
        <v>2234.36</v>
      </c>
      <c r="H569">
        <v>11171.8</v>
      </c>
      <c r="I569">
        <v>0</v>
      </c>
      <c r="J569">
        <v>11171.8</v>
      </c>
      <c r="K569">
        <v>276</v>
      </c>
      <c r="L569" s="11" t="s">
        <v>361</v>
      </c>
      <c r="M569">
        <f t="shared" si="41"/>
        <v>31</v>
      </c>
      <c r="N569">
        <f t="shared" si="42"/>
        <v>7</v>
      </c>
      <c r="O569">
        <f t="shared" si="43"/>
        <v>2025</v>
      </c>
      <c r="P569" s="4">
        <f t="shared" si="44"/>
        <v>45869</v>
      </c>
      <c r="Q569" t="s">
        <v>1136</v>
      </c>
      <c r="R569" t="s">
        <v>1135</v>
      </c>
      <c r="S569">
        <v>5</v>
      </c>
      <c r="T569" t="s">
        <v>1150</v>
      </c>
      <c r="U569" s="11" t="str">
        <f t="shared" si="45"/>
        <v>06:13:58 PM</v>
      </c>
      <c r="AC569" s="4">
        <v>45747</v>
      </c>
      <c r="AD569" s="25">
        <v>17908.079999999998</v>
      </c>
      <c r="BL569" s="2" t="s">
        <v>1719</v>
      </c>
      <c r="BM569" s="4">
        <v>45735</v>
      </c>
      <c r="BN569" s="25">
        <v>25793.08</v>
      </c>
    </row>
    <row r="570" spans="1:66" x14ac:dyDescent="0.35">
      <c r="A570">
        <v>6272</v>
      </c>
      <c r="B570" t="s">
        <v>8</v>
      </c>
      <c r="C570" s="1">
        <v>45820</v>
      </c>
      <c r="D570" t="s">
        <v>11</v>
      </c>
      <c r="E570" t="s">
        <v>21</v>
      </c>
      <c r="F570">
        <v>2</v>
      </c>
      <c r="G570">
        <v>2227.7199999999998</v>
      </c>
      <c r="H570">
        <v>4455.4399999999996</v>
      </c>
      <c r="I570">
        <v>891.42</v>
      </c>
      <c r="J570">
        <v>3564.02</v>
      </c>
      <c r="K570">
        <v>301</v>
      </c>
      <c r="L570" s="11" t="s">
        <v>362</v>
      </c>
      <c r="M570">
        <f t="shared" si="41"/>
        <v>12</v>
      </c>
      <c r="N570">
        <f t="shared" si="42"/>
        <v>6</v>
      </c>
      <c r="O570">
        <f t="shared" si="43"/>
        <v>2025</v>
      </c>
      <c r="P570" s="4">
        <f t="shared" si="44"/>
        <v>45820</v>
      </c>
      <c r="Q570" t="s">
        <v>1134</v>
      </c>
      <c r="R570" t="s">
        <v>1137</v>
      </c>
      <c r="S570">
        <v>5</v>
      </c>
      <c r="T570" t="s">
        <v>1146</v>
      </c>
      <c r="U570" s="11" t="str">
        <f t="shared" si="45"/>
        <v>10:37:21 AM</v>
      </c>
      <c r="AC570" s="4">
        <v>45748</v>
      </c>
      <c r="AD570" s="25">
        <v>187.58</v>
      </c>
      <c r="BL570" s="2" t="s">
        <v>1720</v>
      </c>
      <c r="BM570" s="4">
        <v>45736</v>
      </c>
      <c r="BN570" s="25">
        <v>17940.449999999997</v>
      </c>
    </row>
    <row r="571" spans="1:66" x14ac:dyDescent="0.35">
      <c r="A571">
        <v>4090</v>
      </c>
      <c r="B571" t="s">
        <v>15</v>
      </c>
      <c r="C571" s="1">
        <v>45686</v>
      </c>
      <c r="D571" t="s">
        <v>27</v>
      </c>
      <c r="E571" t="s">
        <v>36</v>
      </c>
      <c r="F571">
        <v>1</v>
      </c>
      <c r="G571">
        <v>1037.5</v>
      </c>
      <c r="H571">
        <v>1037.5</v>
      </c>
      <c r="I571">
        <v>0</v>
      </c>
      <c r="J571">
        <v>1037.5</v>
      </c>
      <c r="K571">
        <v>257</v>
      </c>
      <c r="L571" s="11" t="s">
        <v>363</v>
      </c>
      <c r="M571">
        <f t="shared" si="41"/>
        <v>29</v>
      </c>
      <c r="N571">
        <f t="shared" si="42"/>
        <v>1</v>
      </c>
      <c r="O571">
        <f t="shared" si="43"/>
        <v>2025</v>
      </c>
      <c r="P571" s="4">
        <f t="shared" si="44"/>
        <v>45686</v>
      </c>
      <c r="Q571" t="s">
        <v>1134</v>
      </c>
      <c r="R571" t="s">
        <v>1135</v>
      </c>
      <c r="S571">
        <v>2</v>
      </c>
      <c r="T571" t="s">
        <v>1141</v>
      </c>
      <c r="U571" s="11" t="str">
        <f t="shared" si="45"/>
        <v>06:45:00 AM</v>
      </c>
      <c r="AC571" s="4">
        <v>45749</v>
      </c>
      <c r="AD571" s="25">
        <v>14653.650000000001</v>
      </c>
      <c r="BL571" s="2" t="s">
        <v>1721</v>
      </c>
      <c r="BM571" s="4">
        <v>45737</v>
      </c>
      <c r="BN571" s="25">
        <v>15303.539999999997</v>
      </c>
    </row>
    <row r="572" spans="1:66" x14ac:dyDescent="0.35">
      <c r="A572">
        <v>4912</v>
      </c>
      <c r="B572" t="s">
        <v>31</v>
      </c>
      <c r="C572" s="1">
        <v>45589</v>
      </c>
      <c r="D572" t="s">
        <v>17</v>
      </c>
      <c r="E572" t="s">
        <v>18</v>
      </c>
      <c r="F572">
        <v>5</v>
      </c>
      <c r="G572">
        <v>419.98</v>
      </c>
      <c r="H572">
        <v>2099.9</v>
      </c>
      <c r="I572">
        <v>397.57</v>
      </c>
      <c r="J572">
        <v>1702.33</v>
      </c>
      <c r="K572">
        <v>81</v>
      </c>
      <c r="L572" s="11" t="s">
        <v>364</v>
      </c>
      <c r="M572">
        <f t="shared" si="41"/>
        <v>24</v>
      </c>
      <c r="N572">
        <f t="shared" si="42"/>
        <v>10</v>
      </c>
      <c r="O572">
        <f t="shared" si="43"/>
        <v>2024</v>
      </c>
      <c r="P572" s="4">
        <f t="shared" si="44"/>
        <v>45589</v>
      </c>
      <c r="Q572" t="s">
        <v>1139</v>
      </c>
      <c r="R572" t="s">
        <v>1137</v>
      </c>
      <c r="S572">
        <v>4</v>
      </c>
      <c r="T572" t="s">
        <v>1145</v>
      </c>
      <c r="U572" s="11" t="str">
        <f t="shared" si="45"/>
        <v>05:56:48 AM</v>
      </c>
      <c r="AC572" s="4">
        <v>45750</v>
      </c>
      <c r="AD572" s="25">
        <v>8939.1</v>
      </c>
      <c r="BL572" s="2" t="s">
        <v>1722</v>
      </c>
      <c r="BM572" s="4">
        <v>45738</v>
      </c>
      <c r="BN572" s="25">
        <v>19926.64</v>
      </c>
    </row>
    <row r="573" spans="1:66" x14ac:dyDescent="0.35">
      <c r="A573">
        <v>7274</v>
      </c>
      <c r="B573" t="s">
        <v>8</v>
      </c>
      <c r="C573" s="1">
        <v>45326</v>
      </c>
      <c r="D573" t="s">
        <v>34</v>
      </c>
      <c r="E573" t="s">
        <v>12</v>
      </c>
      <c r="F573">
        <v>1</v>
      </c>
      <c r="G573">
        <v>609.22</v>
      </c>
      <c r="H573">
        <v>609.22</v>
      </c>
      <c r="I573">
        <v>170.98</v>
      </c>
      <c r="J573">
        <v>438.24</v>
      </c>
      <c r="K573">
        <v>249</v>
      </c>
      <c r="L573" s="11" t="s">
        <v>365</v>
      </c>
      <c r="M573">
        <f t="shared" si="41"/>
        <v>4</v>
      </c>
      <c r="N573">
        <f t="shared" si="42"/>
        <v>2</v>
      </c>
      <c r="O573">
        <f t="shared" si="43"/>
        <v>2024</v>
      </c>
      <c r="P573" s="4">
        <f t="shared" si="44"/>
        <v>45326</v>
      </c>
      <c r="Q573" t="s">
        <v>1134</v>
      </c>
      <c r="R573" t="s">
        <v>1135</v>
      </c>
      <c r="S573">
        <v>5</v>
      </c>
      <c r="T573" t="s">
        <v>1145</v>
      </c>
      <c r="U573" s="11" t="str">
        <f t="shared" si="45"/>
        <v>11:55:34 PM</v>
      </c>
      <c r="AC573" s="4">
        <v>45751</v>
      </c>
      <c r="AD573" s="25">
        <v>3223.72</v>
      </c>
      <c r="BL573" s="2" t="s">
        <v>1723</v>
      </c>
      <c r="BM573" s="4">
        <v>45739</v>
      </c>
      <c r="BN573" s="25">
        <v>24382.080000000002</v>
      </c>
    </row>
    <row r="574" spans="1:66" x14ac:dyDescent="0.35">
      <c r="A574">
        <v>7730</v>
      </c>
      <c r="B574" t="s">
        <v>31</v>
      </c>
      <c r="C574" s="1">
        <v>45178</v>
      </c>
      <c r="D574" t="s">
        <v>1</v>
      </c>
      <c r="E574" t="s">
        <v>33</v>
      </c>
      <c r="F574">
        <v>5</v>
      </c>
      <c r="G574">
        <v>2266.73</v>
      </c>
      <c r="H574">
        <v>11333.65</v>
      </c>
      <c r="I574">
        <v>1133.78</v>
      </c>
      <c r="J574">
        <v>10199.870000000001</v>
      </c>
      <c r="K574">
        <v>184</v>
      </c>
      <c r="L574" s="11" t="s">
        <v>366</v>
      </c>
      <c r="M574">
        <f t="shared" si="41"/>
        <v>9</v>
      </c>
      <c r="N574">
        <f t="shared" si="42"/>
        <v>9</v>
      </c>
      <c r="O574">
        <f t="shared" si="43"/>
        <v>2023</v>
      </c>
      <c r="P574" s="4">
        <f t="shared" si="44"/>
        <v>45178</v>
      </c>
      <c r="Q574" t="s">
        <v>1138</v>
      </c>
      <c r="R574" t="s">
        <v>1135</v>
      </c>
      <c r="S574">
        <v>3</v>
      </c>
      <c r="T574" t="s">
        <v>1144</v>
      </c>
      <c r="U574" s="11" t="str">
        <f t="shared" si="45"/>
        <v>05:49:42 PM</v>
      </c>
      <c r="AC574" s="4">
        <v>45752</v>
      </c>
      <c r="AD574" s="25">
        <v>5741.94</v>
      </c>
      <c r="BL574" s="2" t="s">
        <v>1724</v>
      </c>
      <c r="BM574" s="4">
        <v>45740</v>
      </c>
      <c r="BN574" s="25">
        <v>12690.7</v>
      </c>
    </row>
    <row r="575" spans="1:66" x14ac:dyDescent="0.35">
      <c r="A575">
        <v>6213</v>
      </c>
      <c r="B575" t="s">
        <v>15</v>
      </c>
      <c r="C575" s="1">
        <v>45723</v>
      </c>
      <c r="D575" t="s">
        <v>1</v>
      </c>
      <c r="E575" t="s">
        <v>29</v>
      </c>
      <c r="F575">
        <v>3</v>
      </c>
      <c r="G575">
        <v>330.34</v>
      </c>
      <c r="H575">
        <v>991.02</v>
      </c>
      <c r="I575">
        <v>0</v>
      </c>
      <c r="J575">
        <v>991.02</v>
      </c>
      <c r="K575">
        <v>495</v>
      </c>
      <c r="L575" s="11" t="s">
        <v>367</v>
      </c>
      <c r="M575">
        <f t="shared" si="41"/>
        <v>7</v>
      </c>
      <c r="N575">
        <f t="shared" si="42"/>
        <v>3</v>
      </c>
      <c r="O575">
        <f t="shared" si="43"/>
        <v>2025</v>
      </c>
      <c r="P575" s="4">
        <f t="shared" si="44"/>
        <v>45723</v>
      </c>
      <c r="Q575" t="s">
        <v>1139</v>
      </c>
      <c r="R575" t="s">
        <v>1137</v>
      </c>
      <c r="S575">
        <v>4</v>
      </c>
      <c r="T575" t="s">
        <v>1148</v>
      </c>
      <c r="U575" s="11" t="str">
        <f t="shared" si="45"/>
        <v>09:51:58 AM</v>
      </c>
      <c r="AC575" s="4">
        <v>45753</v>
      </c>
      <c r="AD575" s="25">
        <v>8359.76</v>
      </c>
      <c r="BL575" s="2" t="s">
        <v>1725</v>
      </c>
      <c r="BM575" s="4">
        <v>45741</v>
      </c>
      <c r="BN575" s="25">
        <v>21246.34</v>
      </c>
    </row>
    <row r="576" spans="1:66" x14ac:dyDescent="0.35">
      <c r="A576">
        <v>8749</v>
      </c>
      <c r="B576" t="s">
        <v>19</v>
      </c>
      <c r="C576" s="1">
        <v>45692</v>
      </c>
      <c r="D576" t="s">
        <v>17</v>
      </c>
      <c r="E576" t="s">
        <v>7</v>
      </c>
      <c r="F576">
        <v>5</v>
      </c>
      <c r="G576">
        <v>500.49</v>
      </c>
      <c r="H576">
        <v>2502.4499999999998</v>
      </c>
      <c r="I576">
        <v>375.16</v>
      </c>
      <c r="J576">
        <v>2127.29</v>
      </c>
      <c r="K576">
        <v>334</v>
      </c>
      <c r="L576" s="11" t="s">
        <v>368</v>
      </c>
      <c r="M576">
        <f t="shared" si="41"/>
        <v>4</v>
      </c>
      <c r="N576">
        <f t="shared" si="42"/>
        <v>2</v>
      </c>
      <c r="O576">
        <f t="shared" si="43"/>
        <v>2025</v>
      </c>
      <c r="P576" s="4">
        <f t="shared" si="44"/>
        <v>45692</v>
      </c>
      <c r="Q576" t="s">
        <v>1134</v>
      </c>
      <c r="R576" t="s">
        <v>1135</v>
      </c>
      <c r="S576">
        <v>2</v>
      </c>
      <c r="T576" t="s">
        <v>1145</v>
      </c>
      <c r="U576" s="11" t="str">
        <f t="shared" si="45"/>
        <v>11:14:19 AM</v>
      </c>
      <c r="AC576" s="4">
        <v>45754</v>
      </c>
      <c r="AD576" s="25">
        <v>9137.4700000000012</v>
      </c>
      <c r="BL576" s="2" t="s">
        <v>1726</v>
      </c>
      <c r="BM576" s="4">
        <v>45742</v>
      </c>
      <c r="BN576" s="25">
        <v>7110.6100000000006</v>
      </c>
    </row>
    <row r="577" spans="1:66" x14ac:dyDescent="0.35">
      <c r="A577">
        <v>7246</v>
      </c>
      <c r="B577" t="s">
        <v>0</v>
      </c>
      <c r="C577" s="1">
        <v>45444</v>
      </c>
      <c r="D577" t="s">
        <v>27</v>
      </c>
      <c r="E577" t="s">
        <v>2</v>
      </c>
      <c r="F577">
        <v>4</v>
      </c>
      <c r="G577">
        <v>2423.6</v>
      </c>
      <c r="H577">
        <v>9694.4</v>
      </c>
      <c r="I577">
        <v>1454.16</v>
      </c>
      <c r="J577">
        <v>8240.24</v>
      </c>
      <c r="K577">
        <v>114</v>
      </c>
      <c r="L577" s="11" t="s">
        <v>369</v>
      </c>
      <c r="M577">
        <f t="shared" si="41"/>
        <v>1</v>
      </c>
      <c r="N577">
        <f t="shared" si="42"/>
        <v>6</v>
      </c>
      <c r="O577">
        <f t="shared" si="43"/>
        <v>2024</v>
      </c>
      <c r="P577" s="4">
        <f t="shared" si="44"/>
        <v>45444</v>
      </c>
      <c r="Q577" t="s">
        <v>1139</v>
      </c>
      <c r="R577" t="s">
        <v>1137</v>
      </c>
      <c r="S577">
        <v>4</v>
      </c>
      <c r="T577" t="s">
        <v>1144</v>
      </c>
      <c r="U577" s="11" t="str">
        <f t="shared" si="45"/>
        <v>09:56:58 PM</v>
      </c>
      <c r="AC577" s="4">
        <v>45755</v>
      </c>
      <c r="AD577" s="25">
        <v>6399.3</v>
      </c>
      <c r="BL577" s="2" t="s">
        <v>1727</v>
      </c>
      <c r="BM577" s="4">
        <v>45743</v>
      </c>
      <c r="BN577" s="25">
        <v>8401.2599999999984</v>
      </c>
    </row>
    <row r="578" spans="1:66" x14ac:dyDescent="0.35">
      <c r="A578">
        <v>3492</v>
      </c>
      <c r="B578" t="s">
        <v>25</v>
      </c>
      <c r="C578" s="1">
        <v>45529</v>
      </c>
      <c r="D578" t="s">
        <v>34</v>
      </c>
      <c r="E578" t="s">
        <v>37</v>
      </c>
      <c r="F578">
        <v>5</v>
      </c>
      <c r="G578">
        <v>97.94</v>
      </c>
      <c r="H578">
        <v>489.7</v>
      </c>
      <c r="I578">
        <v>48.97</v>
      </c>
      <c r="J578">
        <v>440.73</v>
      </c>
      <c r="K578">
        <v>451</v>
      </c>
      <c r="L578" s="11" t="s">
        <v>370</v>
      </c>
      <c r="M578">
        <f t="shared" ref="M578:M641" si="46">DAY(C578)</f>
        <v>25</v>
      </c>
      <c r="N578">
        <f t="shared" ref="N578:N641" si="47">MONTH(C578)</f>
        <v>8</v>
      </c>
      <c r="O578">
        <f t="shared" ref="O578:O641" si="48">YEAR(C578)</f>
        <v>2024</v>
      </c>
      <c r="P578" s="4">
        <f t="shared" si="44"/>
        <v>45529</v>
      </c>
      <c r="Q578" t="s">
        <v>1138</v>
      </c>
      <c r="R578" t="s">
        <v>1137</v>
      </c>
      <c r="S578">
        <v>1</v>
      </c>
      <c r="T578" t="s">
        <v>1141</v>
      </c>
      <c r="U578" s="11" t="str">
        <f t="shared" si="45"/>
        <v>08:16:19 PM</v>
      </c>
      <c r="AC578" s="4">
        <v>45756</v>
      </c>
      <c r="AD578" s="25">
        <v>11096.27</v>
      </c>
      <c r="BL578" s="2" t="s">
        <v>1728</v>
      </c>
      <c r="BM578" s="4">
        <v>45744</v>
      </c>
      <c r="BN578" s="25">
        <v>4075.2999999999997</v>
      </c>
    </row>
    <row r="579" spans="1:66" x14ac:dyDescent="0.35">
      <c r="A579">
        <v>1606</v>
      </c>
      <c r="B579" t="s">
        <v>8</v>
      </c>
      <c r="C579" s="1">
        <v>45243</v>
      </c>
      <c r="D579" t="s">
        <v>6</v>
      </c>
      <c r="E579" t="s">
        <v>32</v>
      </c>
      <c r="F579">
        <v>5</v>
      </c>
      <c r="G579">
        <v>1630.95</v>
      </c>
      <c r="H579">
        <v>8154.75</v>
      </c>
      <c r="I579">
        <v>1630.95</v>
      </c>
      <c r="J579">
        <v>6523.8</v>
      </c>
      <c r="K579">
        <v>108</v>
      </c>
      <c r="L579" s="11" t="s">
        <v>371</v>
      </c>
      <c r="M579">
        <f t="shared" si="46"/>
        <v>13</v>
      </c>
      <c r="N579">
        <f t="shared" si="47"/>
        <v>11</v>
      </c>
      <c r="O579">
        <f t="shared" si="48"/>
        <v>2023</v>
      </c>
      <c r="P579" s="4">
        <f t="shared" ref="P579:P642" si="49">DATE(O579,N579,M579)</f>
        <v>45243</v>
      </c>
      <c r="Q579" t="s">
        <v>1139</v>
      </c>
      <c r="R579" t="s">
        <v>1135</v>
      </c>
      <c r="S579">
        <v>1</v>
      </c>
      <c r="T579" t="s">
        <v>1148</v>
      </c>
      <c r="U579" s="11" t="str">
        <f t="shared" si="45"/>
        <v>12:30:30 AM</v>
      </c>
      <c r="AC579" s="4">
        <v>45757</v>
      </c>
      <c r="AD579" s="25">
        <v>18709.03</v>
      </c>
      <c r="BL579" s="2" t="s">
        <v>1729</v>
      </c>
      <c r="BM579" s="4">
        <v>45745</v>
      </c>
      <c r="BN579" s="25">
        <v>22996.81</v>
      </c>
    </row>
    <row r="580" spans="1:66" x14ac:dyDescent="0.35">
      <c r="A580">
        <v>9229</v>
      </c>
      <c r="B580" t="s">
        <v>8</v>
      </c>
      <c r="C580" s="1">
        <v>45603</v>
      </c>
      <c r="D580" t="s">
        <v>11</v>
      </c>
      <c r="E580" t="s">
        <v>38</v>
      </c>
      <c r="F580">
        <v>2</v>
      </c>
      <c r="G580">
        <v>1079.83</v>
      </c>
      <c r="H580">
        <v>2159.66</v>
      </c>
      <c r="I580">
        <v>215.8</v>
      </c>
      <c r="J580">
        <v>1943.86</v>
      </c>
      <c r="K580">
        <v>169</v>
      </c>
      <c r="L580" s="11" t="s">
        <v>372</v>
      </c>
      <c r="M580">
        <f t="shared" si="46"/>
        <v>7</v>
      </c>
      <c r="N580">
        <f t="shared" si="47"/>
        <v>11</v>
      </c>
      <c r="O580">
        <f t="shared" si="48"/>
        <v>2024</v>
      </c>
      <c r="P580" s="4">
        <f t="shared" si="49"/>
        <v>45603</v>
      </c>
      <c r="Q580" t="s">
        <v>1139</v>
      </c>
      <c r="R580" t="s">
        <v>1137</v>
      </c>
      <c r="S580">
        <v>5</v>
      </c>
      <c r="T580" t="s">
        <v>1148</v>
      </c>
      <c r="U580" s="11" t="str">
        <f t="shared" si="45"/>
        <v>12:33:58 AM</v>
      </c>
      <c r="AC580" s="4">
        <v>45758</v>
      </c>
      <c r="AD580" s="25">
        <v>9559.11</v>
      </c>
      <c r="BL580" s="2" t="s">
        <v>1730</v>
      </c>
      <c r="BM580" s="4">
        <v>45746</v>
      </c>
      <c r="BN580" s="25">
        <v>13431.06</v>
      </c>
    </row>
    <row r="581" spans="1:66" x14ac:dyDescent="0.35">
      <c r="A581">
        <v>6439</v>
      </c>
      <c r="B581" t="s">
        <v>15</v>
      </c>
      <c r="C581" s="1">
        <v>45820</v>
      </c>
      <c r="D581" t="s">
        <v>34</v>
      </c>
      <c r="E581" t="s">
        <v>33</v>
      </c>
      <c r="F581">
        <v>5</v>
      </c>
      <c r="G581">
        <v>470.61</v>
      </c>
      <c r="H581">
        <v>2353.0500000000002</v>
      </c>
      <c r="I581">
        <v>163.51</v>
      </c>
      <c r="J581">
        <v>2189.54</v>
      </c>
      <c r="K581">
        <v>426</v>
      </c>
      <c r="L581" s="11" t="s">
        <v>373</v>
      </c>
      <c r="M581">
        <f t="shared" si="46"/>
        <v>12</v>
      </c>
      <c r="N581">
        <f t="shared" si="47"/>
        <v>6</v>
      </c>
      <c r="O581">
        <f t="shared" si="48"/>
        <v>2025</v>
      </c>
      <c r="P581" s="4">
        <f t="shared" si="49"/>
        <v>45820</v>
      </c>
      <c r="Q581" t="s">
        <v>1139</v>
      </c>
      <c r="R581" t="s">
        <v>1137</v>
      </c>
      <c r="S581">
        <v>5</v>
      </c>
      <c r="T581" t="s">
        <v>1150</v>
      </c>
      <c r="U581" s="11" t="str">
        <f t="shared" si="45"/>
        <v>03:35:41 PM</v>
      </c>
      <c r="AC581" s="4">
        <v>45759</v>
      </c>
      <c r="AD581" s="25">
        <v>14995.61</v>
      </c>
      <c r="BL581" s="2" t="s">
        <v>1731</v>
      </c>
      <c r="BM581" s="4">
        <v>45747</v>
      </c>
      <c r="BN581" s="25">
        <v>17908.079999999998</v>
      </c>
    </row>
    <row r="582" spans="1:66" x14ac:dyDescent="0.35">
      <c r="A582">
        <v>2644</v>
      </c>
      <c r="B582" t="s">
        <v>8</v>
      </c>
      <c r="C582" s="1">
        <v>45824</v>
      </c>
      <c r="D582" t="s">
        <v>17</v>
      </c>
      <c r="E582" t="s">
        <v>18</v>
      </c>
      <c r="F582">
        <v>2</v>
      </c>
      <c r="G582">
        <v>1597.75</v>
      </c>
      <c r="H582">
        <v>3195.5</v>
      </c>
      <c r="I582">
        <v>138.61000000000001</v>
      </c>
      <c r="J582">
        <v>3056.89</v>
      </c>
      <c r="K582">
        <v>20</v>
      </c>
      <c r="L582" s="11" t="s">
        <v>374</v>
      </c>
      <c r="M582">
        <f t="shared" si="46"/>
        <v>16</v>
      </c>
      <c r="N582">
        <f t="shared" si="47"/>
        <v>6</v>
      </c>
      <c r="O582">
        <f t="shared" si="48"/>
        <v>2025</v>
      </c>
      <c r="P582" s="4">
        <f t="shared" si="49"/>
        <v>45824</v>
      </c>
      <c r="Q582" t="s">
        <v>1139</v>
      </c>
      <c r="R582" t="s">
        <v>1137</v>
      </c>
      <c r="S582">
        <v>3</v>
      </c>
      <c r="T582" t="s">
        <v>1146</v>
      </c>
      <c r="U582" s="11" t="str">
        <f t="shared" si="45"/>
        <v>08:14:44 PM</v>
      </c>
      <c r="AC582" s="4">
        <v>45760</v>
      </c>
      <c r="AD582" s="25">
        <v>6903.11</v>
      </c>
      <c r="BL582" s="2" t="s">
        <v>1732</v>
      </c>
      <c r="BM582" s="4">
        <v>45748</v>
      </c>
      <c r="BN582" s="25">
        <v>187.58</v>
      </c>
    </row>
    <row r="583" spans="1:66" x14ac:dyDescent="0.35">
      <c r="A583">
        <v>8213</v>
      </c>
      <c r="B583" t="s">
        <v>8</v>
      </c>
      <c r="C583" s="1">
        <v>45222</v>
      </c>
      <c r="D583" t="s">
        <v>27</v>
      </c>
      <c r="E583" t="s">
        <v>21</v>
      </c>
      <c r="F583">
        <v>5</v>
      </c>
      <c r="G583">
        <v>2415.3000000000002</v>
      </c>
      <c r="H583">
        <v>12076.5</v>
      </c>
      <c r="I583">
        <v>0</v>
      </c>
      <c r="J583">
        <v>12076.5</v>
      </c>
      <c r="K583">
        <v>326</v>
      </c>
      <c r="L583" s="11" t="s">
        <v>375</v>
      </c>
      <c r="M583">
        <f t="shared" si="46"/>
        <v>23</v>
      </c>
      <c r="N583">
        <f t="shared" si="47"/>
        <v>10</v>
      </c>
      <c r="O583">
        <f t="shared" si="48"/>
        <v>2023</v>
      </c>
      <c r="P583" s="4">
        <f t="shared" si="49"/>
        <v>45222</v>
      </c>
      <c r="Q583" t="s">
        <v>1138</v>
      </c>
      <c r="R583" t="s">
        <v>1137</v>
      </c>
      <c r="S583">
        <v>4</v>
      </c>
      <c r="T583" t="s">
        <v>1149</v>
      </c>
      <c r="U583" s="11" t="str">
        <f t="shared" si="45"/>
        <v>08:55:16 AM</v>
      </c>
      <c r="AC583" s="4">
        <v>45761</v>
      </c>
      <c r="AD583" s="25">
        <v>9206.36</v>
      </c>
      <c r="BL583" s="2" t="s">
        <v>1733</v>
      </c>
      <c r="BM583" s="4">
        <v>45749</v>
      </c>
      <c r="BN583" s="25">
        <v>14653.650000000001</v>
      </c>
    </row>
    <row r="584" spans="1:66" x14ac:dyDescent="0.35">
      <c r="A584">
        <v>9617</v>
      </c>
      <c r="B584" t="s">
        <v>19</v>
      </c>
      <c r="C584" s="1">
        <v>45852</v>
      </c>
      <c r="D584" t="s">
        <v>4</v>
      </c>
      <c r="E584" t="s">
        <v>33</v>
      </c>
      <c r="F584">
        <v>4</v>
      </c>
      <c r="G584">
        <v>1542.14</v>
      </c>
      <c r="H584">
        <v>6168.56</v>
      </c>
      <c r="I584">
        <v>1233.3800000000001</v>
      </c>
      <c r="J584">
        <v>4935.18</v>
      </c>
      <c r="K584">
        <v>241</v>
      </c>
      <c r="L584" s="11" t="s">
        <v>376</v>
      </c>
      <c r="M584">
        <f t="shared" si="46"/>
        <v>14</v>
      </c>
      <c r="N584">
        <f t="shared" si="47"/>
        <v>7</v>
      </c>
      <c r="O584">
        <f t="shared" si="48"/>
        <v>2025</v>
      </c>
      <c r="P584" s="4">
        <f t="shared" si="49"/>
        <v>45852</v>
      </c>
      <c r="Q584" t="s">
        <v>1136</v>
      </c>
      <c r="R584" t="s">
        <v>1137</v>
      </c>
      <c r="S584">
        <v>1</v>
      </c>
      <c r="T584" t="s">
        <v>1148</v>
      </c>
      <c r="U584" s="11" t="str">
        <f t="shared" si="45"/>
        <v>08:47:40 AM</v>
      </c>
      <c r="AC584" s="4">
        <v>45762</v>
      </c>
      <c r="AD584" s="25">
        <v>4709.42</v>
      </c>
      <c r="BL584" s="2" t="s">
        <v>1734</v>
      </c>
      <c r="BM584" s="4">
        <v>45750</v>
      </c>
      <c r="BN584" s="25">
        <v>8939.1</v>
      </c>
    </row>
    <row r="585" spans="1:66" x14ac:dyDescent="0.35">
      <c r="A585">
        <v>8486</v>
      </c>
      <c r="B585" t="s">
        <v>31</v>
      </c>
      <c r="C585" s="1">
        <v>45156</v>
      </c>
      <c r="D585" t="s">
        <v>9</v>
      </c>
      <c r="E585" t="s">
        <v>30</v>
      </c>
      <c r="F585">
        <v>5</v>
      </c>
      <c r="G585">
        <v>2056.7399999999998</v>
      </c>
      <c r="H585">
        <v>10283.700000000001</v>
      </c>
      <c r="I585">
        <v>2056.7399999999998</v>
      </c>
      <c r="J585">
        <v>8226.9599999999991</v>
      </c>
      <c r="K585">
        <v>93</v>
      </c>
      <c r="L585" s="11" t="s">
        <v>377</v>
      </c>
      <c r="M585">
        <f t="shared" si="46"/>
        <v>18</v>
      </c>
      <c r="N585">
        <f t="shared" si="47"/>
        <v>8</v>
      </c>
      <c r="O585">
        <f t="shared" si="48"/>
        <v>2023</v>
      </c>
      <c r="P585" s="4">
        <f t="shared" si="49"/>
        <v>45156</v>
      </c>
      <c r="Q585" t="s">
        <v>1139</v>
      </c>
      <c r="R585" t="s">
        <v>1135</v>
      </c>
      <c r="S585">
        <v>5</v>
      </c>
      <c r="T585" t="s">
        <v>1142</v>
      </c>
      <c r="U585" s="11" t="str">
        <f t="shared" si="45"/>
        <v>11:46:42 PM</v>
      </c>
      <c r="AC585" s="4">
        <v>45763</v>
      </c>
      <c r="AD585" s="25">
        <v>19112.41</v>
      </c>
      <c r="BL585" s="2" t="s">
        <v>1735</v>
      </c>
      <c r="BM585" s="4">
        <v>45751</v>
      </c>
      <c r="BN585" s="25">
        <v>3223.72</v>
      </c>
    </row>
    <row r="586" spans="1:66" x14ac:dyDescent="0.35">
      <c r="A586">
        <v>3361</v>
      </c>
      <c r="B586" t="s">
        <v>25</v>
      </c>
      <c r="C586" s="1">
        <v>45463</v>
      </c>
      <c r="D586" t="s">
        <v>34</v>
      </c>
      <c r="E586" t="s">
        <v>32</v>
      </c>
      <c r="F586">
        <v>2</v>
      </c>
      <c r="G586">
        <v>992.68</v>
      </c>
      <c r="H586">
        <v>1985.36</v>
      </c>
      <c r="I586">
        <v>150.22999999999999</v>
      </c>
      <c r="J586">
        <v>1835.13</v>
      </c>
      <c r="K586">
        <v>67</v>
      </c>
      <c r="L586" s="11" t="s">
        <v>378</v>
      </c>
      <c r="M586">
        <f t="shared" si="46"/>
        <v>20</v>
      </c>
      <c r="N586">
        <f t="shared" si="47"/>
        <v>6</v>
      </c>
      <c r="O586">
        <f t="shared" si="48"/>
        <v>2024</v>
      </c>
      <c r="P586" s="4">
        <f t="shared" si="49"/>
        <v>45463</v>
      </c>
      <c r="Q586" t="s">
        <v>1139</v>
      </c>
      <c r="R586" t="s">
        <v>1137</v>
      </c>
      <c r="S586">
        <v>4</v>
      </c>
      <c r="T586" t="s">
        <v>1144</v>
      </c>
      <c r="U586" s="11" t="str">
        <f t="shared" si="45"/>
        <v>03:50:43 PM</v>
      </c>
      <c r="AC586" s="4">
        <v>45764</v>
      </c>
      <c r="AD586" s="25">
        <v>6830.9</v>
      </c>
      <c r="BL586" s="2" t="s">
        <v>1736</v>
      </c>
      <c r="BM586" s="4">
        <v>45752</v>
      </c>
      <c r="BN586" s="25">
        <v>5741.94</v>
      </c>
    </row>
    <row r="587" spans="1:66" x14ac:dyDescent="0.35">
      <c r="A587">
        <v>3529</v>
      </c>
      <c r="B587" t="s">
        <v>3</v>
      </c>
      <c r="C587" s="1">
        <v>45203</v>
      </c>
      <c r="D587" t="s">
        <v>16</v>
      </c>
      <c r="E587" t="s">
        <v>5</v>
      </c>
      <c r="F587">
        <v>2</v>
      </c>
      <c r="G587">
        <v>1539.65</v>
      </c>
      <c r="H587">
        <v>3079.3</v>
      </c>
      <c r="I587">
        <v>282.2</v>
      </c>
      <c r="J587">
        <v>2797.1</v>
      </c>
      <c r="K587">
        <v>90</v>
      </c>
      <c r="L587" s="11" t="s">
        <v>379</v>
      </c>
      <c r="M587">
        <f t="shared" si="46"/>
        <v>4</v>
      </c>
      <c r="N587">
        <f t="shared" si="47"/>
        <v>10</v>
      </c>
      <c r="O587">
        <f t="shared" si="48"/>
        <v>2023</v>
      </c>
      <c r="P587" s="4">
        <f t="shared" si="49"/>
        <v>45203</v>
      </c>
      <c r="Q587" t="s">
        <v>1134</v>
      </c>
      <c r="R587" t="s">
        <v>1137</v>
      </c>
      <c r="S587">
        <v>5</v>
      </c>
      <c r="T587" t="s">
        <v>1148</v>
      </c>
      <c r="U587" s="11" t="str">
        <f t="shared" si="45"/>
        <v>01:50:33 PM</v>
      </c>
      <c r="AC587" s="4">
        <v>45765</v>
      </c>
      <c r="AD587" s="25">
        <v>9953.36</v>
      </c>
      <c r="BL587" s="2" t="s">
        <v>1737</v>
      </c>
      <c r="BM587" s="4">
        <v>45753</v>
      </c>
      <c r="BN587" s="25">
        <v>8359.76</v>
      </c>
    </row>
    <row r="588" spans="1:66" x14ac:dyDescent="0.35">
      <c r="A588">
        <v>8692</v>
      </c>
      <c r="B588" t="s">
        <v>3</v>
      </c>
      <c r="C588" s="1">
        <v>45752</v>
      </c>
      <c r="D588" t="s">
        <v>27</v>
      </c>
      <c r="E588" t="s">
        <v>38</v>
      </c>
      <c r="F588">
        <v>1</v>
      </c>
      <c r="G588">
        <v>1242.51</v>
      </c>
      <c r="H588">
        <v>1242.51</v>
      </c>
      <c r="I588">
        <v>0</v>
      </c>
      <c r="J588">
        <v>1242.51</v>
      </c>
      <c r="K588">
        <v>66</v>
      </c>
      <c r="L588" s="11" t="s">
        <v>380</v>
      </c>
      <c r="M588">
        <f t="shared" si="46"/>
        <v>5</v>
      </c>
      <c r="N588">
        <f t="shared" si="47"/>
        <v>4</v>
      </c>
      <c r="O588">
        <f t="shared" si="48"/>
        <v>2025</v>
      </c>
      <c r="P588" s="4">
        <f t="shared" si="49"/>
        <v>45752</v>
      </c>
      <c r="Q588" t="s">
        <v>1139</v>
      </c>
      <c r="R588" t="s">
        <v>1137</v>
      </c>
      <c r="S588">
        <v>5</v>
      </c>
      <c r="T588" t="s">
        <v>1148</v>
      </c>
      <c r="U588" s="11" t="str">
        <f t="shared" si="45"/>
        <v>08:21:11 PM</v>
      </c>
      <c r="AC588" s="4">
        <v>45766</v>
      </c>
      <c r="AD588" s="25">
        <v>2460.9499999999998</v>
      </c>
      <c r="BL588" s="2" t="s">
        <v>1738</v>
      </c>
      <c r="BM588" s="4">
        <v>45754</v>
      </c>
      <c r="BN588" s="25">
        <v>9137.4700000000012</v>
      </c>
    </row>
    <row r="589" spans="1:66" x14ac:dyDescent="0.35">
      <c r="A589">
        <v>5342</v>
      </c>
      <c r="B589" t="s">
        <v>13</v>
      </c>
      <c r="C589" s="1">
        <v>45407</v>
      </c>
      <c r="D589" t="s">
        <v>27</v>
      </c>
      <c r="E589" t="s">
        <v>5</v>
      </c>
      <c r="F589">
        <v>3</v>
      </c>
      <c r="G589">
        <v>2187.88</v>
      </c>
      <c r="H589">
        <v>6563.64</v>
      </c>
      <c r="I589">
        <v>1313.06</v>
      </c>
      <c r="J589">
        <v>5250.58</v>
      </c>
      <c r="K589">
        <v>357</v>
      </c>
      <c r="L589" s="11" t="s">
        <v>381</v>
      </c>
      <c r="M589">
        <f t="shared" si="46"/>
        <v>25</v>
      </c>
      <c r="N589">
        <f t="shared" si="47"/>
        <v>4</v>
      </c>
      <c r="O589">
        <f t="shared" si="48"/>
        <v>2024</v>
      </c>
      <c r="P589" s="4">
        <f t="shared" si="49"/>
        <v>45407</v>
      </c>
      <c r="Q589" t="s">
        <v>1134</v>
      </c>
      <c r="R589" t="s">
        <v>1137</v>
      </c>
      <c r="S589">
        <v>1</v>
      </c>
      <c r="T589" t="s">
        <v>1147</v>
      </c>
      <c r="U589" s="11" t="str">
        <f t="shared" si="45"/>
        <v>01:31:05 AM</v>
      </c>
      <c r="AC589" s="4">
        <v>45767</v>
      </c>
      <c r="AD589" s="25">
        <v>24065.85</v>
      </c>
      <c r="BL589" s="2" t="s">
        <v>1739</v>
      </c>
      <c r="BM589" s="4">
        <v>45755</v>
      </c>
      <c r="BN589" s="25">
        <v>6399.3</v>
      </c>
    </row>
    <row r="590" spans="1:66" x14ac:dyDescent="0.35">
      <c r="A590">
        <v>7512</v>
      </c>
      <c r="B590" t="s">
        <v>15</v>
      </c>
      <c r="C590" s="1">
        <v>45649</v>
      </c>
      <c r="D590" t="s">
        <v>9</v>
      </c>
      <c r="E590" t="s">
        <v>12</v>
      </c>
      <c r="F590">
        <v>5</v>
      </c>
      <c r="G590">
        <v>2018.56</v>
      </c>
      <c r="H590">
        <v>10092.799999999999</v>
      </c>
      <c r="I590">
        <v>1009.28</v>
      </c>
      <c r="J590">
        <v>9083.52</v>
      </c>
      <c r="K590">
        <v>464</v>
      </c>
      <c r="L590" s="11" t="s">
        <v>382</v>
      </c>
      <c r="M590">
        <f t="shared" si="46"/>
        <v>23</v>
      </c>
      <c r="N590">
        <f t="shared" si="47"/>
        <v>12</v>
      </c>
      <c r="O590">
        <f t="shared" si="48"/>
        <v>2024</v>
      </c>
      <c r="P590" s="4">
        <f t="shared" si="49"/>
        <v>45649</v>
      </c>
      <c r="Q590" t="s">
        <v>1136</v>
      </c>
      <c r="R590" t="s">
        <v>1137</v>
      </c>
      <c r="S590">
        <v>1</v>
      </c>
      <c r="T590" t="s">
        <v>1142</v>
      </c>
      <c r="U590" s="11" t="str">
        <f t="shared" si="45"/>
        <v>04:59:23 AM</v>
      </c>
      <c r="AC590" s="4">
        <v>45768</v>
      </c>
      <c r="AD590" s="25">
        <v>10956.83</v>
      </c>
      <c r="BL590" s="2" t="s">
        <v>1740</v>
      </c>
      <c r="BM590" s="4">
        <v>45756</v>
      </c>
      <c r="BN590" s="25">
        <v>11096.27</v>
      </c>
    </row>
    <row r="591" spans="1:66" x14ac:dyDescent="0.35">
      <c r="A591">
        <v>2315</v>
      </c>
      <c r="B591" t="s">
        <v>8</v>
      </c>
      <c r="C591" s="1">
        <v>45806</v>
      </c>
      <c r="D591" t="s">
        <v>24</v>
      </c>
      <c r="E591" t="s">
        <v>37</v>
      </c>
      <c r="F591">
        <v>2</v>
      </c>
      <c r="G591">
        <v>2272.54</v>
      </c>
      <c r="H591">
        <v>4545.08</v>
      </c>
      <c r="I591">
        <v>374.33</v>
      </c>
      <c r="J591">
        <v>4170.75</v>
      </c>
      <c r="K591">
        <v>42</v>
      </c>
      <c r="L591" s="11" t="s">
        <v>383</v>
      </c>
      <c r="M591">
        <f t="shared" si="46"/>
        <v>29</v>
      </c>
      <c r="N591">
        <f t="shared" si="47"/>
        <v>5</v>
      </c>
      <c r="O591">
        <f t="shared" si="48"/>
        <v>2025</v>
      </c>
      <c r="P591" s="4">
        <f t="shared" si="49"/>
        <v>45806</v>
      </c>
      <c r="Q591" t="s">
        <v>1138</v>
      </c>
      <c r="R591" t="s">
        <v>1135</v>
      </c>
      <c r="S591">
        <v>5</v>
      </c>
      <c r="T591" t="s">
        <v>1147</v>
      </c>
      <c r="U591" s="11" t="str">
        <f t="shared" si="45"/>
        <v>12:16:36 PM</v>
      </c>
      <c r="AC591" s="4">
        <v>45769</v>
      </c>
      <c r="AD591" s="25">
        <v>25594.71</v>
      </c>
      <c r="BL591" s="2" t="s">
        <v>1741</v>
      </c>
      <c r="BM591" s="4">
        <v>45757</v>
      </c>
      <c r="BN591" s="25">
        <v>18709.03</v>
      </c>
    </row>
    <row r="592" spans="1:66" x14ac:dyDescent="0.35">
      <c r="A592">
        <v>6383</v>
      </c>
      <c r="B592" t="s">
        <v>13</v>
      </c>
      <c r="C592" s="1">
        <v>45807</v>
      </c>
      <c r="D592" t="s">
        <v>24</v>
      </c>
      <c r="E592" t="s">
        <v>33</v>
      </c>
      <c r="F592">
        <v>1</v>
      </c>
      <c r="G592">
        <v>1789.48</v>
      </c>
      <c r="H592">
        <v>1789.48</v>
      </c>
      <c r="I592">
        <v>256.47000000000003</v>
      </c>
      <c r="J592">
        <v>1533.01</v>
      </c>
      <c r="K592">
        <v>404</v>
      </c>
      <c r="L592" s="11" t="s">
        <v>384</v>
      </c>
      <c r="M592">
        <f t="shared" si="46"/>
        <v>30</v>
      </c>
      <c r="N592">
        <f t="shared" si="47"/>
        <v>5</v>
      </c>
      <c r="O592">
        <f t="shared" si="48"/>
        <v>2025</v>
      </c>
      <c r="P592" s="4">
        <f t="shared" si="49"/>
        <v>45807</v>
      </c>
      <c r="Q592" t="s">
        <v>1138</v>
      </c>
      <c r="R592" t="s">
        <v>1137</v>
      </c>
      <c r="S592">
        <v>2</v>
      </c>
      <c r="T592" t="s">
        <v>1148</v>
      </c>
      <c r="U592" s="11" t="str">
        <f t="shared" si="45"/>
        <v>07:48:26 PM</v>
      </c>
      <c r="AC592" s="4">
        <v>45770</v>
      </c>
      <c r="AD592" s="25">
        <v>15059.52</v>
      </c>
      <c r="BL592" s="2" t="s">
        <v>1742</v>
      </c>
      <c r="BM592" s="4">
        <v>45758</v>
      </c>
      <c r="BN592" s="25">
        <v>9559.11</v>
      </c>
    </row>
    <row r="593" spans="1:66" x14ac:dyDescent="0.35">
      <c r="A593">
        <v>9742</v>
      </c>
      <c r="B593" t="s">
        <v>3</v>
      </c>
      <c r="C593" s="1">
        <v>45440</v>
      </c>
      <c r="D593" t="s">
        <v>1</v>
      </c>
      <c r="E593" t="s">
        <v>21</v>
      </c>
      <c r="F593">
        <v>2</v>
      </c>
      <c r="G593">
        <v>1738.02</v>
      </c>
      <c r="H593">
        <v>3476.04</v>
      </c>
      <c r="I593">
        <v>521.24</v>
      </c>
      <c r="J593">
        <v>2954.8</v>
      </c>
      <c r="K593">
        <v>161</v>
      </c>
      <c r="L593" s="11" t="s">
        <v>385</v>
      </c>
      <c r="M593">
        <f t="shared" si="46"/>
        <v>28</v>
      </c>
      <c r="N593">
        <f t="shared" si="47"/>
        <v>5</v>
      </c>
      <c r="O593">
        <f t="shared" si="48"/>
        <v>2024</v>
      </c>
      <c r="P593" s="4">
        <f t="shared" si="49"/>
        <v>45440</v>
      </c>
      <c r="Q593" t="s">
        <v>1136</v>
      </c>
      <c r="R593" t="s">
        <v>1135</v>
      </c>
      <c r="S593">
        <v>5</v>
      </c>
      <c r="T593" t="s">
        <v>1149</v>
      </c>
      <c r="U593" s="11" t="str">
        <f t="shared" si="45"/>
        <v>03:18:30 PM</v>
      </c>
      <c r="AC593" s="4">
        <v>45771</v>
      </c>
      <c r="AD593" s="25">
        <v>15954.259999999998</v>
      </c>
      <c r="BL593" s="2" t="s">
        <v>1743</v>
      </c>
      <c r="BM593" s="4">
        <v>45759</v>
      </c>
      <c r="BN593" s="25">
        <v>14995.61</v>
      </c>
    </row>
    <row r="594" spans="1:66" x14ac:dyDescent="0.35">
      <c r="A594">
        <v>6188</v>
      </c>
      <c r="B594" t="s">
        <v>0</v>
      </c>
      <c r="C594" s="1">
        <v>45631</v>
      </c>
      <c r="D594" t="s">
        <v>23</v>
      </c>
      <c r="E594" t="s">
        <v>5</v>
      </c>
      <c r="F594">
        <v>5</v>
      </c>
      <c r="G594">
        <v>693.05</v>
      </c>
      <c r="H594">
        <v>3465.25</v>
      </c>
      <c r="I594">
        <v>204.18</v>
      </c>
      <c r="J594">
        <v>3261.07</v>
      </c>
      <c r="K594">
        <v>437</v>
      </c>
      <c r="L594" s="11" t="s">
        <v>386</v>
      </c>
      <c r="M594">
        <f t="shared" si="46"/>
        <v>5</v>
      </c>
      <c r="N594">
        <f t="shared" si="47"/>
        <v>12</v>
      </c>
      <c r="O594">
        <f t="shared" si="48"/>
        <v>2024</v>
      </c>
      <c r="P594" s="4">
        <f t="shared" si="49"/>
        <v>45631</v>
      </c>
      <c r="Q594" t="s">
        <v>1138</v>
      </c>
      <c r="R594" t="s">
        <v>1135</v>
      </c>
      <c r="S594">
        <v>5</v>
      </c>
      <c r="T594" t="s">
        <v>1142</v>
      </c>
      <c r="U594" s="11" t="str">
        <f t="shared" si="45"/>
        <v>06:10:57 AM</v>
      </c>
      <c r="AC594" s="4">
        <v>45772</v>
      </c>
      <c r="AD594" s="25">
        <v>5821.62</v>
      </c>
      <c r="BL594" s="2" t="s">
        <v>1744</v>
      </c>
      <c r="BM594" s="4">
        <v>45760</v>
      </c>
      <c r="BN594" s="25">
        <v>6903.11</v>
      </c>
    </row>
    <row r="595" spans="1:66" x14ac:dyDescent="0.35">
      <c r="A595">
        <v>8994</v>
      </c>
      <c r="B595" t="s">
        <v>19</v>
      </c>
      <c r="C595" s="1">
        <v>45822</v>
      </c>
      <c r="D595" t="s">
        <v>16</v>
      </c>
      <c r="E595" t="s">
        <v>21</v>
      </c>
      <c r="F595">
        <v>2</v>
      </c>
      <c r="G595">
        <v>1076.51</v>
      </c>
      <c r="H595">
        <v>2153.02</v>
      </c>
      <c r="I595">
        <v>430.77</v>
      </c>
      <c r="J595">
        <v>1722.25</v>
      </c>
      <c r="K595">
        <v>401</v>
      </c>
      <c r="L595" s="11" t="s">
        <v>387</v>
      </c>
      <c r="M595">
        <f t="shared" si="46"/>
        <v>14</v>
      </c>
      <c r="N595">
        <f t="shared" si="47"/>
        <v>6</v>
      </c>
      <c r="O595">
        <f t="shared" si="48"/>
        <v>2025</v>
      </c>
      <c r="P595" s="4">
        <f t="shared" si="49"/>
        <v>45822</v>
      </c>
      <c r="Q595" t="s">
        <v>1136</v>
      </c>
      <c r="R595" t="s">
        <v>1135</v>
      </c>
      <c r="S595">
        <v>3</v>
      </c>
      <c r="T595" t="s">
        <v>1150</v>
      </c>
      <c r="U595" s="11" t="str">
        <f t="shared" si="45"/>
        <v>11:05:30 AM</v>
      </c>
      <c r="AC595" s="4">
        <v>45773</v>
      </c>
      <c r="AD595" s="25">
        <v>10532.699999999999</v>
      </c>
      <c r="BL595" s="2" t="s">
        <v>1745</v>
      </c>
      <c r="BM595" s="4">
        <v>45761</v>
      </c>
      <c r="BN595" s="25">
        <v>9206.36</v>
      </c>
    </row>
    <row r="596" spans="1:66" x14ac:dyDescent="0.35">
      <c r="A596">
        <v>9864</v>
      </c>
      <c r="B596" t="s">
        <v>25</v>
      </c>
      <c r="C596" s="1">
        <v>45172</v>
      </c>
      <c r="D596" t="s">
        <v>27</v>
      </c>
      <c r="E596" t="s">
        <v>7</v>
      </c>
      <c r="F596">
        <v>4</v>
      </c>
      <c r="G596">
        <v>693.05</v>
      </c>
      <c r="H596">
        <v>2772.2</v>
      </c>
      <c r="I596">
        <v>0</v>
      </c>
      <c r="J596">
        <v>2772.2</v>
      </c>
      <c r="K596">
        <v>157</v>
      </c>
      <c r="L596" s="11" t="s">
        <v>388</v>
      </c>
      <c r="M596">
        <f t="shared" si="46"/>
        <v>3</v>
      </c>
      <c r="N596">
        <f t="shared" si="47"/>
        <v>9</v>
      </c>
      <c r="O596">
        <f t="shared" si="48"/>
        <v>2023</v>
      </c>
      <c r="P596" s="4">
        <f t="shared" si="49"/>
        <v>45172</v>
      </c>
      <c r="Q596" t="s">
        <v>1136</v>
      </c>
      <c r="R596" t="s">
        <v>1135</v>
      </c>
      <c r="S596">
        <v>3</v>
      </c>
      <c r="T596" t="s">
        <v>1143</v>
      </c>
      <c r="U596" s="11" t="str">
        <f t="shared" si="45"/>
        <v>02:19:37 PM</v>
      </c>
      <c r="AC596" s="4">
        <v>45774</v>
      </c>
      <c r="AD596" s="25">
        <v>4911.9399999999996</v>
      </c>
      <c r="BL596" s="2" t="s">
        <v>1746</v>
      </c>
      <c r="BM596" s="4">
        <v>45762</v>
      </c>
      <c r="BN596" s="25">
        <v>4709.42</v>
      </c>
    </row>
    <row r="597" spans="1:66" x14ac:dyDescent="0.35">
      <c r="A597">
        <v>2121</v>
      </c>
      <c r="B597" t="s">
        <v>13</v>
      </c>
      <c r="C597" s="1">
        <v>45327</v>
      </c>
      <c r="D597" t="s">
        <v>23</v>
      </c>
      <c r="E597" t="s">
        <v>38</v>
      </c>
      <c r="F597">
        <v>2</v>
      </c>
      <c r="G597">
        <v>1157.02</v>
      </c>
      <c r="H597">
        <v>2314.04</v>
      </c>
      <c r="I597">
        <v>154.38</v>
      </c>
      <c r="J597">
        <v>2159.66</v>
      </c>
      <c r="K597">
        <v>358</v>
      </c>
      <c r="L597" s="11" t="s">
        <v>389</v>
      </c>
      <c r="M597">
        <f t="shared" si="46"/>
        <v>5</v>
      </c>
      <c r="N597">
        <f t="shared" si="47"/>
        <v>2</v>
      </c>
      <c r="O597">
        <f t="shared" si="48"/>
        <v>2024</v>
      </c>
      <c r="P597" s="4">
        <f t="shared" si="49"/>
        <v>45327</v>
      </c>
      <c r="Q597" t="s">
        <v>1136</v>
      </c>
      <c r="R597" t="s">
        <v>1137</v>
      </c>
      <c r="S597">
        <v>3</v>
      </c>
      <c r="T597" t="s">
        <v>1148</v>
      </c>
      <c r="U597" s="11" t="str">
        <f t="shared" si="45"/>
        <v>03:55:14 AM</v>
      </c>
      <c r="AC597" s="4">
        <v>45775</v>
      </c>
      <c r="AD597" s="25">
        <v>12655.01</v>
      </c>
      <c r="BL597" s="2" t="s">
        <v>1747</v>
      </c>
      <c r="BM597" s="4">
        <v>45763</v>
      </c>
      <c r="BN597" s="25">
        <v>19112.41</v>
      </c>
    </row>
    <row r="598" spans="1:66" x14ac:dyDescent="0.35">
      <c r="A598">
        <v>5708</v>
      </c>
      <c r="B598" t="s">
        <v>13</v>
      </c>
      <c r="C598" s="1">
        <v>45321</v>
      </c>
      <c r="D598" t="s">
        <v>11</v>
      </c>
      <c r="E598" t="s">
        <v>7</v>
      </c>
      <c r="F598">
        <v>5</v>
      </c>
      <c r="G598">
        <v>1759.6</v>
      </c>
      <c r="H598">
        <v>8798</v>
      </c>
      <c r="I598">
        <v>1759.6</v>
      </c>
      <c r="J598">
        <v>7038.4</v>
      </c>
      <c r="K598">
        <v>361</v>
      </c>
      <c r="L598" s="11" t="s">
        <v>390</v>
      </c>
      <c r="M598">
        <f t="shared" si="46"/>
        <v>30</v>
      </c>
      <c r="N598">
        <f t="shared" si="47"/>
        <v>1</v>
      </c>
      <c r="O598">
        <f t="shared" si="48"/>
        <v>2024</v>
      </c>
      <c r="P598" s="4">
        <f t="shared" si="49"/>
        <v>45321</v>
      </c>
      <c r="Q598" t="s">
        <v>1138</v>
      </c>
      <c r="R598" t="s">
        <v>1135</v>
      </c>
      <c r="S598">
        <v>2</v>
      </c>
      <c r="T598" t="s">
        <v>1148</v>
      </c>
      <c r="U598" s="11" t="str">
        <f t="shared" si="45"/>
        <v>04:48:44 PM</v>
      </c>
      <c r="AC598" s="4">
        <v>45776</v>
      </c>
      <c r="AD598" s="25">
        <v>17708.88</v>
      </c>
      <c r="BL598" s="2" t="s">
        <v>1748</v>
      </c>
      <c r="BM598" s="4">
        <v>45764</v>
      </c>
      <c r="BN598" s="25">
        <v>6830.9</v>
      </c>
    </row>
    <row r="599" spans="1:66" x14ac:dyDescent="0.35">
      <c r="A599">
        <v>2480</v>
      </c>
      <c r="B599" t="s">
        <v>13</v>
      </c>
      <c r="C599" s="1">
        <v>45482</v>
      </c>
      <c r="D599" t="s">
        <v>16</v>
      </c>
      <c r="E599" t="s">
        <v>28</v>
      </c>
      <c r="F599">
        <v>1</v>
      </c>
      <c r="G599">
        <v>2063.38</v>
      </c>
      <c r="H599">
        <v>2063.38</v>
      </c>
      <c r="I599">
        <v>104.58</v>
      </c>
      <c r="J599">
        <v>1958.8</v>
      </c>
      <c r="K599">
        <v>241</v>
      </c>
      <c r="L599" s="11" t="s">
        <v>391</v>
      </c>
      <c r="M599">
        <f t="shared" si="46"/>
        <v>9</v>
      </c>
      <c r="N599">
        <f t="shared" si="47"/>
        <v>7</v>
      </c>
      <c r="O599">
        <f t="shared" si="48"/>
        <v>2024</v>
      </c>
      <c r="P599" s="4">
        <f t="shared" si="49"/>
        <v>45482</v>
      </c>
      <c r="Q599" t="s">
        <v>1134</v>
      </c>
      <c r="R599" t="s">
        <v>1135</v>
      </c>
      <c r="S599">
        <v>2</v>
      </c>
      <c r="T599" t="s">
        <v>1146</v>
      </c>
      <c r="U599" s="11" t="str">
        <f t="shared" si="45"/>
        <v>04:38:25 PM</v>
      </c>
      <c r="AC599" s="4">
        <v>45777</v>
      </c>
      <c r="AD599" s="25">
        <v>4882.8900000000003</v>
      </c>
      <c r="BL599" s="2" t="s">
        <v>1749</v>
      </c>
      <c r="BM599" s="4">
        <v>45765</v>
      </c>
      <c r="BN599" s="25">
        <v>9953.36</v>
      </c>
    </row>
    <row r="600" spans="1:66" x14ac:dyDescent="0.35">
      <c r="A600">
        <v>2612</v>
      </c>
      <c r="B600" t="s">
        <v>31</v>
      </c>
      <c r="C600" s="1">
        <v>45735</v>
      </c>
      <c r="D600" t="s">
        <v>11</v>
      </c>
      <c r="E600" t="s">
        <v>32</v>
      </c>
      <c r="F600">
        <v>5</v>
      </c>
      <c r="G600">
        <v>172.64</v>
      </c>
      <c r="H600">
        <v>863.2</v>
      </c>
      <c r="I600">
        <v>300.45999999999998</v>
      </c>
      <c r="J600">
        <v>562.74</v>
      </c>
      <c r="K600">
        <v>196</v>
      </c>
      <c r="L600" s="11" t="s">
        <v>392</v>
      </c>
      <c r="M600">
        <f t="shared" si="46"/>
        <v>19</v>
      </c>
      <c r="N600">
        <f t="shared" si="47"/>
        <v>3</v>
      </c>
      <c r="O600">
        <f t="shared" si="48"/>
        <v>2025</v>
      </c>
      <c r="P600" s="4">
        <f t="shared" si="49"/>
        <v>45735</v>
      </c>
      <c r="Q600" t="s">
        <v>1136</v>
      </c>
      <c r="R600" t="s">
        <v>1137</v>
      </c>
      <c r="S600">
        <v>5</v>
      </c>
      <c r="T600" t="s">
        <v>1146</v>
      </c>
      <c r="U600" s="11" t="str">
        <f t="shared" si="45"/>
        <v>04:04:30 PM</v>
      </c>
      <c r="AC600" s="4">
        <v>45778</v>
      </c>
      <c r="AD600" s="25">
        <v>7668.37</v>
      </c>
      <c r="BL600" s="2" t="s">
        <v>1750</v>
      </c>
      <c r="BM600" s="4">
        <v>45766</v>
      </c>
      <c r="BN600" s="25">
        <v>2460.9499999999998</v>
      </c>
    </row>
    <row r="601" spans="1:66" x14ac:dyDescent="0.35">
      <c r="A601">
        <v>2646</v>
      </c>
      <c r="B601" t="s">
        <v>19</v>
      </c>
      <c r="C601" s="1">
        <v>45489</v>
      </c>
      <c r="D601" t="s">
        <v>17</v>
      </c>
      <c r="E601" t="s">
        <v>29</v>
      </c>
      <c r="F601">
        <v>2</v>
      </c>
      <c r="G601">
        <v>1623.48</v>
      </c>
      <c r="H601">
        <v>3246.96</v>
      </c>
      <c r="I601">
        <v>649.05999999999995</v>
      </c>
      <c r="J601">
        <v>2597.9</v>
      </c>
      <c r="K601">
        <v>224</v>
      </c>
      <c r="L601" s="11" t="s">
        <v>393</v>
      </c>
      <c r="M601">
        <f t="shared" si="46"/>
        <v>16</v>
      </c>
      <c r="N601">
        <f t="shared" si="47"/>
        <v>7</v>
      </c>
      <c r="O601">
        <f t="shared" si="48"/>
        <v>2024</v>
      </c>
      <c r="P601" s="4">
        <f t="shared" si="49"/>
        <v>45489</v>
      </c>
      <c r="Q601" t="s">
        <v>1139</v>
      </c>
      <c r="R601" t="s">
        <v>1137</v>
      </c>
      <c r="S601">
        <v>3</v>
      </c>
      <c r="T601" t="s">
        <v>1147</v>
      </c>
      <c r="U601" s="11" t="str">
        <f t="shared" si="45"/>
        <v>04:31:03 PM</v>
      </c>
      <c r="AC601" s="4">
        <v>45779</v>
      </c>
      <c r="AD601" s="25">
        <v>13489.990000000002</v>
      </c>
      <c r="BL601" s="2" t="s">
        <v>1751</v>
      </c>
      <c r="BM601" s="4">
        <v>45767</v>
      </c>
      <c r="BN601" s="25">
        <v>24065.85</v>
      </c>
    </row>
    <row r="602" spans="1:66" x14ac:dyDescent="0.35">
      <c r="A602">
        <v>3725</v>
      </c>
      <c r="B602" t="s">
        <v>3</v>
      </c>
      <c r="C602" s="1">
        <v>45684</v>
      </c>
      <c r="D602" t="s">
        <v>24</v>
      </c>
      <c r="E602" t="s">
        <v>33</v>
      </c>
      <c r="F602">
        <v>1</v>
      </c>
      <c r="G602">
        <v>1968.76</v>
      </c>
      <c r="H602">
        <v>1968.76</v>
      </c>
      <c r="I602">
        <v>139.44</v>
      </c>
      <c r="J602">
        <v>1829.32</v>
      </c>
      <c r="K602">
        <v>261</v>
      </c>
      <c r="L602" s="11" t="s">
        <v>394</v>
      </c>
      <c r="M602">
        <f t="shared" si="46"/>
        <v>27</v>
      </c>
      <c r="N602">
        <f t="shared" si="47"/>
        <v>1</v>
      </c>
      <c r="O602">
        <f t="shared" si="48"/>
        <v>2025</v>
      </c>
      <c r="P602" s="4">
        <f t="shared" si="49"/>
        <v>45684</v>
      </c>
      <c r="Q602" t="s">
        <v>1138</v>
      </c>
      <c r="R602" t="s">
        <v>1137</v>
      </c>
      <c r="S602">
        <v>2</v>
      </c>
      <c r="T602" t="s">
        <v>1144</v>
      </c>
      <c r="U602" s="11" t="str">
        <f t="shared" si="45"/>
        <v>12:52:58 PM</v>
      </c>
      <c r="AC602" s="4">
        <v>45780</v>
      </c>
      <c r="AD602" s="25">
        <v>2159.66</v>
      </c>
      <c r="BL602" s="2" t="s">
        <v>1752</v>
      </c>
      <c r="BM602" s="4">
        <v>45768</v>
      </c>
      <c r="BN602" s="25">
        <v>10956.83</v>
      </c>
    </row>
    <row r="603" spans="1:66" x14ac:dyDescent="0.35">
      <c r="A603">
        <v>5906</v>
      </c>
      <c r="B603" t="s">
        <v>20</v>
      </c>
      <c r="C603" s="1">
        <v>45846</v>
      </c>
      <c r="D603" t="s">
        <v>11</v>
      </c>
      <c r="E603" t="s">
        <v>14</v>
      </c>
      <c r="F603">
        <v>1</v>
      </c>
      <c r="G603">
        <v>2430.2399999999998</v>
      </c>
      <c r="H603">
        <v>2430.2399999999998</v>
      </c>
      <c r="I603">
        <v>243.19</v>
      </c>
      <c r="J603">
        <v>2187.0500000000002</v>
      </c>
      <c r="K603">
        <v>44</v>
      </c>
      <c r="L603" s="11" t="s">
        <v>395</v>
      </c>
      <c r="M603">
        <f t="shared" si="46"/>
        <v>8</v>
      </c>
      <c r="N603">
        <f t="shared" si="47"/>
        <v>7</v>
      </c>
      <c r="O603">
        <f t="shared" si="48"/>
        <v>2025</v>
      </c>
      <c r="P603" s="4">
        <f t="shared" si="49"/>
        <v>45846</v>
      </c>
      <c r="Q603" t="s">
        <v>1136</v>
      </c>
      <c r="R603" t="s">
        <v>1135</v>
      </c>
      <c r="S603">
        <v>1</v>
      </c>
      <c r="T603" t="s">
        <v>1149</v>
      </c>
      <c r="U603" s="11" t="str">
        <f t="shared" si="45"/>
        <v>06:37:43 PM</v>
      </c>
      <c r="AC603" s="4">
        <v>45781</v>
      </c>
      <c r="AD603" s="25">
        <v>546.97</v>
      </c>
      <c r="BL603" s="2" t="s">
        <v>1753</v>
      </c>
      <c r="BM603" s="4">
        <v>45769</v>
      </c>
      <c r="BN603" s="25">
        <v>25594.71</v>
      </c>
    </row>
    <row r="604" spans="1:66" x14ac:dyDescent="0.35">
      <c r="A604">
        <v>1474</v>
      </c>
      <c r="B604" t="s">
        <v>25</v>
      </c>
      <c r="C604" s="1">
        <v>45180</v>
      </c>
      <c r="D604" t="s">
        <v>16</v>
      </c>
      <c r="E604" t="s">
        <v>21</v>
      </c>
      <c r="F604">
        <v>4</v>
      </c>
      <c r="G604">
        <v>1493.17</v>
      </c>
      <c r="H604">
        <v>5972.68</v>
      </c>
      <c r="I604">
        <v>0</v>
      </c>
      <c r="J604">
        <v>5972.68</v>
      </c>
      <c r="K604">
        <v>265</v>
      </c>
      <c r="L604" s="11" t="s">
        <v>396</v>
      </c>
      <c r="M604">
        <f t="shared" si="46"/>
        <v>11</v>
      </c>
      <c r="N604">
        <f t="shared" si="47"/>
        <v>9</v>
      </c>
      <c r="O604">
        <f t="shared" si="48"/>
        <v>2023</v>
      </c>
      <c r="P604" s="4">
        <f t="shared" si="49"/>
        <v>45180</v>
      </c>
      <c r="Q604" t="s">
        <v>1136</v>
      </c>
      <c r="R604" t="s">
        <v>1137</v>
      </c>
      <c r="S604">
        <v>5</v>
      </c>
      <c r="T604" t="s">
        <v>1144</v>
      </c>
      <c r="U604" s="11" t="str">
        <f t="shared" si="45"/>
        <v>04:49:54 PM</v>
      </c>
      <c r="AC604" s="4">
        <v>45782</v>
      </c>
      <c r="AD604" s="25">
        <v>2283.33</v>
      </c>
      <c r="BL604" s="2" t="s">
        <v>1754</v>
      </c>
      <c r="BM604" s="4">
        <v>45770</v>
      </c>
      <c r="BN604" s="25">
        <v>15059.52</v>
      </c>
    </row>
    <row r="605" spans="1:66" x14ac:dyDescent="0.35">
      <c r="A605">
        <v>6314</v>
      </c>
      <c r="B605" t="s">
        <v>0</v>
      </c>
      <c r="C605" s="1">
        <v>45763</v>
      </c>
      <c r="D605" t="s">
        <v>4</v>
      </c>
      <c r="E605" t="s">
        <v>7</v>
      </c>
      <c r="F605">
        <v>3</v>
      </c>
      <c r="G605">
        <v>1830.15</v>
      </c>
      <c r="H605">
        <v>5490.45</v>
      </c>
      <c r="I605">
        <v>823.36</v>
      </c>
      <c r="J605">
        <v>4667.09</v>
      </c>
      <c r="K605">
        <v>286</v>
      </c>
      <c r="L605" s="11" t="s">
        <v>397</v>
      </c>
      <c r="M605">
        <f t="shared" si="46"/>
        <v>16</v>
      </c>
      <c r="N605">
        <f t="shared" si="47"/>
        <v>4</v>
      </c>
      <c r="O605">
        <f t="shared" si="48"/>
        <v>2025</v>
      </c>
      <c r="P605" s="4">
        <f t="shared" si="49"/>
        <v>45763</v>
      </c>
      <c r="Q605" t="s">
        <v>1139</v>
      </c>
      <c r="R605" t="s">
        <v>1137</v>
      </c>
      <c r="S605">
        <v>4</v>
      </c>
      <c r="T605" t="s">
        <v>1143</v>
      </c>
      <c r="U605" s="11" t="str">
        <f t="shared" si="45"/>
        <v>06:50:15 PM</v>
      </c>
      <c r="AC605" s="4">
        <v>45783</v>
      </c>
      <c r="AD605" s="25">
        <v>11761.93</v>
      </c>
      <c r="BL605" s="2" t="s">
        <v>1755</v>
      </c>
      <c r="BM605" s="4">
        <v>45771</v>
      </c>
      <c r="BN605" s="25">
        <v>15954.259999999998</v>
      </c>
    </row>
    <row r="606" spans="1:66" x14ac:dyDescent="0.35">
      <c r="A606">
        <v>1919</v>
      </c>
      <c r="B606" t="s">
        <v>3</v>
      </c>
      <c r="C606" s="1">
        <v>45372</v>
      </c>
      <c r="D606" t="s">
        <v>6</v>
      </c>
      <c r="E606" t="s">
        <v>33</v>
      </c>
      <c r="F606">
        <v>4</v>
      </c>
      <c r="G606">
        <v>2319.85</v>
      </c>
      <c r="H606">
        <v>9279.4</v>
      </c>
      <c r="I606">
        <v>1391.91</v>
      </c>
      <c r="J606">
        <v>7887.49</v>
      </c>
      <c r="K606">
        <v>294</v>
      </c>
      <c r="L606" s="11" t="s">
        <v>398</v>
      </c>
      <c r="M606">
        <f t="shared" si="46"/>
        <v>21</v>
      </c>
      <c r="N606">
        <f t="shared" si="47"/>
        <v>3</v>
      </c>
      <c r="O606">
        <f t="shared" si="48"/>
        <v>2024</v>
      </c>
      <c r="P606" s="4">
        <f t="shared" si="49"/>
        <v>45372</v>
      </c>
      <c r="Q606" t="s">
        <v>1134</v>
      </c>
      <c r="R606" t="s">
        <v>1135</v>
      </c>
      <c r="S606">
        <v>5</v>
      </c>
      <c r="T606" t="s">
        <v>1148</v>
      </c>
      <c r="U606" s="11" t="str">
        <f t="shared" si="45"/>
        <v>11:42:16 AM</v>
      </c>
      <c r="AC606" s="4">
        <v>45784</v>
      </c>
      <c r="AD606" s="25">
        <v>17479.8</v>
      </c>
      <c r="BL606" s="2" t="s">
        <v>1756</v>
      </c>
      <c r="BM606" s="4">
        <v>45772</v>
      </c>
      <c r="BN606" s="25">
        <v>5821.62</v>
      </c>
    </row>
    <row r="607" spans="1:66" x14ac:dyDescent="0.35">
      <c r="A607">
        <v>6873</v>
      </c>
      <c r="B607" t="s">
        <v>8</v>
      </c>
      <c r="C607" s="1">
        <v>45436</v>
      </c>
      <c r="D607" t="s">
        <v>9</v>
      </c>
      <c r="E607" t="s">
        <v>36</v>
      </c>
      <c r="F607">
        <v>1</v>
      </c>
      <c r="G607">
        <v>1426.77</v>
      </c>
      <c r="H607">
        <v>1426.77</v>
      </c>
      <c r="I607">
        <v>214.14</v>
      </c>
      <c r="J607">
        <v>1212.6300000000001</v>
      </c>
      <c r="K607">
        <v>257</v>
      </c>
      <c r="L607" s="11" t="s">
        <v>399</v>
      </c>
      <c r="M607">
        <f t="shared" si="46"/>
        <v>24</v>
      </c>
      <c r="N607">
        <f t="shared" si="47"/>
        <v>5</v>
      </c>
      <c r="O607">
        <f t="shared" si="48"/>
        <v>2024</v>
      </c>
      <c r="P607" s="4">
        <f t="shared" si="49"/>
        <v>45436</v>
      </c>
      <c r="Q607" t="s">
        <v>1134</v>
      </c>
      <c r="R607" t="s">
        <v>1137</v>
      </c>
      <c r="S607">
        <v>4</v>
      </c>
      <c r="T607" t="s">
        <v>1149</v>
      </c>
      <c r="U607" s="11" t="str">
        <f t="shared" si="45"/>
        <v>09:11:03 PM</v>
      </c>
      <c r="AC607" s="4">
        <v>45785</v>
      </c>
      <c r="AD607" s="25">
        <v>9637.1299999999992</v>
      </c>
      <c r="BL607" s="2" t="s">
        <v>1757</v>
      </c>
      <c r="BM607" s="4">
        <v>45773</v>
      </c>
      <c r="BN607" s="25">
        <v>10532.699999999999</v>
      </c>
    </row>
    <row r="608" spans="1:66" x14ac:dyDescent="0.35">
      <c r="A608">
        <v>8056</v>
      </c>
      <c r="B608" t="s">
        <v>0</v>
      </c>
      <c r="C608" s="1">
        <v>45258</v>
      </c>
      <c r="D608" t="s">
        <v>27</v>
      </c>
      <c r="E608" t="s">
        <v>2</v>
      </c>
      <c r="F608">
        <v>5</v>
      </c>
      <c r="G608">
        <v>2039.31</v>
      </c>
      <c r="H608">
        <v>10196.549999999999</v>
      </c>
      <c r="I608">
        <v>0</v>
      </c>
      <c r="J608">
        <v>10196.549999999999</v>
      </c>
      <c r="K608">
        <v>294</v>
      </c>
      <c r="L608" s="11" t="s">
        <v>400</v>
      </c>
      <c r="M608">
        <f t="shared" si="46"/>
        <v>28</v>
      </c>
      <c r="N608">
        <f t="shared" si="47"/>
        <v>11</v>
      </c>
      <c r="O608">
        <f t="shared" si="48"/>
        <v>2023</v>
      </c>
      <c r="P608" s="4">
        <f t="shared" si="49"/>
        <v>45258</v>
      </c>
      <c r="Q608" t="s">
        <v>1134</v>
      </c>
      <c r="R608" t="s">
        <v>1137</v>
      </c>
      <c r="S608">
        <v>3</v>
      </c>
      <c r="T608" t="s">
        <v>1142</v>
      </c>
      <c r="U608" s="11" t="str">
        <f t="shared" si="45"/>
        <v>05:41:13 PM</v>
      </c>
      <c r="AC608" s="4">
        <v>45786</v>
      </c>
      <c r="AD608" s="25">
        <v>19063.439999999999</v>
      </c>
      <c r="BL608" s="2" t="s">
        <v>1758</v>
      </c>
      <c r="BM608" s="4">
        <v>45774</v>
      </c>
      <c r="BN608" s="25">
        <v>4911.9399999999996</v>
      </c>
    </row>
    <row r="609" spans="1:66" x14ac:dyDescent="0.35">
      <c r="A609">
        <v>5000</v>
      </c>
      <c r="B609" t="s">
        <v>15</v>
      </c>
      <c r="C609" s="1">
        <v>45557</v>
      </c>
      <c r="D609" t="s">
        <v>9</v>
      </c>
      <c r="E609" t="s">
        <v>37</v>
      </c>
      <c r="F609">
        <v>2</v>
      </c>
      <c r="G609">
        <v>1905.68</v>
      </c>
      <c r="H609">
        <v>3811.36</v>
      </c>
      <c r="I609">
        <v>0</v>
      </c>
      <c r="J609">
        <v>3811.36</v>
      </c>
      <c r="K609">
        <v>492</v>
      </c>
      <c r="L609" s="11" t="s">
        <v>401</v>
      </c>
      <c r="M609">
        <f t="shared" si="46"/>
        <v>22</v>
      </c>
      <c r="N609">
        <f t="shared" si="47"/>
        <v>9</v>
      </c>
      <c r="O609">
        <f t="shared" si="48"/>
        <v>2024</v>
      </c>
      <c r="P609" s="4">
        <f t="shared" si="49"/>
        <v>45557</v>
      </c>
      <c r="Q609" t="s">
        <v>1136</v>
      </c>
      <c r="R609" t="s">
        <v>1137</v>
      </c>
      <c r="S609">
        <v>4</v>
      </c>
      <c r="T609" t="s">
        <v>1148</v>
      </c>
      <c r="U609" s="11" t="str">
        <f t="shared" si="45"/>
        <v>06:32:03 PM</v>
      </c>
      <c r="AC609" s="4">
        <v>45787</v>
      </c>
      <c r="AD609" s="25">
        <v>6084.7300000000005</v>
      </c>
      <c r="BL609" s="2" t="s">
        <v>1759</v>
      </c>
      <c r="BM609" s="4">
        <v>45775</v>
      </c>
      <c r="BN609" s="25">
        <v>12655.01</v>
      </c>
    </row>
    <row r="610" spans="1:66" x14ac:dyDescent="0.35">
      <c r="A610">
        <v>7751</v>
      </c>
      <c r="B610" t="s">
        <v>15</v>
      </c>
      <c r="C610" s="1">
        <v>45584</v>
      </c>
      <c r="D610" t="s">
        <v>17</v>
      </c>
      <c r="E610" t="s">
        <v>28</v>
      </c>
      <c r="F610">
        <v>4</v>
      </c>
      <c r="G610">
        <v>361.88</v>
      </c>
      <c r="H610">
        <v>1447.52</v>
      </c>
      <c r="I610">
        <v>0</v>
      </c>
      <c r="J610">
        <v>1447.52</v>
      </c>
      <c r="K610">
        <v>34</v>
      </c>
      <c r="L610" s="11" t="s">
        <v>402</v>
      </c>
      <c r="M610">
        <f t="shared" si="46"/>
        <v>19</v>
      </c>
      <c r="N610">
        <f t="shared" si="47"/>
        <v>10</v>
      </c>
      <c r="O610">
        <f t="shared" si="48"/>
        <v>2024</v>
      </c>
      <c r="P610" s="4">
        <f t="shared" si="49"/>
        <v>45584</v>
      </c>
      <c r="Q610" t="s">
        <v>1136</v>
      </c>
      <c r="R610" t="s">
        <v>1137</v>
      </c>
      <c r="S610">
        <v>3</v>
      </c>
      <c r="T610" t="s">
        <v>1150</v>
      </c>
      <c r="U610" s="11" t="str">
        <f t="shared" si="45"/>
        <v>06:40:48 AM</v>
      </c>
      <c r="AC610" s="4">
        <v>45788</v>
      </c>
      <c r="AD610" s="25">
        <v>5611.63</v>
      </c>
      <c r="BL610" s="2" t="s">
        <v>1760</v>
      </c>
      <c r="BM610" s="4">
        <v>45776</v>
      </c>
      <c r="BN610" s="25">
        <v>17708.88</v>
      </c>
    </row>
    <row r="611" spans="1:66" x14ac:dyDescent="0.35">
      <c r="A611">
        <v>3950</v>
      </c>
      <c r="B611" t="s">
        <v>31</v>
      </c>
      <c r="C611" s="1">
        <v>45277</v>
      </c>
      <c r="D611" t="s">
        <v>16</v>
      </c>
      <c r="E611" t="s">
        <v>14</v>
      </c>
      <c r="F611">
        <v>3</v>
      </c>
      <c r="G611">
        <v>1074.8499999999999</v>
      </c>
      <c r="H611">
        <v>3224.55</v>
      </c>
      <c r="I611">
        <v>0</v>
      </c>
      <c r="J611">
        <v>3224.55</v>
      </c>
      <c r="K611">
        <v>180</v>
      </c>
      <c r="L611" s="11" t="s">
        <v>403</v>
      </c>
      <c r="M611">
        <f t="shared" si="46"/>
        <v>17</v>
      </c>
      <c r="N611">
        <f t="shared" si="47"/>
        <v>12</v>
      </c>
      <c r="O611">
        <f t="shared" si="48"/>
        <v>2023</v>
      </c>
      <c r="P611" s="4">
        <f t="shared" si="49"/>
        <v>45277</v>
      </c>
      <c r="Q611" t="s">
        <v>1136</v>
      </c>
      <c r="R611" t="s">
        <v>1135</v>
      </c>
      <c r="S611">
        <v>1</v>
      </c>
      <c r="T611" t="s">
        <v>1148</v>
      </c>
      <c r="U611" s="11" t="str">
        <f t="shared" si="45"/>
        <v>07:23:31 PM</v>
      </c>
      <c r="AC611" s="4">
        <v>45789</v>
      </c>
      <c r="AD611" s="25">
        <v>8018.6299999999992</v>
      </c>
      <c r="BL611" s="2" t="s">
        <v>1761</v>
      </c>
      <c r="BM611" s="4">
        <v>45777</v>
      </c>
      <c r="BN611" s="25">
        <v>4882.8900000000003</v>
      </c>
    </row>
    <row r="612" spans="1:66" x14ac:dyDescent="0.35">
      <c r="A612">
        <v>3868</v>
      </c>
      <c r="B612" t="s">
        <v>19</v>
      </c>
      <c r="C612" s="1">
        <v>45206</v>
      </c>
      <c r="D612" t="s">
        <v>6</v>
      </c>
      <c r="E612" t="s">
        <v>26</v>
      </c>
      <c r="F612">
        <v>1</v>
      </c>
      <c r="G612">
        <v>1042.48</v>
      </c>
      <c r="H612">
        <v>1042.48</v>
      </c>
      <c r="I612">
        <v>267.26</v>
      </c>
      <c r="J612">
        <v>775.22</v>
      </c>
      <c r="K612">
        <v>383</v>
      </c>
      <c r="L612" s="11" t="s">
        <v>404</v>
      </c>
      <c r="M612">
        <f t="shared" si="46"/>
        <v>7</v>
      </c>
      <c r="N612">
        <f t="shared" si="47"/>
        <v>10</v>
      </c>
      <c r="O612">
        <f t="shared" si="48"/>
        <v>2023</v>
      </c>
      <c r="P612" s="4">
        <f t="shared" si="49"/>
        <v>45206</v>
      </c>
      <c r="Q612" t="s">
        <v>1138</v>
      </c>
      <c r="R612" t="s">
        <v>1137</v>
      </c>
      <c r="S612">
        <v>4</v>
      </c>
      <c r="T612" t="s">
        <v>1145</v>
      </c>
      <c r="U612" s="11" t="str">
        <f t="shared" si="45"/>
        <v>05:20:15 PM</v>
      </c>
      <c r="AC612" s="4">
        <v>45790</v>
      </c>
      <c r="AD612" s="25">
        <v>8803.8100000000013</v>
      </c>
      <c r="BL612" s="2" t="s">
        <v>1762</v>
      </c>
      <c r="BM612" s="4">
        <v>45778</v>
      </c>
      <c r="BN612" s="25">
        <v>7668.37</v>
      </c>
    </row>
    <row r="613" spans="1:66" x14ac:dyDescent="0.35">
      <c r="A613">
        <v>7267</v>
      </c>
      <c r="B613" t="s">
        <v>8</v>
      </c>
      <c r="C613" s="1">
        <v>45626</v>
      </c>
      <c r="D613" t="s">
        <v>34</v>
      </c>
      <c r="E613" t="s">
        <v>10</v>
      </c>
      <c r="F613">
        <v>3</v>
      </c>
      <c r="G613">
        <v>608.39</v>
      </c>
      <c r="H613">
        <v>1825.17</v>
      </c>
      <c r="I613">
        <v>365.2</v>
      </c>
      <c r="J613">
        <v>1459.97</v>
      </c>
      <c r="K613">
        <v>293</v>
      </c>
      <c r="L613" s="11" t="s">
        <v>405</v>
      </c>
      <c r="M613">
        <f t="shared" si="46"/>
        <v>30</v>
      </c>
      <c r="N613">
        <f t="shared" si="47"/>
        <v>11</v>
      </c>
      <c r="O613">
        <f t="shared" si="48"/>
        <v>2024</v>
      </c>
      <c r="P613" s="4">
        <f t="shared" si="49"/>
        <v>45626</v>
      </c>
      <c r="Q613" t="s">
        <v>1139</v>
      </c>
      <c r="R613" t="s">
        <v>1137</v>
      </c>
      <c r="S613">
        <v>5</v>
      </c>
      <c r="T613" t="s">
        <v>1149</v>
      </c>
      <c r="U613" s="11" t="str">
        <f t="shared" si="45"/>
        <v>12:24:10 AM</v>
      </c>
      <c r="AC613" s="4">
        <v>45791</v>
      </c>
      <c r="AD613" s="25">
        <v>1766.24</v>
      </c>
      <c r="BL613" s="2" t="s">
        <v>1763</v>
      </c>
      <c r="BM613" s="4">
        <v>45779</v>
      </c>
      <c r="BN613" s="25">
        <v>13489.990000000002</v>
      </c>
    </row>
    <row r="614" spans="1:66" x14ac:dyDescent="0.35">
      <c r="A614">
        <v>4945</v>
      </c>
      <c r="B614" t="s">
        <v>31</v>
      </c>
      <c r="C614" s="1">
        <v>45531</v>
      </c>
      <c r="D614" t="s">
        <v>34</v>
      </c>
      <c r="E614" t="s">
        <v>33</v>
      </c>
      <c r="F614">
        <v>2</v>
      </c>
      <c r="G614">
        <v>1852.56</v>
      </c>
      <c r="H614">
        <v>3705.12</v>
      </c>
      <c r="I614">
        <v>741.19</v>
      </c>
      <c r="J614">
        <v>2963.93</v>
      </c>
      <c r="K614">
        <v>446</v>
      </c>
      <c r="L614" s="11" t="s">
        <v>406</v>
      </c>
      <c r="M614">
        <f t="shared" si="46"/>
        <v>27</v>
      </c>
      <c r="N614">
        <f t="shared" si="47"/>
        <v>8</v>
      </c>
      <c r="O614">
        <f t="shared" si="48"/>
        <v>2024</v>
      </c>
      <c r="P614" s="4">
        <f t="shared" si="49"/>
        <v>45531</v>
      </c>
      <c r="Q614" t="s">
        <v>1136</v>
      </c>
      <c r="R614" t="s">
        <v>1135</v>
      </c>
      <c r="S614">
        <v>3</v>
      </c>
      <c r="T614" t="s">
        <v>1145</v>
      </c>
      <c r="U614" s="11" t="str">
        <f t="shared" si="45"/>
        <v>02:53:23 AM</v>
      </c>
      <c r="AC614" s="4">
        <v>45792</v>
      </c>
      <c r="AD614" s="25">
        <v>1322.19</v>
      </c>
      <c r="BL614" s="2" t="s">
        <v>1764</v>
      </c>
      <c r="BM614" s="4">
        <v>45780</v>
      </c>
      <c r="BN614" s="25">
        <v>2159.66</v>
      </c>
    </row>
    <row r="615" spans="1:66" x14ac:dyDescent="0.35">
      <c r="A615">
        <v>3344</v>
      </c>
      <c r="B615" t="s">
        <v>31</v>
      </c>
      <c r="C615" s="1">
        <v>45325</v>
      </c>
      <c r="D615" t="s">
        <v>6</v>
      </c>
      <c r="E615" t="s">
        <v>14</v>
      </c>
      <c r="F615">
        <v>5</v>
      </c>
      <c r="G615">
        <v>938.73</v>
      </c>
      <c r="H615">
        <v>4693.6499999999996</v>
      </c>
      <c r="I615">
        <v>388.44</v>
      </c>
      <c r="J615">
        <v>4305.21</v>
      </c>
      <c r="K615">
        <v>398</v>
      </c>
      <c r="L615" s="11" t="s">
        <v>407</v>
      </c>
      <c r="M615">
        <f t="shared" si="46"/>
        <v>3</v>
      </c>
      <c r="N615">
        <f t="shared" si="47"/>
        <v>2</v>
      </c>
      <c r="O615">
        <f t="shared" si="48"/>
        <v>2024</v>
      </c>
      <c r="P615" s="4">
        <f t="shared" si="49"/>
        <v>45325</v>
      </c>
      <c r="Q615" t="s">
        <v>1139</v>
      </c>
      <c r="R615" t="s">
        <v>1137</v>
      </c>
      <c r="S615">
        <v>5</v>
      </c>
      <c r="T615" t="s">
        <v>1147</v>
      </c>
      <c r="U615" s="11" t="str">
        <f t="shared" si="45"/>
        <v>11:42:02 PM</v>
      </c>
      <c r="AC615" s="4">
        <v>45793</v>
      </c>
      <c r="AD615" s="25">
        <v>11666.48</v>
      </c>
      <c r="BL615" s="2" t="s">
        <v>1765</v>
      </c>
      <c r="BM615" s="4">
        <v>45781</v>
      </c>
      <c r="BN615" s="25">
        <v>546.97</v>
      </c>
    </row>
    <row r="616" spans="1:66" x14ac:dyDescent="0.35">
      <c r="A616">
        <v>8555</v>
      </c>
      <c r="B616" t="s">
        <v>15</v>
      </c>
      <c r="C616" s="1">
        <v>45640</v>
      </c>
      <c r="D616" t="s">
        <v>17</v>
      </c>
      <c r="E616" t="s">
        <v>28</v>
      </c>
      <c r="F616">
        <v>5</v>
      </c>
      <c r="G616">
        <v>2387.91</v>
      </c>
      <c r="H616">
        <v>11939.55</v>
      </c>
      <c r="I616">
        <v>1791.14</v>
      </c>
      <c r="J616">
        <v>10148.41</v>
      </c>
      <c r="K616">
        <v>434</v>
      </c>
      <c r="L616" s="11" t="s">
        <v>408</v>
      </c>
      <c r="M616">
        <f t="shared" si="46"/>
        <v>14</v>
      </c>
      <c r="N616">
        <f t="shared" si="47"/>
        <v>12</v>
      </c>
      <c r="O616">
        <f t="shared" si="48"/>
        <v>2024</v>
      </c>
      <c r="P616" s="4">
        <f t="shared" si="49"/>
        <v>45640</v>
      </c>
      <c r="Q616" t="s">
        <v>1139</v>
      </c>
      <c r="R616" t="s">
        <v>1135</v>
      </c>
      <c r="S616">
        <v>2</v>
      </c>
      <c r="T616" t="s">
        <v>1146</v>
      </c>
      <c r="U616" s="11" t="str">
        <f t="shared" si="45"/>
        <v>12:39:59 PM</v>
      </c>
      <c r="AC616" s="4">
        <v>45794</v>
      </c>
      <c r="AD616" s="25">
        <v>20297.650000000001</v>
      </c>
      <c r="BL616" s="2" t="s">
        <v>1766</v>
      </c>
      <c r="BM616" s="4">
        <v>45782</v>
      </c>
      <c r="BN616" s="25">
        <v>2283.33</v>
      </c>
    </row>
    <row r="617" spans="1:66" x14ac:dyDescent="0.35">
      <c r="A617">
        <v>5161</v>
      </c>
      <c r="B617" t="s">
        <v>25</v>
      </c>
      <c r="C617" s="1">
        <v>45501</v>
      </c>
      <c r="D617" t="s">
        <v>34</v>
      </c>
      <c r="E617" t="s">
        <v>2</v>
      </c>
      <c r="F617">
        <v>4</v>
      </c>
      <c r="G617">
        <v>522.07000000000005</v>
      </c>
      <c r="H617">
        <v>2088.2800000000002</v>
      </c>
      <c r="I617">
        <v>209.16</v>
      </c>
      <c r="J617">
        <v>1879.12</v>
      </c>
      <c r="K617">
        <v>391</v>
      </c>
      <c r="L617" s="11" t="s">
        <v>409</v>
      </c>
      <c r="M617">
        <f t="shared" si="46"/>
        <v>28</v>
      </c>
      <c r="N617">
        <f t="shared" si="47"/>
        <v>7</v>
      </c>
      <c r="O617">
        <f t="shared" si="48"/>
        <v>2024</v>
      </c>
      <c r="P617" s="4">
        <f t="shared" si="49"/>
        <v>45501</v>
      </c>
      <c r="Q617" t="s">
        <v>1134</v>
      </c>
      <c r="R617" t="s">
        <v>1137</v>
      </c>
      <c r="S617">
        <v>3</v>
      </c>
      <c r="T617" t="s">
        <v>1142</v>
      </c>
      <c r="U617" s="11" t="str">
        <f t="shared" si="45"/>
        <v>02:16:51 PM</v>
      </c>
      <c r="AC617" s="4">
        <v>45795</v>
      </c>
      <c r="AD617" s="25">
        <v>8074.24</v>
      </c>
      <c r="BL617" s="2" t="s">
        <v>1767</v>
      </c>
      <c r="BM617" s="4">
        <v>45783</v>
      </c>
      <c r="BN617" s="25">
        <v>11761.93</v>
      </c>
    </row>
    <row r="618" spans="1:66" x14ac:dyDescent="0.35">
      <c r="A618">
        <v>5183</v>
      </c>
      <c r="B618" t="s">
        <v>31</v>
      </c>
      <c r="C618" s="1">
        <v>45662</v>
      </c>
      <c r="D618" t="s">
        <v>17</v>
      </c>
      <c r="E618" t="s">
        <v>30</v>
      </c>
      <c r="F618">
        <v>1</v>
      </c>
      <c r="G618">
        <v>1347.92</v>
      </c>
      <c r="H618">
        <v>1347.92</v>
      </c>
      <c r="I618">
        <v>93.79</v>
      </c>
      <c r="J618">
        <v>1254.1300000000001</v>
      </c>
      <c r="K618">
        <v>216</v>
      </c>
      <c r="L618" s="11" t="s">
        <v>410</v>
      </c>
      <c r="M618">
        <f t="shared" si="46"/>
        <v>5</v>
      </c>
      <c r="N618">
        <f t="shared" si="47"/>
        <v>1</v>
      </c>
      <c r="O618">
        <f t="shared" si="48"/>
        <v>2025</v>
      </c>
      <c r="P618" s="4">
        <f t="shared" si="49"/>
        <v>45662</v>
      </c>
      <c r="Q618" t="s">
        <v>1138</v>
      </c>
      <c r="R618" t="s">
        <v>1135</v>
      </c>
      <c r="S618">
        <v>4</v>
      </c>
      <c r="T618" t="s">
        <v>1148</v>
      </c>
      <c r="U618" s="11" t="str">
        <f t="shared" ref="U618:U681" si="50">TEXT(L618,"hh:mm:ss AM/PM")</f>
        <v>02:01:38 PM</v>
      </c>
      <c r="AC618" s="4">
        <v>45796</v>
      </c>
      <c r="AD618" s="25">
        <v>13133.92</v>
      </c>
      <c r="BL618" s="2" t="s">
        <v>1768</v>
      </c>
      <c r="BM618" s="4">
        <v>45784</v>
      </c>
      <c r="BN618" s="25">
        <v>17479.8</v>
      </c>
    </row>
    <row r="619" spans="1:66" x14ac:dyDescent="0.35">
      <c r="A619">
        <v>1153</v>
      </c>
      <c r="B619" t="s">
        <v>25</v>
      </c>
      <c r="C619" s="1">
        <v>45843</v>
      </c>
      <c r="D619" t="s">
        <v>9</v>
      </c>
      <c r="E619" t="s">
        <v>18</v>
      </c>
      <c r="F619">
        <v>4</v>
      </c>
      <c r="G619">
        <v>2432.73</v>
      </c>
      <c r="H619">
        <v>9730.92</v>
      </c>
      <c r="I619">
        <v>1459.97</v>
      </c>
      <c r="J619">
        <v>8270.9500000000007</v>
      </c>
      <c r="K619">
        <v>357</v>
      </c>
      <c r="L619" s="11" t="s">
        <v>411</v>
      </c>
      <c r="M619">
        <f t="shared" si="46"/>
        <v>5</v>
      </c>
      <c r="N619">
        <f t="shared" si="47"/>
        <v>7</v>
      </c>
      <c r="O619">
        <f t="shared" si="48"/>
        <v>2025</v>
      </c>
      <c r="P619" s="4">
        <f t="shared" si="49"/>
        <v>45843</v>
      </c>
      <c r="Q619" t="s">
        <v>1136</v>
      </c>
      <c r="R619" t="s">
        <v>1135</v>
      </c>
      <c r="S619">
        <v>3</v>
      </c>
      <c r="T619" t="s">
        <v>1147</v>
      </c>
      <c r="U619" s="11" t="str">
        <f t="shared" si="50"/>
        <v>03:23:54 PM</v>
      </c>
      <c r="AC619" s="4">
        <v>45797</v>
      </c>
      <c r="AD619" s="25">
        <v>2317.36</v>
      </c>
      <c r="BL619" s="2" t="s">
        <v>1769</v>
      </c>
      <c r="BM619" s="4">
        <v>45785</v>
      </c>
      <c r="BN619" s="25">
        <v>9637.1299999999992</v>
      </c>
    </row>
    <row r="620" spans="1:66" x14ac:dyDescent="0.35">
      <c r="A620">
        <v>8622</v>
      </c>
      <c r="B620" t="s">
        <v>20</v>
      </c>
      <c r="C620" s="1">
        <v>45844</v>
      </c>
      <c r="D620" t="s">
        <v>1</v>
      </c>
      <c r="E620" t="s">
        <v>33</v>
      </c>
      <c r="F620">
        <v>4</v>
      </c>
      <c r="G620">
        <v>1480.72</v>
      </c>
      <c r="H620">
        <v>5922.88</v>
      </c>
      <c r="I620">
        <v>369.35</v>
      </c>
      <c r="J620">
        <v>5553.53</v>
      </c>
      <c r="K620">
        <v>166</v>
      </c>
      <c r="L620" s="11" t="s">
        <v>412</v>
      </c>
      <c r="M620">
        <f t="shared" si="46"/>
        <v>6</v>
      </c>
      <c r="N620">
        <f t="shared" si="47"/>
        <v>7</v>
      </c>
      <c r="O620">
        <f t="shared" si="48"/>
        <v>2025</v>
      </c>
      <c r="P620" s="4">
        <f t="shared" si="49"/>
        <v>45844</v>
      </c>
      <c r="Q620" t="s">
        <v>1134</v>
      </c>
      <c r="R620" t="s">
        <v>1135</v>
      </c>
      <c r="S620">
        <v>5</v>
      </c>
      <c r="T620" t="s">
        <v>1147</v>
      </c>
      <c r="U620" s="11" t="str">
        <f t="shared" si="50"/>
        <v>06:48:20 AM</v>
      </c>
      <c r="AC620" s="4">
        <v>45798</v>
      </c>
      <c r="AD620" s="25">
        <v>7248.3899999999994</v>
      </c>
      <c r="BL620" s="2" t="s">
        <v>1770</v>
      </c>
      <c r="BM620" s="4">
        <v>45786</v>
      </c>
      <c r="BN620" s="25">
        <v>19063.439999999999</v>
      </c>
    </row>
    <row r="621" spans="1:66" x14ac:dyDescent="0.35">
      <c r="A621">
        <v>5712</v>
      </c>
      <c r="B621" t="s">
        <v>8</v>
      </c>
      <c r="C621" s="1">
        <v>45671</v>
      </c>
      <c r="D621" t="s">
        <v>27</v>
      </c>
      <c r="E621" t="s">
        <v>2</v>
      </c>
      <c r="F621">
        <v>2</v>
      </c>
      <c r="G621">
        <v>730.4</v>
      </c>
      <c r="H621">
        <v>1460.8</v>
      </c>
      <c r="I621">
        <v>219.12</v>
      </c>
      <c r="J621">
        <v>1241.68</v>
      </c>
      <c r="K621">
        <v>490</v>
      </c>
      <c r="L621" s="11" t="s">
        <v>413</v>
      </c>
      <c r="M621">
        <f t="shared" si="46"/>
        <v>14</v>
      </c>
      <c r="N621">
        <f t="shared" si="47"/>
        <v>1</v>
      </c>
      <c r="O621">
        <f t="shared" si="48"/>
        <v>2025</v>
      </c>
      <c r="P621" s="4">
        <f t="shared" si="49"/>
        <v>45671</v>
      </c>
      <c r="Q621" t="s">
        <v>1134</v>
      </c>
      <c r="R621" t="s">
        <v>1135</v>
      </c>
      <c r="S621">
        <v>1</v>
      </c>
      <c r="T621" t="s">
        <v>1142</v>
      </c>
      <c r="U621" s="11" t="str">
        <f t="shared" si="50"/>
        <v>07:50:45 AM</v>
      </c>
      <c r="AC621" s="4">
        <v>45799</v>
      </c>
      <c r="AD621" s="25">
        <v>3325.8100000000004</v>
      </c>
      <c r="BL621" s="2" t="s">
        <v>1771</v>
      </c>
      <c r="BM621" s="4">
        <v>45787</v>
      </c>
      <c r="BN621" s="25">
        <v>6084.7300000000005</v>
      </c>
    </row>
    <row r="622" spans="1:66" x14ac:dyDescent="0.35">
      <c r="A622">
        <v>9955</v>
      </c>
      <c r="B622" t="s">
        <v>8</v>
      </c>
      <c r="C622" s="1">
        <v>45267</v>
      </c>
      <c r="D622" t="s">
        <v>34</v>
      </c>
      <c r="E622" t="s">
        <v>5</v>
      </c>
      <c r="F622">
        <v>2</v>
      </c>
      <c r="G622">
        <v>1090.6199999999999</v>
      </c>
      <c r="H622">
        <v>2181.2399999999998</v>
      </c>
      <c r="I622">
        <v>327.02</v>
      </c>
      <c r="J622">
        <v>1854.22</v>
      </c>
      <c r="K622">
        <v>385</v>
      </c>
      <c r="L622" s="11" t="s">
        <v>414</v>
      </c>
      <c r="M622">
        <f t="shared" si="46"/>
        <v>7</v>
      </c>
      <c r="N622">
        <f t="shared" si="47"/>
        <v>12</v>
      </c>
      <c r="O622">
        <f t="shared" si="48"/>
        <v>2023</v>
      </c>
      <c r="P622" s="4">
        <f t="shared" si="49"/>
        <v>45267</v>
      </c>
      <c r="Q622" t="s">
        <v>1136</v>
      </c>
      <c r="R622" t="s">
        <v>1137</v>
      </c>
      <c r="S622">
        <v>3</v>
      </c>
      <c r="T622" t="s">
        <v>1141</v>
      </c>
      <c r="U622" s="11" t="str">
        <f t="shared" si="50"/>
        <v>05:31:34 AM</v>
      </c>
      <c r="AC622" s="4">
        <v>45800</v>
      </c>
      <c r="AD622" s="25">
        <v>429.11</v>
      </c>
      <c r="BL622" s="2" t="s">
        <v>1772</v>
      </c>
      <c r="BM622" s="4">
        <v>45788</v>
      </c>
      <c r="BN622" s="25">
        <v>5611.63</v>
      </c>
    </row>
    <row r="623" spans="1:66" x14ac:dyDescent="0.35">
      <c r="A623">
        <v>2210</v>
      </c>
      <c r="B623" t="s">
        <v>13</v>
      </c>
      <c r="C623" s="1">
        <v>45488</v>
      </c>
      <c r="D623" t="s">
        <v>24</v>
      </c>
      <c r="E623" t="s">
        <v>22</v>
      </c>
      <c r="F623">
        <v>2</v>
      </c>
      <c r="G623">
        <v>1457.48</v>
      </c>
      <c r="H623">
        <v>2914.96</v>
      </c>
      <c r="I623">
        <v>322.04000000000002</v>
      </c>
      <c r="J623">
        <v>2592.92</v>
      </c>
      <c r="K623">
        <v>294</v>
      </c>
      <c r="L623" s="11" t="s">
        <v>415</v>
      </c>
      <c r="M623">
        <f t="shared" si="46"/>
        <v>15</v>
      </c>
      <c r="N623">
        <f t="shared" si="47"/>
        <v>7</v>
      </c>
      <c r="O623">
        <f t="shared" si="48"/>
        <v>2024</v>
      </c>
      <c r="P623" s="4">
        <f t="shared" si="49"/>
        <v>45488</v>
      </c>
      <c r="Q623" t="s">
        <v>1139</v>
      </c>
      <c r="R623" t="s">
        <v>1135</v>
      </c>
      <c r="S623">
        <v>4</v>
      </c>
      <c r="T623" t="s">
        <v>1148</v>
      </c>
      <c r="U623" s="11" t="str">
        <f t="shared" si="50"/>
        <v>07:07:31 AM</v>
      </c>
      <c r="AC623" s="4">
        <v>45801</v>
      </c>
      <c r="AD623" s="25">
        <v>10511.119999999999</v>
      </c>
      <c r="BL623" s="2" t="s">
        <v>1773</v>
      </c>
      <c r="BM623" s="4">
        <v>45789</v>
      </c>
      <c r="BN623" s="25">
        <v>8018.6299999999992</v>
      </c>
    </row>
    <row r="624" spans="1:66" x14ac:dyDescent="0.35">
      <c r="A624">
        <v>6661</v>
      </c>
      <c r="B624" t="s">
        <v>31</v>
      </c>
      <c r="C624" s="1">
        <v>45601</v>
      </c>
      <c r="D624" t="s">
        <v>27</v>
      </c>
      <c r="E624" t="s">
        <v>5</v>
      </c>
      <c r="F624">
        <v>4</v>
      </c>
      <c r="G624">
        <v>554.44000000000005</v>
      </c>
      <c r="H624">
        <v>2217.7600000000002</v>
      </c>
      <c r="I624">
        <v>221.61</v>
      </c>
      <c r="J624">
        <v>1996.15</v>
      </c>
      <c r="K624">
        <v>409</v>
      </c>
      <c r="L624" s="11" t="s">
        <v>416</v>
      </c>
      <c r="M624">
        <f t="shared" si="46"/>
        <v>5</v>
      </c>
      <c r="N624">
        <f t="shared" si="47"/>
        <v>11</v>
      </c>
      <c r="O624">
        <f t="shared" si="48"/>
        <v>2024</v>
      </c>
      <c r="P624" s="4">
        <f t="shared" si="49"/>
        <v>45601</v>
      </c>
      <c r="Q624" t="s">
        <v>1134</v>
      </c>
      <c r="R624" t="s">
        <v>1137</v>
      </c>
      <c r="S624">
        <v>2</v>
      </c>
      <c r="T624" t="s">
        <v>1145</v>
      </c>
      <c r="U624" s="11" t="str">
        <f t="shared" si="50"/>
        <v>08:14:25 AM</v>
      </c>
      <c r="AC624" s="4">
        <v>45802</v>
      </c>
      <c r="AD624" s="25">
        <v>7084.0499999999993</v>
      </c>
      <c r="BL624" s="2" t="s">
        <v>1774</v>
      </c>
      <c r="BM624" s="4">
        <v>45790</v>
      </c>
      <c r="BN624" s="25">
        <v>8803.8100000000013</v>
      </c>
    </row>
    <row r="625" spans="1:66" x14ac:dyDescent="0.35">
      <c r="A625">
        <v>5901</v>
      </c>
      <c r="B625" t="s">
        <v>20</v>
      </c>
      <c r="C625" s="1">
        <v>45641</v>
      </c>
      <c r="D625" t="s">
        <v>23</v>
      </c>
      <c r="E625" t="s">
        <v>5</v>
      </c>
      <c r="F625">
        <v>4</v>
      </c>
      <c r="G625">
        <v>405.87</v>
      </c>
      <c r="H625">
        <v>1623.48</v>
      </c>
      <c r="I625">
        <v>162.68</v>
      </c>
      <c r="J625">
        <v>1460.8</v>
      </c>
      <c r="K625">
        <v>457</v>
      </c>
      <c r="L625" s="11" t="s">
        <v>417</v>
      </c>
      <c r="M625">
        <f t="shared" si="46"/>
        <v>15</v>
      </c>
      <c r="N625">
        <f t="shared" si="47"/>
        <v>12</v>
      </c>
      <c r="O625">
        <f t="shared" si="48"/>
        <v>2024</v>
      </c>
      <c r="P625" s="4">
        <f t="shared" si="49"/>
        <v>45641</v>
      </c>
      <c r="Q625" t="s">
        <v>1139</v>
      </c>
      <c r="R625" t="s">
        <v>1135</v>
      </c>
      <c r="S625">
        <v>1</v>
      </c>
      <c r="T625" t="s">
        <v>1149</v>
      </c>
      <c r="U625" s="11" t="str">
        <f t="shared" si="50"/>
        <v>10:49:27 PM</v>
      </c>
      <c r="AC625" s="4">
        <v>45803</v>
      </c>
      <c r="AD625" s="25">
        <v>7269.97</v>
      </c>
      <c r="BL625" s="2" t="s">
        <v>1775</v>
      </c>
      <c r="BM625" s="4">
        <v>45791</v>
      </c>
      <c r="BN625" s="25">
        <v>1766.24</v>
      </c>
    </row>
    <row r="626" spans="1:66" x14ac:dyDescent="0.35">
      <c r="A626">
        <v>7951</v>
      </c>
      <c r="B626" t="s">
        <v>19</v>
      </c>
      <c r="C626" s="1">
        <v>45681</v>
      </c>
      <c r="D626" t="s">
        <v>24</v>
      </c>
      <c r="E626" t="s">
        <v>7</v>
      </c>
      <c r="F626">
        <v>5</v>
      </c>
      <c r="G626">
        <v>196.71</v>
      </c>
      <c r="H626">
        <v>983.55</v>
      </c>
      <c r="I626">
        <v>154.38</v>
      </c>
      <c r="J626">
        <v>829.17</v>
      </c>
      <c r="K626">
        <v>50</v>
      </c>
      <c r="L626" s="11" t="s">
        <v>418</v>
      </c>
      <c r="M626">
        <f t="shared" si="46"/>
        <v>24</v>
      </c>
      <c r="N626">
        <f t="shared" si="47"/>
        <v>1</v>
      </c>
      <c r="O626">
        <f t="shared" si="48"/>
        <v>2025</v>
      </c>
      <c r="P626" s="4">
        <f t="shared" si="49"/>
        <v>45681</v>
      </c>
      <c r="Q626" t="s">
        <v>1138</v>
      </c>
      <c r="R626" t="s">
        <v>1135</v>
      </c>
      <c r="S626">
        <v>2</v>
      </c>
      <c r="T626" t="s">
        <v>1145</v>
      </c>
      <c r="U626" s="11" t="str">
        <f t="shared" si="50"/>
        <v>10:35:51 AM</v>
      </c>
      <c r="AC626" s="4">
        <v>45804</v>
      </c>
      <c r="AD626" s="25">
        <v>11600.91</v>
      </c>
      <c r="BL626" s="2" t="s">
        <v>1776</v>
      </c>
      <c r="BM626" s="4">
        <v>45792</v>
      </c>
      <c r="BN626" s="25">
        <v>1322.19</v>
      </c>
    </row>
    <row r="627" spans="1:66" x14ac:dyDescent="0.35">
      <c r="A627">
        <v>5097</v>
      </c>
      <c r="B627" t="s">
        <v>19</v>
      </c>
      <c r="C627" s="1">
        <v>45499</v>
      </c>
      <c r="D627" t="s">
        <v>34</v>
      </c>
      <c r="E627" t="s">
        <v>38</v>
      </c>
      <c r="F627">
        <v>4</v>
      </c>
      <c r="G627">
        <v>1874.14</v>
      </c>
      <c r="H627">
        <v>7496.56</v>
      </c>
      <c r="I627">
        <v>1124.6500000000001</v>
      </c>
      <c r="J627">
        <v>6371.91</v>
      </c>
      <c r="K627">
        <v>133</v>
      </c>
      <c r="L627" s="11" t="s">
        <v>419</v>
      </c>
      <c r="M627">
        <f t="shared" si="46"/>
        <v>26</v>
      </c>
      <c r="N627">
        <f t="shared" si="47"/>
        <v>7</v>
      </c>
      <c r="O627">
        <f t="shared" si="48"/>
        <v>2024</v>
      </c>
      <c r="P627" s="4">
        <f t="shared" si="49"/>
        <v>45499</v>
      </c>
      <c r="Q627" t="s">
        <v>1139</v>
      </c>
      <c r="R627" t="s">
        <v>1135</v>
      </c>
      <c r="S627">
        <v>3</v>
      </c>
      <c r="T627" t="s">
        <v>1142</v>
      </c>
      <c r="U627" s="11" t="str">
        <f t="shared" si="50"/>
        <v>09:23:48 AM</v>
      </c>
      <c r="AC627" s="4">
        <v>45805</v>
      </c>
      <c r="AD627" s="25">
        <v>3934.2</v>
      </c>
      <c r="BL627" s="2" t="s">
        <v>1777</v>
      </c>
      <c r="BM627" s="4">
        <v>45793</v>
      </c>
      <c r="BN627" s="25">
        <v>11666.48</v>
      </c>
    </row>
    <row r="628" spans="1:66" x14ac:dyDescent="0.35">
      <c r="A628">
        <v>5949</v>
      </c>
      <c r="B628" t="s">
        <v>3</v>
      </c>
      <c r="C628" s="1">
        <v>45299</v>
      </c>
      <c r="D628" t="s">
        <v>27</v>
      </c>
      <c r="E628" t="s">
        <v>2</v>
      </c>
      <c r="F628">
        <v>3</v>
      </c>
      <c r="G628">
        <v>130.31</v>
      </c>
      <c r="H628">
        <v>390.93</v>
      </c>
      <c r="I628">
        <v>0</v>
      </c>
      <c r="J628">
        <v>390.93</v>
      </c>
      <c r="K628">
        <v>62</v>
      </c>
      <c r="L628" s="11" t="s">
        <v>420</v>
      </c>
      <c r="M628">
        <f t="shared" si="46"/>
        <v>8</v>
      </c>
      <c r="N628">
        <f t="shared" si="47"/>
        <v>1</v>
      </c>
      <c r="O628">
        <f t="shared" si="48"/>
        <v>2024</v>
      </c>
      <c r="P628" s="4">
        <f t="shared" si="49"/>
        <v>45299</v>
      </c>
      <c r="Q628" t="s">
        <v>1138</v>
      </c>
      <c r="R628" t="s">
        <v>1137</v>
      </c>
      <c r="S628">
        <v>5</v>
      </c>
      <c r="T628" t="s">
        <v>1143</v>
      </c>
      <c r="U628" s="11" t="str">
        <f t="shared" si="50"/>
        <v>12:19:45 AM</v>
      </c>
      <c r="AC628" s="4">
        <v>45806</v>
      </c>
      <c r="AD628" s="25">
        <v>22272.22</v>
      </c>
      <c r="BL628" s="2" t="s">
        <v>1778</v>
      </c>
      <c r="BM628" s="4">
        <v>45794</v>
      </c>
      <c r="BN628" s="25">
        <v>20297.650000000001</v>
      </c>
    </row>
    <row r="629" spans="1:66" x14ac:dyDescent="0.35">
      <c r="A629">
        <v>7302</v>
      </c>
      <c r="B629" t="s">
        <v>31</v>
      </c>
      <c r="C629" s="1">
        <v>45807</v>
      </c>
      <c r="D629" t="s">
        <v>17</v>
      </c>
      <c r="E629" t="s">
        <v>7</v>
      </c>
      <c r="F629">
        <v>2</v>
      </c>
      <c r="G629">
        <v>2439.37</v>
      </c>
      <c r="H629">
        <v>4878.74</v>
      </c>
      <c r="I629">
        <v>732.06</v>
      </c>
      <c r="J629">
        <v>4146.68</v>
      </c>
      <c r="K629">
        <v>145</v>
      </c>
      <c r="L629" s="11" t="s">
        <v>421</v>
      </c>
      <c r="M629">
        <f t="shared" si="46"/>
        <v>30</v>
      </c>
      <c r="N629">
        <f t="shared" si="47"/>
        <v>5</v>
      </c>
      <c r="O629">
        <f t="shared" si="48"/>
        <v>2025</v>
      </c>
      <c r="P629" s="4">
        <f t="shared" si="49"/>
        <v>45807</v>
      </c>
      <c r="Q629" t="s">
        <v>1139</v>
      </c>
      <c r="R629" t="s">
        <v>1135</v>
      </c>
      <c r="S629">
        <v>5</v>
      </c>
      <c r="T629" t="s">
        <v>1148</v>
      </c>
      <c r="U629" s="11" t="str">
        <f t="shared" si="50"/>
        <v>03:22:39 PM</v>
      </c>
      <c r="AC629" s="4">
        <v>45807</v>
      </c>
      <c r="AD629" s="25">
        <v>17571.93</v>
      </c>
      <c r="BL629" s="2" t="s">
        <v>1779</v>
      </c>
      <c r="BM629" s="4">
        <v>45795</v>
      </c>
      <c r="BN629" s="25">
        <v>8074.24</v>
      </c>
    </row>
    <row r="630" spans="1:66" x14ac:dyDescent="0.35">
      <c r="A630">
        <v>8916</v>
      </c>
      <c r="B630" t="s">
        <v>3</v>
      </c>
      <c r="C630" s="1">
        <v>45227</v>
      </c>
      <c r="D630" t="s">
        <v>34</v>
      </c>
      <c r="E630" t="s">
        <v>22</v>
      </c>
      <c r="F630">
        <v>1</v>
      </c>
      <c r="G630">
        <v>999.32</v>
      </c>
      <c r="H630">
        <v>999.32</v>
      </c>
      <c r="I630">
        <v>0</v>
      </c>
      <c r="J630">
        <v>999.32</v>
      </c>
      <c r="K630">
        <v>146</v>
      </c>
      <c r="L630" s="11" t="s">
        <v>422</v>
      </c>
      <c r="M630">
        <f t="shared" si="46"/>
        <v>28</v>
      </c>
      <c r="N630">
        <f t="shared" si="47"/>
        <v>10</v>
      </c>
      <c r="O630">
        <f t="shared" si="48"/>
        <v>2023</v>
      </c>
      <c r="P630" s="4">
        <f t="shared" si="49"/>
        <v>45227</v>
      </c>
      <c r="Q630" t="s">
        <v>1134</v>
      </c>
      <c r="R630" t="s">
        <v>1137</v>
      </c>
      <c r="S630">
        <v>4</v>
      </c>
      <c r="T630" t="s">
        <v>1150</v>
      </c>
      <c r="U630" s="11" t="str">
        <f t="shared" si="50"/>
        <v>07:21:29 PM</v>
      </c>
      <c r="AC630" s="4">
        <v>45808</v>
      </c>
      <c r="AD630" s="25">
        <v>751.15</v>
      </c>
      <c r="BL630" s="2" t="s">
        <v>1780</v>
      </c>
      <c r="BM630" s="4">
        <v>45796</v>
      </c>
      <c r="BN630" s="25">
        <v>13133.92</v>
      </c>
    </row>
    <row r="631" spans="1:66" x14ac:dyDescent="0.35">
      <c r="A631">
        <v>4886</v>
      </c>
      <c r="B631" t="s">
        <v>8</v>
      </c>
      <c r="C631" s="1">
        <v>45441</v>
      </c>
      <c r="D631" t="s">
        <v>23</v>
      </c>
      <c r="E631" t="s">
        <v>10</v>
      </c>
      <c r="F631">
        <v>4</v>
      </c>
      <c r="G631">
        <v>1601.9</v>
      </c>
      <c r="H631">
        <v>6407.6</v>
      </c>
      <c r="I631">
        <v>109.56</v>
      </c>
      <c r="J631">
        <v>6298.04</v>
      </c>
      <c r="K631">
        <v>292</v>
      </c>
      <c r="L631" s="11" t="s">
        <v>423</v>
      </c>
      <c r="M631">
        <f t="shared" si="46"/>
        <v>29</v>
      </c>
      <c r="N631">
        <f t="shared" si="47"/>
        <v>5</v>
      </c>
      <c r="O631">
        <f t="shared" si="48"/>
        <v>2024</v>
      </c>
      <c r="P631" s="4">
        <f t="shared" si="49"/>
        <v>45441</v>
      </c>
      <c r="Q631" t="s">
        <v>1134</v>
      </c>
      <c r="R631" t="s">
        <v>1137</v>
      </c>
      <c r="S631">
        <v>5</v>
      </c>
      <c r="T631" t="s">
        <v>1144</v>
      </c>
      <c r="U631" s="11" t="str">
        <f t="shared" si="50"/>
        <v>01:07:32 PM</v>
      </c>
      <c r="AC631" s="4">
        <v>45809</v>
      </c>
      <c r="AD631" s="25">
        <v>6225</v>
      </c>
      <c r="BL631" s="2" t="s">
        <v>1781</v>
      </c>
      <c r="BM631" s="4">
        <v>45797</v>
      </c>
      <c r="BN631" s="25">
        <v>2317.36</v>
      </c>
    </row>
    <row r="632" spans="1:66" x14ac:dyDescent="0.35">
      <c r="A632">
        <v>6881</v>
      </c>
      <c r="B632" t="s">
        <v>25</v>
      </c>
      <c r="C632" s="1">
        <v>45591</v>
      </c>
      <c r="D632" t="s">
        <v>6</v>
      </c>
      <c r="E632" t="s">
        <v>10</v>
      </c>
      <c r="F632">
        <v>3</v>
      </c>
      <c r="G632">
        <v>1654.19</v>
      </c>
      <c r="H632">
        <v>4962.57</v>
      </c>
      <c r="I632">
        <v>297.14</v>
      </c>
      <c r="J632">
        <v>4665.43</v>
      </c>
      <c r="K632">
        <v>363</v>
      </c>
      <c r="L632" s="11" t="s">
        <v>424</v>
      </c>
      <c r="M632">
        <f t="shared" si="46"/>
        <v>26</v>
      </c>
      <c r="N632">
        <f t="shared" si="47"/>
        <v>10</v>
      </c>
      <c r="O632">
        <f t="shared" si="48"/>
        <v>2024</v>
      </c>
      <c r="P632" s="4">
        <f t="shared" si="49"/>
        <v>45591</v>
      </c>
      <c r="Q632" t="s">
        <v>1138</v>
      </c>
      <c r="R632" t="s">
        <v>1137</v>
      </c>
      <c r="S632">
        <v>1</v>
      </c>
      <c r="T632" t="s">
        <v>1149</v>
      </c>
      <c r="U632" s="11" t="str">
        <f t="shared" si="50"/>
        <v>06:05:37 PM</v>
      </c>
      <c r="AC632" s="4">
        <v>45810</v>
      </c>
      <c r="AD632" s="25">
        <v>2850.22</v>
      </c>
      <c r="BL632" s="2" t="s">
        <v>1782</v>
      </c>
      <c r="BM632" s="4">
        <v>45798</v>
      </c>
      <c r="BN632" s="25">
        <v>7248.3899999999994</v>
      </c>
    </row>
    <row r="633" spans="1:66" x14ac:dyDescent="0.35">
      <c r="A633">
        <v>5847</v>
      </c>
      <c r="B633" t="s">
        <v>19</v>
      </c>
      <c r="C633" s="1">
        <v>45688</v>
      </c>
      <c r="D633" t="s">
        <v>34</v>
      </c>
      <c r="E633" t="s">
        <v>12</v>
      </c>
      <c r="F633">
        <v>5</v>
      </c>
      <c r="G633">
        <v>1336.3</v>
      </c>
      <c r="H633">
        <v>6681.5</v>
      </c>
      <c r="I633">
        <v>1336.3</v>
      </c>
      <c r="J633">
        <v>5345.2</v>
      </c>
      <c r="K633">
        <v>230</v>
      </c>
      <c r="L633" s="11" t="s">
        <v>425</v>
      </c>
      <c r="M633">
        <f t="shared" si="46"/>
        <v>31</v>
      </c>
      <c r="N633">
        <f t="shared" si="47"/>
        <v>1</v>
      </c>
      <c r="O633">
        <f t="shared" si="48"/>
        <v>2025</v>
      </c>
      <c r="P633" s="4">
        <f t="shared" si="49"/>
        <v>45688</v>
      </c>
      <c r="Q633" t="s">
        <v>1136</v>
      </c>
      <c r="R633" t="s">
        <v>1137</v>
      </c>
      <c r="S633">
        <v>5</v>
      </c>
      <c r="T633" t="s">
        <v>1150</v>
      </c>
      <c r="U633" s="11" t="str">
        <f t="shared" si="50"/>
        <v>06:55:37 AM</v>
      </c>
      <c r="AC633" s="4">
        <v>45811</v>
      </c>
      <c r="AD633" s="25">
        <v>12746.310000000001</v>
      </c>
      <c r="BL633" s="2" t="s">
        <v>1783</v>
      </c>
      <c r="BM633" s="4">
        <v>45799</v>
      </c>
      <c r="BN633" s="25">
        <v>3325.8100000000004</v>
      </c>
    </row>
    <row r="634" spans="1:66" x14ac:dyDescent="0.35">
      <c r="A634">
        <v>5837</v>
      </c>
      <c r="B634" t="s">
        <v>8</v>
      </c>
      <c r="C634" s="1">
        <v>45162</v>
      </c>
      <c r="D634" t="s">
        <v>1</v>
      </c>
      <c r="E634" t="s">
        <v>30</v>
      </c>
      <c r="F634">
        <v>2</v>
      </c>
      <c r="G634">
        <v>1675.77</v>
      </c>
      <c r="H634">
        <v>3351.54</v>
      </c>
      <c r="I634">
        <v>670.64</v>
      </c>
      <c r="J634">
        <v>2680.9</v>
      </c>
      <c r="K634">
        <v>481</v>
      </c>
      <c r="L634" s="11" t="s">
        <v>426</v>
      </c>
      <c r="M634">
        <f t="shared" si="46"/>
        <v>24</v>
      </c>
      <c r="N634">
        <f t="shared" si="47"/>
        <v>8</v>
      </c>
      <c r="O634">
        <f t="shared" si="48"/>
        <v>2023</v>
      </c>
      <c r="P634" s="4">
        <f t="shared" si="49"/>
        <v>45162</v>
      </c>
      <c r="Q634" t="s">
        <v>1138</v>
      </c>
      <c r="R634" t="s">
        <v>1137</v>
      </c>
      <c r="S634">
        <v>4</v>
      </c>
      <c r="T634" t="s">
        <v>1150</v>
      </c>
      <c r="U634" s="11" t="str">
        <f t="shared" si="50"/>
        <v>01:48:32 AM</v>
      </c>
      <c r="AC634" s="4">
        <v>45812</v>
      </c>
      <c r="AD634" s="25">
        <v>12962.94</v>
      </c>
      <c r="BL634" s="2" t="s">
        <v>1784</v>
      </c>
      <c r="BM634" s="4">
        <v>45800</v>
      </c>
      <c r="BN634" s="25">
        <v>429.11</v>
      </c>
    </row>
    <row r="635" spans="1:66" x14ac:dyDescent="0.35">
      <c r="A635">
        <v>7484</v>
      </c>
      <c r="B635" t="s">
        <v>8</v>
      </c>
      <c r="C635" s="1">
        <v>45358</v>
      </c>
      <c r="D635" t="s">
        <v>9</v>
      </c>
      <c r="E635" t="s">
        <v>38</v>
      </c>
      <c r="F635">
        <v>1</v>
      </c>
      <c r="G635">
        <v>235.72</v>
      </c>
      <c r="H635">
        <v>235.72</v>
      </c>
      <c r="I635">
        <v>101.26</v>
      </c>
      <c r="J635">
        <v>134.46</v>
      </c>
      <c r="K635">
        <v>449</v>
      </c>
      <c r="L635" s="11" t="s">
        <v>427</v>
      </c>
      <c r="M635">
        <f t="shared" si="46"/>
        <v>7</v>
      </c>
      <c r="N635">
        <f t="shared" si="47"/>
        <v>3</v>
      </c>
      <c r="O635">
        <f t="shared" si="48"/>
        <v>2024</v>
      </c>
      <c r="P635" s="4">
        <f t="shared" si="49"/>
        <v>45358</v>
      </c>
      <c r="Q635" t="s">
        <v>1138</v>
      </c>
      <c r="R635" t="s">
        <v>1137</v>
      </c>
      <c r="S635">
        <v>3</v>
      </c>
      <c r="T635" t="s">
        <v>1148</v>
      </c>
      <c r="U635" s="11" t="str">
        <f t="shared" si="50"/>
        <v>01:21:33 PM</v>
      </c>
      <c r="AC635" s="4">
        <v>45813</v>
      </c>
      <c r="AD635" s="25">
        <v>14768.189999999999</v>
      </c>
      <c r="BL635" s="2" t="s">
        <v>1785</v>
      </c>
      <c r="BM635" s="4">
        <v>45801</v>
      </c>
      <c r="BN635" s="25">
        <v>10511.119999999999</v>
      </c>
    </row>
    <row r="636" spans="1:66" x14ac:dyDescent="0.35">
      <c r="A636">
        <v>1132</v>
      </c>
      <c r="B636" t="s">
        <v>13</v>
      </c>
      <c r="C636" s="1">
        <v>45584</v>
      </c>
      <c r="D636" t="s">
        <v>27</v>
      </c>
      <c r="E636" t="s">
        <v>32</v>
      </c>
      <c r="F636">
        <v>1</v>
      </c>
      <c r="G636">
        <v>713.8</v>
      </c>
      <c r="H636">
        <v>713.8</v>
      </c>
      <c r="I636">
        <v>0</v>
      </c>
      <c r="J636">
        <v>713.8</v>
      </c>
      <c r="K636">
        <v>79</v>
      </c>
      <c r="L636" s="11" t="s">
        <v>428</v>
      </c>
      <c r="M636">
        <f t="shared" si="46"/>
        <v>19</v>
      </c>
      <c r="N636">
        <f t="shared" si="47"/>
        <v>10</v>
      </c>
      <c r="O636">
        <f t="shared" si="48"/>
        <v>2024</v>
      </c>
      <c r="P636" s="4">
        <f t="shared" si="49"/>
        <v>45584</v>
      </c>
      <c r="Q636" t="s">
        <v>1139</v>
      </c>
      <c r="R636" t="s">
        <v>1137</v>
      </c>
      <c r="S636">
        <v>3</v>
      </c>
      <c r="T636" t="s">
        <v>1143</v>
      </c>
      <c r="U636" s="11" t="str">
        <f t="shared" si="50"/>
        <v>01:49:22 PM</v>
      </c>
      <c r="AC636" s="4">
        <v>45814</v>
      </c>
      <c r="AD636" s="25">
        <v>7999.54</v>
      </c>
      <c r="BL636" s="2" t="s">
        <v>1786</v>
      </c>
      <c r="BM636" s="4">
        <v>45802</v>
      </c>
      <c r="BN636" s="25">
        <v>7084.0499999999993</v>
      </c>
    </row>
    <row r="637" spans="1:66" x14ac:dyDescent="0.35">
      <c r="A637">
        <v>1803</v>
      </c>
      <c r="B637" t="s">
        <v>13</v>
      </c>
      <c r="C637" s="1">
        <v>45852</v>
      </c>
      <c r="D637" t="s">
        <v>24</v>
      </c>
      <c r="E637" t="s">
        <v>14</v>
      </c>
      <c r="F637">
        <v>2</v>
      </c>
      <c r="G637">
        <v>1857.54</v>
      </c>
      <c r="H637">
        <v>3715.08</v>
      </c>
      <c r="I637">
        <v>742.85</v>
      </c>
      <c r="J637">
        <v>2972.23</v>
      </c>
      <c r="K637">
        <v>226</v>
      </c>
      <c r="L637" s="11" t="s">
        <v>429</v>
      </c>
      <c r="M637">
        <f t="shared" si="46"/>
        <v>14</v>
      </c>
      <c r="N637">
        <f t="shared" si="47"/>
        <v>7</v>
      </c>
      <c r="O637">
        <f t="shared" si="48"/>
        <v>2025</v>
      </c>
      <c r="P637" s="4">
        <f t="shared" si="49"/>
        <v>45852</v>
      </c>
      <c r="Q637" t="s">
        <v>1139</v>
      </c>
      <c r="R637" t="s">
        <v>1137</v>
      </c>
      <c r="S637">
        <v>5</v>
      </c>
      <c r="T637" t="s">
        <v>1148</v>
      </c>
      <c r="U637" s="11" t="str">
        <f t="shared" si="50"/>
        <v>04:04:09 PM</v>
      </c>
      <c r="AC637" s="4">
        <v>45815</v>
      </c>
      <c r="AD637" s="25">
        <v>4426.3899999999994</v>
      </c>
      <c r="BL637" s="2" t="s">
        <v>1787</v>
      </c>
      <c r="BM637" s="4">
        <v>45803</v>
      </c>
      <c r="BN637" s="25">
        <v>7269.97</v>
      </c>
    </row>
    <row r="638" spans="1:66" x14ac:dyDescent="0.35">
      <c r="A638">
        <v>9138</v>
      </c>
      <c r="B638" t="s">
        <v>3</v>
      </c>
      <c r="C638" s="1">
        <v>45791</v>
      </c>
      <c r="D638" t="s">
        <v>23</v>
      </c>
      <c r="E638" t="s">
        <v>28</v>
      </c>
      <c r="F638">
        <v>1</v>
      </c>
      <c r="G638">
        <v>1679.09</v>
      </c>
      <c r="H638">
        <v>1679.09</v>
      </c>
      <c r="I638">
        <v>167.66</v>
      </c>
      <c r="J638">
        <v>1511.43</v>
      </c>
      <c r="K638">
        <v>440</v>
      </c>
      <c r="L638" s="11" t="s">
        <v>430</v>
      </c>
      <c r="M638">
        <f t="shared" si="46"/>
        <v>14</v>
      </c>
      <c r="N638">
        <f t="shared" si="47"/>
        <v>5</v>
      </c>
      <c r="O638">
        <f t="shared" si="48"/>
        <v>2025</v>
      </c>
      <c r="P638" s="4">
        <f t="shared" si="49"/>
        <v>45791</v>
      </c>
      <c r="Q638" t="s">
        <v>1138</v>
      </c>
      <c r="R638" t="s">
        <v>1137</v>
      </c>
      <c r="S638">
        <v>2</v>
      </c>
      <c r="T638" t="s">
        <v>1143</v>
      </c>
      <c r="U638" s="11" t="str">
        <f t="shared" si="50"/>
        <v>06:51:09 PM</v>
      </c>
      <c r="AC638" s="4">
        <v>45816</v>
      </c>
      <c r="AD638" s="25">
        <v>18392.8</v>
      </c>
      <c r="BL638" s="2" t="s">
        <v>1788</v>
      </c>
      <c r="BM638" s="4">
        <v>45804</v>
      </c>
      <c r="BN638" s="25">
        <v>11600.91</v>
      </c>
    </row>
    <row r="639" spans="1:66" x14ac:dyDescent="0.35">
      <c r="A639">
        <v>5689</v>
      </c>
      <c r="B639" t="s">
        <v>15</v>
      </c>
      <c r="C639" s="1">
        <v>45747</v>
      </c>
      <c r="D639" t="s">
        <v>27</v>
      </c>
      <c r="E639" t="s">
        <v>2</v>
      </c>
      <c r="F639">
        <v>5</v>
      </c>
      <c r="G639">
        <v>1152.8699999999999</v>
      </c>
      <c r="H639">
        <v>5764.35</v>
      </c>
      <c r="I639">
        <v>281.37</v>
      </c>
      <c r="J639">
        <v>5482.98</v>
      </c>
      <c r="K639">
        <v>496</v>
      </c>
      <c r="L639" s="11" t="s">
        <v>431</v>
      </c>
      <c r="M639">
        <f t="shared" si="46"/>
        <v>31</v>
      </c>
      <c r="N639">
        <f t="shared" si="47"/>
        <v>3</v>
      </c>
      <c r="O639">
        <f t="shared" si="48"/>
        <v>2025</v>
      </c>
      <c r="P639" s="4">
        <f t="shared" si="49"/>
        <v>45747</v>
      </c>
      <c r="Q639" t="s">
        <v>1134</v>
      </c>
      <c r="R639" t="s">
        <v>1135</v>
      </c>
      <c r="S639">
        <v>3</v>
      </c>
      <c r="T639" t="s">
        <v>1141</v>
      </c>
      <c r="U639" s="11" t="str">
        <f t="shared" si="50"/>
        <v>05:40:44 AM</v>
      </c>
      <c r="AC639" s="4">
        <v>45817</v>
      </c>
      <c r="AD639" s="25">
        <v>14520.850000000002</v>
      </c>
      <c r="BL639" s="2" t="s">
        <v>1789</v>
      </c>
      <c r="BM639" s="4">
        <v>45805</v>
      </c>
      <c r="BN639" s="25">
        <v>3934.2</v>
      </c>
    </row>
    <row r="640" spans="1:66" x14ac:dyDescent="0.35">
      <c r="A640">
        <v>4770</v>
      </c>
      <c r="B640" t="s">
        <v>13</v>
      </c>
      <c r="C640" s="1">
        <v>45616</v>
      </c>
      <c r="D640" t="s">
        <v>27</v>
      </c>
      <c r="E640" t="s">
        <v>7</v>
      </c>
      <c r="F640">
        <v>3</v>
      </c>
      <c r="G640">
        <v>2270.0500000000002</v>
      </c>
      <c r="H640">
        <v>6810.15</v>
      </c>
      <c r="I640">
        <v>229.91</v>
      </c>
      <c r="J640">
        <v>6580.24</v>
      </c>
      <c r="K640">
        <v>246</v>
      </c>
      <c r="L640" s="11" t="s">
        <v>432</v>
      </c>
      <c r="M640">
        <f t="shared" si="46"/>
        <v>20</v>
      </c>
      <c r="N640">
        <f t="shared" si="47"/>
        <v>11</v>
      </c>
      <c r="O640">
        <f t="shared" si="48"/>
        <v>2024</v>
      </c>
      <c r="P640" s="4">
        <f t="shared" si="49"/>
        <v>45616</v>
      </c>
      <c r="Q640" t="s">
        <v>1139</v>
      </c>
      <c r="R640" t="s">
        <v>1135</v>
      </c>
      <c r="S640">
        <v>5</v>
      </c>
      <c r="T640" t="s">
        <v>1149</v>
      </c>
      <c r="U640" s="11" t="str">
        <f t="shared" si="50"/>
        <v>05:01:22 PM</v>
      </c>
      <c r="AC640" s="4">
        <v>45818</v>
      </c>
      <c r="AD640" s="25">
        <v>6808.49</v>
      </c>
      <c r="BL640" s="2" t="s">
        <v>1790</v>
      </c>
      <c r="BM640" s="4">
        <v>45806</v>
      </c>
      <c r="BN640" s="25">
        <v>22272.22</v>
      </c>
    </row>
    <row r="641" spans="1:66" x14ac:dyDescent="0.35">
      <c r="A641">
        <v>6772</v>
      </c>
      <c r="B641" t="s">
        <v>25</v>
      </c>
      <c r="C641" s="1">
        <v>45315</v>
      </c>
      <c r="D641" t="s">
        <v>9</v>
      </c>
      <c r="E641" t="s">
        <v>2</v>
      </c>
      <c r="F641">
        <v>2</v>
      </c>
      <c r="G641">
        <v>812.57</v>
      </c>
      <c r="H641">
        <v>1625.14</v>
      </c>
      <c r="I641">
        <v>244.02</v>
      </c>
      <c r="J641">
        <v>1381.12</v>
      </c>
      <c r="K641">
        <v>0</v>
      </c>
      <c r="L641" s="11" t="s">
        <v>433</v>
      </c>
      <c r="M641">
        <f t="shared" si="46"/>
        <v>24</v>
      </c>
      <c r="N641">
        <f t="shared" si="47"/>
        <v>1</v>
      </c>
      <c r="O641">
        <f t="shared" si="48"/>
        <v>2024</v>
      </c>
      <c r="P641" s="4">
        <f t="shared" si="49"/>
        <v>45315</v>
      </c>
      <c r="Q641" t="s">
        <v>1136</v>
      </c>
      <c r="R641" t="s">
        <v>1135</v>
      </c>
      <c r="S641">
        <v>4</v>
      </c>
      <c r="T641" t="s">
        <v>1142</v>
      </c>
      <c r="U641" s="11" t="str">
        <f t="shared" si="50"/>
        <v>07:01:44 PM</v>
      </c>
      <c r="AC641" s="4">
        <v>45819</v>
      </c>
      <c r="AD641" s="25">
        <v>5192.4799999999996</v>
      </c>
      <c r="BL641" s="2" t="s">
        <v>1791</v>
      </c>
      <c r="BM641" s="4">
        <v>45807</v>
      </c>
      <c r="BN641" s="25">
        <v>17571.93</v>
      </c>
    </row>
    <row r="642" spans="1:66" x14ac:dyDescent="0.35">
      <c r="A642">
        <v>4115</v>
      </c>
      <c r="B642" t="s">
        <v>19</v>
      </c>
      <c r="C642" s="1">
        <v>45627</v>
      </c>
      <c r="D642" t="s">
        <v>34</v>
      </c>
      <c r="E642" t="s">
        <v>7</v>
      </c>
      <c r="F642">
        <v>1</v>
      </c>
      <c r="G642">
        <v>1738.02</v>
      </c>
      <c r="H642">
        <v>1738.02</v>
      </c>
      <c r="I642">
        <v>260.62</v>
      </c>
      <c r="J642">
        <v>1477.4</v>
      </c>
      <c r="K642">
        <v>251</v>
      </c>
      <c r="L642" s="11" t="s">
        <v>434</v>
      </c>
      <c r="M642">
        <f t="shared" ref="M642:M705" si="51">DAY(C642)</f>
        <v>1</v>
      </c>
      <c r="N642">
        <f t="shared" ref="N642:N705" si="52">MONTH(C642)</f>
        <v>12</v>
      </c>
      <c r="O642">
        <f t="shared" ref="O642:O705" si="53">YEAR(C642)</f>
        <v>2024</v>
      </c>
      <c r="P642" s="4">
        <f t="shared" si="49"/>
        <v>45627</v>
      </c>
      <c r="Q642" t="s">
        <v>1139</v>
      </c>
      <c r="R642" t="s">
        <v>1135</v>
      </c>
      <c r="S642">
        <v>5</v>
      </c>
      <c r="T642" t="s">
        <v>1146</v>
      </c>
      <c r="U642" s="11" t="str">
        <f t="shared" si="50"/>
        <v>09:07:50 AM</v>
      </c>
      <c r="AC642" s="4">
        <v>45820</v>
      </c>
      <c r="AD642" s="25">
        <v>9649.58</v>
      </c>
      <c r="BL642" s="2" t="s">
        <v>1792</v>
      </c>
      <c r="BM642" s="4">
        <v>45808</v>
      </c>
      <c r="BN642" s="25">
        <v>751.15</v>
      </c>
    </row>
    <row r="643" spans="1:66" x14ac:dyDescent="0.35">
      <c r="A643">
        <v>5106</v>
      </c>
      <c r="B643" t="s">
        <v>20</v>
      </c>
      <c r="C643" s="1">
        <v>45671</v>
      </c>
      <c r="D643" t="s">
        <v>9</v>
      </c>
      <c r="E643" t="s">
        <v>26</v>
      </c>
      <c r="F643">
        <v>5</v>
      </c>
      <c r="G643">
        <v>639.1</v>
      </c>
      <c r="H643">
        <v>3195.5</v>
      </c>
      <c r="I643">
        <v>639.1</v>
      </c>
      <c r="J643">
        <v>2556.4</v>
      </c>
      <c r="K643">
        <v>3</v>
      </c>
      <c r="L643" s="11" t="s">
        <v>435</v>
      </c>
      <c r="M643">
        <f t="shared" si="51"/>
        <v>14</v>
      </c>
      <c r="N643">
        <f t="shared" si="52"/>
        <v>1</v>
      </c>
      <c r="O643">
        <f t="shared" si="53"/>
        <v>2025</v>
      </c>
      <c r="P643" s="4">
        <f t="shared" ref="P643:P706" si="54">DATE(O643,N643,M643)</f>
        <v>45671</v>
      </c>
      <c r="Q643" t="s">
        <v>1139</v>
      </c>
      <c r="R643" t="s">
        <v>1135</v>
      </c>
      <c r="S643">
        <v>3</v>
      </c>
      <c r="T643" t="s">
        <v>1142</v>
      </c>
      <c r="U643" s="11" t="str">
        <f t="shared" si="50"/>
        <v>07:14:02 AM</v>
      </c>
      <c r="AC643" s="4">
        <v>45821</v>
      </c>
      <c r="AD643" s="25">
        <v>379.31</v>
      </c>
      <c r="BL643" s="2" t="s">
        <v>1793</v>
      </c>
      <c r="BM643" s="4">
        <v>45809</v>
      </c>
      <c r="BN643" s="25">
        <v>6225</v>
      </c>
    </row>
    <row r="644" spans="1:66" x14ac:dyDescent="0.35">
      <c r="A644">
        <v>3240</v>
      </c>
      <c r="B644" t="s">
        <v>13</v>
      </c>
      <c r="C644" s="1">
        <v>45632</v>
      </c>
      <c r="D644" t="s">
        <v>27</v>
      </c>
      <c r="E644" t="s">
        <v>5</v>
      </c>
      <c r="F644">
        <v>4</v>
      </c>
      <c r="G644">
        <v>683.92</v>
      </c>
      <c r="H644">
        <v>2735.68</v>
      </c>
      <c r="I644">
        <v>273.89999999999998</v>
      </c>
      <c r="J644">
        <v>2461.7800000000002</v>
      </c>
      <c r="K644">
        <v>366</v>
      </c>
      <c r="L644" s="11" t="s">
        <v>436</v>
      </c>
      <c r="M644">
        <f t="shared" si="51"/>
        <v>6</v>
      </c>
      <c r="N644">
        <f t="shared" si="52"/>
        <v>12</v>
      </c>
      <c r="O644">
        <f t="shared" si="53"/>
        <v>2024</v>
      </c>
      <c r="P644" s="4">
        <f t="shared" si="54"/>
        <v>45632</v>
      </c>
      <c r="Q644" t="s">
        <v>1136</v>
      </c>
      <c r="R644" t="s">
        <v>1137</v>
      </c>
      <c r="S644">
        <v>4</v>
      </c>
      <c r="T644" t="s">
        <v>1150</v>
      </c>
      <c r="U644" s="11" t="str">
        <f t="shared" si="50"/>
        <v>12:15:27 AM</v>
      </c>
      <c r="AC644" s="4">
        <v>45822</v>
      </c>
      <c r="AD644" s="25">
        <v>13091.59</v>
      </c>
      <c r="BL644" s="2" t="s">
        <v>1794</v>
      </c>
      <c r="BM644" s="4">
        <v>45810</v>
      </c>
      <c r="BN644" s="25">
        <v>2850.22</v>
      </c>
    </row>
    <row r="645" spans="1:66" x14ac:dyDescent="0.35">
      <c r="A645">
        <v>2591</v>
      </c>
      <c r="B645" t="s">
        <v>31</v>
      </c>
      <c r="C645" s="1">
        <v>45846</v>
      </c>
      <c r="D645" t="s">
        <v>24</v>
      </c>
      <c r="E645" t="s">
        <v>32</v>
      </c>
      <c r="F645">
        <v>4</v>
      </c>
      <c r="G645">
        <v>1586.96</v>
      </c>
      <c r="H645">
        <v>6347.84</v>
      </c>
      <c r="I645">
        <v>952.01</v>
      </c>
      <c r="J645">
        <v>5395.83</v>
      </c>
      <c r="K645">
        <v>264</v>
      </c>
      <c r="L645" s="11" t="s">
        <v>437</v>
      </c>
      <c r="M645">
        <f t="shared" si="51"/>
        <v>8</v>
      </c>
      <c r="N645">
        <f t="shared" si="52"/>
        <v>7</v>
      </c>
      <c r="O645">
        <f t="shared" si="53"/>
        <v>2025</v>
      </c>
      <c r="P645" s="4">
        <f t="shared" si="54"/>
        <v>45846</v>
      </c>
      <c r="Q645" t="s">
        <v>1138</v>
      </c>
      <c r="R645" t="s">
        <v>1137</v>
      </c>
      <c r="S645">
        <v>5</v>
      </c>
      <c r="T645" t="s">
        <v>1144</v>
      </c>
      <c r="U645" s="11" t="str">
        <f t="shared" si="50"/>
        <v>04:33:51 AM</v>
      </c>
      <c r="AC645" s="4">
        <v>45823</v>
      </c>
      <c r="AD645" s="25">
        <v>18699.07</v>
      </c>
      <c r="BL645" s="2" t="s">
        <v>1795</v>
      </c>
      <c r="BM645" s="4">
        <v>45811</v>
      </c>
      <c r="BN645" s="25">
        <v>12746.310000000001</v>
      </c>
    </row>
    <row r="646" spans="1:66" x14ac:dyDescent="0.35">
      <c r="A646">
        <v>1645</v>
      </c>
      <c r="B646" t="s">
        <v>3</v>
      </c>
      <c r="C646" s="1">
        <v>45384</v>
      </c>
      <c r="D646" t="s">
        <v>24</v>
      </c>
      <c r="E646" t="s">
        <v>5</v>
      </c>
      <c r="F646">
        <v>2</v>
      </c>
      <c r="G646">
        <v>2136.42</v>
      </c>
      <c r="H646">
        <v>4272.84</v>
      </c>
      <c r="I646">
        <v>640.76</v>
      </c>
      <c r="J646">
        <v>3632.08</v>
      </c>
      <c r="K646">
        <v>93</v>
      </c>
      <c r="L646" s="11" t="s">
        <v>438</v>
      </c>
      <c r="M646">
        <f t="shared" si="51"/>
        <v>2</v>
      </c>
      <c r="N646">
        <f t="shared" si="52"/>
        <v>4</v>
      </c>
      <c r="O646">
        <f t="shared" si="53"/>
        <v>2024</v>
      </c>
      <c r="P646" s="4">
        <f t="shared" si="54"/>
        <v>45384</v>
      </c>
      <c r="Q646" t="s">
        <v>1136</v>
      </c>
      <c r="R646" t="s">
        <v>1137</v>
      </c>
      <c r="S646">
        <v>1</v>
      </c>
      <c r="T646" t="s">
        <v>1141</v>
      </c>
      <c r="U646" s="11" t="str">
        <f t="shared" si="50"/>
        <v>01:26:41 AM</v>
      </c>
      <c r="AC646" s="4">
        <v>45824</v>
      </c>
      <c r="AD646" s="25">
        <v>3056.89</v>
      </c>
      <c r="BL646" s="2" t="s">
        <v>1796</v>
      </c>
      <c r="BM646" s="4">
        <v>45812</v>
      </c>
      <c r="BN646" s="25">
        <v>12962.94</v>
      </c>
    </row>
    <row r="647" spans="1:66" x14ac:dyDescent="0.35">
      <c r="A647">
        <v>8222</v>
      </c>
      <c r="B647" t="s">
        <v>0</v>
      </c>
      <c r="C647" s="1">
        <v>45170</v>
      </c>
      <c r="D647" t="s">
        <v>16</v>
      </c>
      <c r="E647" t="s">
        <v>22</v>
      </c>
      <c r="F647">
        <v>5</v>
      </c>
      <c r="G647">
        <v>1171.96</v>
      </c>
      <c r="H647">
        <v>5859.8</v>
      </c>
      <c r="I647">
        <v>1171.96</v>
      </c>
      <c r="J647">
        <v>4687.84</v>
      </c>
      <c r="K647">
        <v>358</v>
      </c>
      <c r="L647" s="11" t="s">
        <v>439</v>
      </c>
      <c r="M647">
        <f t="shared" si="51"/>
        <v>1</v>
      </c>
      <c r="N647">
        <f t="shared" si="52"/>
        <v>9</v>
      </c>
      <c r="O647">
        <f t="shared" si="53"/>
        <v>2023</v>
      </c>
      <c r="P647" s="4">
        <f t="shared" si="54"/>
        <v>45170</v>
      </c>
      <c r="Q647" t="s">
        <v>1138</v>
      </c>
      <c r="R647" t="s">
        <v>1137</v>
      </c>
      <c r="S647">
        <v>4</v>
      </c>
      <c r="T647" t="s">
        <v>1142</v>
      </c>
      <c r="U647" s="11" t="str">
        <f t="shared" si="50"/>
        <v>08:55:26 PM</v>
      </c>
      <c r="AC647" s="4">
        <v>45825</v>
      </c>
      <c r="AD647" s="25">
        <v>14335.759999999998</v>
      </c>
      <c r="BL647" s="2" t="s">
        <v>1797</v>
      </c>
      <c r="BM647" s="4">
        <v>45813</v>
      </c>
      <c r="BN647" s="25">
        <v>14768.189999999999</v>
      </c>
    </row>
    <row r="648" spans="1:66" x14ac:dyDescent="0.35">
      <c r="A648">
        <v>6977</v>
      </c>
      <c r="B648" t="s">
        <v>25</v>
      </c>
      <c r="C648" s="1">
        <v>45713</v>
      </c>
      <c r="D648" t="s">
        <v>1</v>
      </c>
      <c r="E648" t="s">
        <v>30</v>
      </c>
      <c r="F648">
        <v>1</v>
      </c>
      <c r="G648">
        <v>2416.13</v>
      </c>
      <c r="H648">
        <v>2416.13</v>
      </c>
      <c r="I648">
        <v>176.79</v>
      </c>
      <c r="J648">
        <v>2239.34</v>
      </c>
      <c r="K648">
        <v>11</v>
      </c>
      <c r="L648" s="11" t="s">
        <v>440</v>
      </c>
      <c r="M648">
        <f t="shared" si="51"/>
        <v>25</v>
      </c>
      <c r="N648">
        <f t="shared" si="52"/>
        <v>2</v>
      </c>
      <c r="O648">
        <f t="shared" si="53"/>
        <v>2025</v>
      </c>
      <c r="P648" s="4">
        <f t="shared" si="54"/>
        <v>45713</v>
      </c>
      <c r="Q648" t="s">
        <v>1138</v>
      </c>
      <c r="R648" t="s">
        <v>1137</v>
      </c>
      <c r="S648">
        <v>1</v>
      </c>
      <c r="T648" t="s">
        <v>1142</v>
      </c>
      <c r="U648" s="11" t="str">
        <f t="shared" si="50"/>
        <v>08:46:29 AM</v>
      </c>
      <c r="AC648" s="4">
        <v>45826</v>
      </c>
      <c r="AD648" s="25">
        <v>5605.82</v>
      </c>
      <c r="BL648" s="2" t="s">
        <v>1798</v>
      </c>
      <c r="BM648" s="4">
        <v>45814</v>
      </c>
      <c r="BN648" s="25">
        <v>7999.54</v>
      </c>
    </row>
    <row r="649" spans="1:66" x14ac:dyDescent="0.35">
      <c r="A649">
        <v>3153</v>
      </c>
      <c r="B649" t="s">
        <v>8</v>
      </c>
      <c r="C649" s="1">
        <v>45215</v>
      </c>
      <c r="D649" t="s">
        <v>34</v>
      </c>
      <c r="E649" t="s">
        <v>28</v>
      </c>
      <c r="F649">
        <v>2</v>
      </c>
      <c r="G649">
        <v>299.63</v>
      </c>
      <c r="H649">
        <v>599.26</v>
      </c>
      <c r="I649">
        <v>119.52</v>
      </c>
      <c r="J649">
        <v>479.74</v>
      </c>
      <c r="K649">
        <v>7</v>
      </c>
      <c r="L649" s="11" t="s">
        <v>441</v>
      </c>
      <c r="M649">
        <f t="shared" si="51"/>
        <v>16</v>
      </c>
      <c r="N649">
        <f t="shared" si="52"/>
        <v>10</v>
      </c>
      <c r="O649">
        <f t="shared" si="53"/>
        <v>2023</v>
      </c>
      <c r="P649" s="4">
        <f t="shared" si="54"/>
        <v>45215</v>
      </c>
      <c r="Q649" t="s">
        <v>1138</v>
      </c>
      <c r="R649" t="s">
        <v>1137</v>
      </c>
      <c r="S649">
        <v>2</v>
      </c>
      <c r="T649" t="s">
        <v>1144</v>
      </c>
      <c r="U649" s="11" t="str">
        <f t="shared" si="50"/>
        <v>01:41:56 AM</v>
      </c>
      <c r="AC649" s="4">
        <v>45827</v>
      </c>
      <c r="AD649" s="25">
        <v>9340.82</v>
      </c>
      <c r="BL649" s="2" t="s">
        <v>1799</v>
      </c>
      <c r="BM649" s="4">
        <v>45815</v>
      </c>
      <c r="BN649" s="25">
        <v>4426.3899999999994</v>
      </c>
    </row>
    <row r="650" spans="1:66" x14ac:dyDescent="0.35">
      <c r="A650">
        <v>5835</v>
      </c>
      <c r="B650" t="s">
        <v>25</v>
      </c>
      <c r="C650" s="1">
        <v>45398</v>
      </c>
      <c r="D650" t="s">
        <v>9</v>
      </c>
      <c r="E650" t="s">
        <v>26</v>
      </c>
      <c r="F650">
        <v>4</v>
      </c>
      <c r="G650">
        <v>2484.19</v>
      </c>
      <c r="H650">
        <v>9936.76</v>
      </c>
      <c r="I650">
        <v>1490.68</v>
      </c>
      <c r="J650">
        <v>8446.08</v>
      </c>
      <c r="K650">
        <v>237</v>
      </c>
      <c r="L650" s="11" t="s">
        <v>442</v>
      </c>
      <c r="M650">
        <f t="shared" si="51"/>
        <v>16</v>
      </c>
      <c r="N650">
        <f t="shared" si="52"/>
        <v>4</v>
      </c>
      <c r="O650">
        <f t="shared" si="53"/>
        <v>2024</v>
      </c>
      <c r="P650" s="4">
        <f t="shared" si="54"/>
        <v>45398</v>
      </c>
      <c r="Q650" t="s">
        <v>1136</v>
      </c>
      <c r="R650" t="s">
        <v>1137</v>
      </c>
      <c r="S650">
        <v>4</v>
      </c>
      <c r="T650" t="s">
        <v>1144</v>
      </c>
      <c r="U650" s="11" t="str">
        <f t="shared" si="50"/>
        <v>12:27:13 AM</v>
      </c>
      <c r="AC650" s="4">
        <v>45828</v>
      </c>
      <c r="AD650" s="25">
        <v>3869.46</v>
      </c>
      <c r="BL650" s="2" t="s">
        <v>1800</v>
      </c>
      <c r="BM650" s="4">
        <v>45816</v>
      </c>
      <c r="BN650" s="25">
        <v>18392.8</v>
      </c>
    </row>
    <row r="651" spans="1:66" x14ac:dyDescent="0.35">
      <c r="A651">
        <v>7807</v>
      </c>
      <c r="B651" t="s">
        <v>0</v>
      </c>
      <c r="C651" s="1">
        <v>45281</v>
      </c>
      <c r="D651" t="s">
        <v>23</v>
      </c>
      <c r="E651" t="s">
        <v>29</v>
      </c>
      <c r="F651">
        <v>3</v>
      </c>
      <c r="G651">
        <v>1948.84</v>
      </c>
      <c r="H651">
        <v>5846.52</v>
      </c>
      <c r="I651">
        <v>1169.47</v>
      </c>
      <c r="J651">
        <v>4677.05</v>
      </c>
      <c r="K651">
        <v>36</v>
      </c>
      <c r="L651" s="11" t="s">
        <v>443</v>
      </c>
      <c r="M651">
        <f t="shared" si="51"/>
        <v>21</v>
      </c>
      <c r="N651">
        <f t="shared" si="52"/>
        <v>12</v>
      </c>
      <c r="O651">
        <f t="shared" si="53"/>
        <v>2023</v>
      </c>
      <c r="P651" s="4">
        <f t="shared" si="54"/>
        <v>45281</v>
      </c>
      <c r="Q651" t="s">
        <v>1138</v>
      </c>
      <c r="R651" t="s">
        <v>1135</v>
      </c>
      <c r="S651">
        <v>1</v>
      </c>
      <c r="T651" t="s">
        <v>1142</v>
      </c>
      <c r="U651" s="11" t="str">
        <f t="shared" si="50"/>
        <v>01:07:52 AM</v>
      </c>
      <c r="AC651" s="4">
        <v>45829</v>
      </c>
      <c r="AD651" s="25">
        <v>3845.39</v>
      </c>
      <c r="BL651" s="2" t="s">
        <v>1801</v>
      </c>
      <c r="BM651" s="4">
        <v>45817</v>
      </c>
      <c r="BN651" s="25">
        <v>14520.850000000002</v>
      </c>
    </row>
    <row r="652" spans="1:66" x14ac:dyDescent="0.35">
      <c r="A652">
        <v>4289</v>
      </c>
      <c r="B652" t="s">
        <v>31</v>
      </c>
      <c r="C652" s="1">
        <v>45247</v>
      </c>
      <c r="D652" t="s">
        <v>24</v>
      </c>
      <c r="E652" t="s">
        <v>21</v>
      </c>
      <c r="F652">
        <v>1</v>
      </c>
      <c r="G652">
        <v>375.99</v>
      </c>
      <c r="H652">
        <v>375.99</v>
      </c>
      <c r="I652">
        <v>37.35</v>
      </c>
      <c r="J652">
        <v>338.64</v>
      </c>
      <c r="K652">
        <v>393</v>
      </c>
      <c r="L652" s="11" t="s">
        <v>444</v>
      </c>
      <c r="M652">
        <f t="shared" si="51"/>
        <v>17</v>
      </c>
      <c r="N652">
        <f t="shared" si="52"/>
        <v>11</v>
      </c>
      <c r="O652">
        <f t="shared" si="53"/>
        <v>2023</v>
      </c>
      <c r="P652" s="4">
        <f t="shared" si="54"/>
        <v>45247</v>
      </c>
      <c r="Q652" t="s">
        <v>1134</v>
      </c>
      <c r="R652" t="s">
        <v>1135</v>
      </c>
      <c r="S652">
        <v>3</v>
      </c>
      <c r="T652" t="s">
        <v>1147</v>
      </c>
      <c r="U652" s="11" t="str">
        <f t="shared" si="50"/>
        <v>04:14:19 PM</v>
      </c>
      <c r="AC652" s="4">
        <v>45830</v>
      </c>
      <c r="AD652" s="25">
        <v>13125.62</v>
      </c>
      <c r="BL652" s="2" t="s">
        <v>1802</v>
      </c>
      <c r="BM652" s="4">
        <v>45818</v>
      </c>
      <c r="BN652" s="25">
        <v>6808.49</v>
      </c>
    </row>
    <row r="653" spans="1:66" x14ac:dyDescent="0.35">
      <c r="A653">
        <v>9837</v>
      </c>
      <c r="B653" t="s">
        <v>15</v>
      </c>
      <c r="C653" s="1">
        <v>45825</v>
      </c>
      <c r="D653" t="s">
        <v>6</v>
      </c>
      <c r="E653" t="s">
        <v>29</v>
      </c>
      <c r="F653">
        <v>2</v>
      </c>
      <c r="G653">
        <v>1191.05</v>
      </c>
      <c r="H653">
        <v>2382.1</v>
      </c>
      <c r="I653">
        <v>303.77999999999997</v>
      </c>
      <c r="J653">
        <v>2078.3200000000002</v>
      </c>
      <c r="K653">
        <v>394</v>
      </c>
      <c r="L653" s="11" t="s">
        <v>445</v>
      </c>
      <c r="M653">
        <f t="shared" si="51"/>
        <v>17</v>
      </c>
      <c r="N653">
        <f t="shared" si="52"/>
        <v>6</v>
      </c>
      <c r="O653">
        <f t="shared" si="53"/>
        <v>2025</v>
      </c>
      <c r="P653" s="4">
        <f t="shared" si="54"/>
        <v>45825</v>
      </c>
      <c r="Q653" t="s">
        <v>1136</v>
      </c>
      <c r="R653" t="s">
        <v>1135</v>
      </c>
      <c r="S653">
        <v>3</v>
      </c>
      <c r="T653" t="s">
        <v>1145</v>
      </c>
      <c r="U653" s="11" t="str">
        <f t="shared" si="50"/>
        <v>04:29:21 PM</v>
      </c>
      <c r="AC653" s="4">
        <v>45831</v>
      </c>
      <c r="AD653" s="25">
        <v>1792.8</v>
      </c>
      <c r="BL653" s="2" t="s">
        <v>1803</v>
      </c>
      <c r="BM653" s="4">
        <v>45819</v>
      </c>
      <c r="BN653" s="25">
        <v>5192.4799999999996</v>
      </c>
    </row>
    <row r="654" spans="1:66" x14ac:dyDescent="0.35">
      <c r="A654">
        <v>6994</v>
      </c>
      <c r="B654" t="s">
        <v>31</v>
      </c>
      <c r="C654" s="1">
        <v>45557</v>
      </c>
      <c r="D654" t="s">
        <v>34</v>
      </c>
      <c r="E654" t="s">
        <v>21</v>
      </c>
      <c r="F654">
        <v>3</v>
      </c>
      <c r="G654">
        <v>2335.62</v>
      </c>
      <c r="H654">
        <v>7006.86</v>
      </c>
      <c r="I654">
        <v>0</v>
      </c>
      <c r="J654">
        <v>7006.86</v>
      </c>
      <c r="K654">
        <v>81</v>
      </c>
      <c r="L654" s="11" t="s">
        <v>446</v>
      </c>
      <c r="M654">
        <f t="shared" si="51"/>
        <v>22</v>
      </c>
      <c r="N654">
        <f t="shared" si="52"/>
        <v>9</v>
      </c>
      <c r="O654">
        <f t="shared" si="53"/>
        <v>2024</v>
      </c>
      <c r="P654" s="4">
        <f t="shared" si="54"/>
        <v>45557</v>
      </c>
      <c r="Q654" t="s">
        <v>1134</v>
      </c>
      <c r="R654" t="s">
        <v>1135</v>
      </c>
      <c r="S654">
        <v>2</v>
      </c>
      <c r="T654" t="s">
        <v>1144</v>
      </c>
      <c r="U654" s="11" t="str">
        <f t="shared" si="50"/>
        <v>10:29:59 PM</v>
      </c>
      <c r="AC654" s="4">
        <v>45832</v>
      </c>
      <c r="AD654" s="25">
        <v>8448.57</v>
      </c>
      <c r="BL654" s="2" t="s">
        <v>1804</v>
      </c>
      <c r="BM654" s="4">
        <v>45820</v>
      </c>
      <c r="BN654" s="25">
        <v>9649.58</v>
      </c>
    </row>
    <row r="655" spans="1:66" x14ac:dyDescent="0.35">
      <c r="A655">
        <v>9221</v>
      </c>
      <c r="B655" t="s">
        <v>3</v>
      </c>
      <c r="C655" s="1">
        <v>45854</v>
      </c>
      <c r="D655" t="s">
        <v>27</v>
      </c>
      <c r="E655" t="s">
        <v>38</v>
      </c>
      <c r="F655">
        <v>3</v>
      </c>
      <c r="G655">
        <v>1240.8499999999999</v>
      </c>
      <c r="H655">
        <v>3722.55</v>
      </c>
      <c r="I655">
        <v>558.59</v>
      </c>
      <c r="J655">
        <v>3163.96</v>
      </c>
      <c r="K655">
        <v>152</v>
      </c>
      <c r="L655" s="11" t="s">
        <v>447</v>
      </c>
      <c r="M655">
        <f t="shared" si="51"/>
        <v>16</v>
      </c>
      <c r="N655">
        <f t="shared" si="52"/>
        <v>7</v>
      </c>
      <c r="O655">
        <f t="shared" si="53"/>
        <v>2025</v>
      </c>
      <c r="P655" s="4">
        <f t="shared" si="54"/>
        <v>45854</v>
      </c>
      <c r="Q655" t="s">
        <v>1138</v>
      </c>
      <c r="R655" t="s">
        <v>1137</v>
      </c>
      <c r="S655">
        <v>4</v>
      </c>
      <c r="T655" t="s">
        <v>1145</v>
      </c>
      <c r="U655" s="11" t="str">
        <f t="shared" si="50"/>
        <v>11:33:04 PM</v>
      </c>
      <c r="AC655" s="4">
        <v>45833</v>
      </c>
      <c r="AD655" s="25">
        <v>11785.17</v>
      </c>
      <c r="BL655" s="2" t="s">
        <v>1805</v>
      </c>
      <c r="BM655" s="4">
        <v>45821</v>
      </c>
      <c r="BN655" s="25">
        <v>379.31</v>
      </c>
    </row>
    <row r="656" spans="1:66" x14ac:dyDescent="0.35">
      <c r="A656">
        <v>5465</v>
      </c>
      <c r="B656" t="s">
        <v>20</v>
      </c>
      <c r="C656" s="1">
        <v>45790</v>
      </c>
      <c r="D656" t="s">
        <v>16</v>
      </c>
      <c r="E656" t="s">
        <v>33</v>
      </c>
      <c r="F656">
        <v>1</v>
      </c>
      <c r="G656">
        <v>649.89</v>
      </c>
      <c r="H656">
        <v>649.89</v>
      </c>
      <c r="I656">
        <v>138.61000000000001</v>
      </c>
      <c r="J656">
        <v>511.28</v>
      </c>
      <c r="K656">
        <v>222</v>
      </c>
      <c r="L656" s="11" t="s">
        <v>448</v>
      </c>
      <c r="M656">
        <f t="shared" si="51"/>
        <v>13</v>
      </c>
      <c r="N656">
        <f t="shared" si="52"/>
        <v>5</v>
      </c>
      <c r="O656">
        <f t="shared" si="53"/>
        <v>2025</v>
      </c>
      <c r="P656" s="4">
        <f t="shared" si="54"/>
        <v>45790</v>
      </c>
      <c r="Q656" t="s">
        <v>1139</v>
      </c>
      <c r="R656" t="s">
        <v>1137</v>
      </c>
      <c r="S656">
        <v>4</v>
      </c>
      <c r="T656" t="s">
        <v>1149</v>
      </c>
      <c r="U656" s="11" t="str">
        <f t="shared" si="50"/>
        <v>12:02:07 PM</v>
      </c>
      <c r="AC656" s="4">
        <v>45834</v>
      </c>
      <c r="AD656" s="25">
        <v>3029.5</v>
      </c>
      <c r="BL656" s="2" t="s">
        <v>1806</v>
      </c>
      <c r="BM656" s="4">
        <v>45822</v>
      </c>
      <c r="BN656" s="25">
        <v>13091.59</v>
      </c>
    </row>
    <row r="657" spans="1:66" x14ac:dyDescent="0.35">
      <c r="A657">
        <v>3695</v>
      </c>
      <c r="B657" t="s">
        <v>19</v>
      </c>
      <c r="C657" s="1">
        <v>45344</v>
      </c>
      <c r="D657" t="s">
        <v>17</v>
      </c>
      <c r="E657" t="s">
        <v>38</v>
      </c>
      <c r="F657">
        <v>4</v>
      </c>
      <c r="G657">
        <v>1982.04</v>
      </c>
      <c r="H657">
        <v>7928.16</v>
      </c>
      <c r="I657">
        <v>342.79</v>
      </c>
      <c r="J657">
        <v>7585.37</v>
      </c>
      <c r="K657">
        <v>4</v>
      </c>
      <c r="L657" s="11" t="s">
        <v>449</v>
      </c>
      <c r="M657">
        <f t="shared" si="51"/>
        <v>22</v>
      </c>
      <c r="N657">
        <f t="shared" si="52"/>
        <v>2</v>
      </c>
      <c r="O657">
        <f t="shared" si="53"/>
        <v>2024</v>
      </c>
      <c r="P657" s="4">
        <f t="shared" si="54"/>
        <v>45344</v>
      </c>
      <c r="Q657" t="s">
        <v>1138</v>
      </c>
      <c r="R657" t="s">
        <v>1137</v>
      </c>
      <c r="S657">
        <v>4</v>
      </c>
      <c r="T657" t="s">
        <v>1141</v>
      </c>
      <c r="U657" s="11" t="str">
        <f t="shared" si="50"/>
        <v>05:02:28 AM</v>
      </c>
      <c r="AC657" s="4">
        <v>45835</v>
      </c>
      <c r="AD657" s="25">
        <v>3518.37</v>
      </c>
      <c r="BL657" s="2" t="s">
        <v>1807</v>
      </c>
      <c r="BM657" s="4">
        <v>45823</v>
      </c>
      <c r="BN657" s="25">
        <v>18699.07</v>
      </c>
    </row>
    <row r="658" spans="1:66" x14ac:dyDescent="0.35">
      <c r="A658">
        <v>8894</v>
      </c>
      <c r="B658" t="s">
        <v>15</v>
      </c>
      <c r="C658" s="1">
        <v>45771</v>
      </c>
      <c r="D658" t="s">
        <v>17</v>
      </c>
      <c r="E658" t="s">
        <v>30</v>
      </c>
      <c r="F658">
        <v>3</v>
      </c>
      <c r="G658">
        <v>1937.22</v>
      </c>
      <c r="H658">
        <v>5811.66</v>
      </c>
      <c r="I658">
        <v>581</v>
      </c>
      <c r="J658">
        <v>5230.66</v>
      </c>
      <c r="K658">
        <v>127</v>
      </c>
      <c r="L658" s="11" t="s">
        <v>450</v>
      </c>
      <c r="M658">
        <f t="shared" si="51"/>
        <v>24</v>
      </c>
      <c r="N658">
        <f t="shared" si="52"/>
        <v>4</v>
      </c>
      <c r="O658">
        <f t="shared" si="53"/>
        <v>2025</v>
      </c>
      <c r="P658" s="4">
        <f t="shared" si="54"/>
        <v>45771</v>
      </c>
      <c r="Q658" t="s">
        <v>1134</v>
      </c>
      <c r="R658" t="s">
        <v>1135</v>
      </c>
      <c r="S658">
        <v>2</v>
      </c>
      <c r="T658" t="s">
        <v>1147</v>
      </c>
      <c r="U658" s="11" t="str">
        <f t="shared" si="50"/>
        <v>07:17:57 PM</v>
      </c>
      <c r="AC658" s="4">
        <v>45836</v>
      </c>
      <c r="AD658" s="25">
        <v>959.48</v>
      </c>
      <c r="BL658" s="2" t="s">
        <v>1808</v>
      </c>
      <c r="BM658" s="4">
        <v>45824</v>
      </c>
      <c r="BN658" s="25">
        <v>3056.89</v>
      </c>
    </row>
    <row r="659" spans="1:66" x14ac:dyDescent="0.35">
      <c r="A659">
        <v>5835</v>
      </c>
      <c r="B659" t="s">
        <v>13</v>
      </c>
      <c r="C659" s="1">
        <v>45724</v>
      </c>
      <c r="D659" t="s">
        <v>16</v>
      </c>
      <c r="E659" t="s">
        <v>10</v>
      </c>
      <c r="F659">
        <v>1</v>
      </c>
      <c r="G659">
        <v>225.76</v>
      </c>
      <c r="H659">
        <v>225.76</v>
      </c>
      <c r="I659">
        <v>0</v>
      </c>
      <c r="J659">
        <v>225.76</v>
      </c>
      <c r="K659">
        <v>330</v>
      </c>
      <c r="L659" s="11" t="s">
        <v>451</v>
      </c>
      <c r="M659">
        <f t="shared" si="51"/>
        <v>8</v>
      </c>
      <c r="N659">
        <f t="shared" si="52"/>
        <v>3</v>
      </c>
      <c r="O659">
        <f t="shared" si="53"/>
        <v>2025</v>
      </c>
      <c r="P659" s="4">
        <f t="shared" si="54"/>
        <v>45724</v>
      </c>
      <c r="Q659" t="s">
        <v>1134</v>
      </c>
      <c r="R659" t="s">
        <v>1137</v>
      </c>
      <c r="S659">
        <v>4</v>
      </c>
      <c r="T659" t="s">
        <v>1144</v>
      </c>
      <c r="U659" s="11" t="str">
        <f t="shared" si="50"/>
        <v>06:38:00 AM</v>
      </c>
      <c r="AC659" s="4">
        <v>45838</v>
      </c>
      <c r="AD659" s="25">
        <v>9277.74</v>
      </c>
      <c r="BL659" s="2" t="s">
        <v>1809</v>
      </c>
      <c r="BM659" s="4">
        <v>45825</v>
      </c>
      <c r="BN659" s="25">
        <v>14335.759999999998</v>
      </c>
    </row>
    <row r="660" spans="1:66" x14ac:dyDescent="0.35">
      <c r="A660">
        <v>6549</v>
      </c>
      <c r="B660" t="s">
        <v>3</v>
      </c>
      <c r="C660" s="1">
        <v>45769</v>
      </c>
      <c r="D660" t="s">
        <v>4</v>
      </c>
      <c r="E660" t="s">
        <v>30</v>
      </c>
      <c r="F660">
        <v>4</v>
      </c>
      <c r="G660">
        <v>642.41999999999996</v>
      </c>
      <c r="H660">
        <v>2569.6799999999998</v>
      </c>
      <c r="I660">
        <v>257.3</v>
      </c>
      <c r="J660">
        <v>2312.38</v>
      </c>
      <c r="K660">
        <v>285</v>
      </c>
      <c r="L660" s="11" t="s">
        <v>452</v>
      </c>
      <c r="M660">
        <f t="shared" si="51"/>
        <v>22</v>
      </c>
      <c r="N660">
        <f t="shared" si="52"/>
        <v>4</v>
      </c>
      <c r="O660">
        <f t="shared" si="53"/>
        <v>2025</v>
      </c>
      <c r="P660" s="4">
        <f t="shared" si="54"/>
        <v>45769</v>
      </c>
      <c r="Q660" t="s">
        <v>1136</v>
      </c>
      <c r="R660" t="s">
        <v>1137</v>
      </c>
      <c r="S660">
        <v>3</v>
      </c>
      <c r="T660" t="s">
        <v>1149</v>
      </c>
      <c r="U660" s="11" t="str">
        <f t="shared" si="50"/>
        <v>07:52:30 AM</v>
      </c>
      <c r="AC660" s="4">
        <v>45839</v>
      </c>
      <c r="AD660" s="25">
        <v>9086.0099999999984</v>
      </c>
      <c r="BL660" s="2" t="s">
        <v>1810</v>
      </c>
      <c r="BM660" s="4">
        <v>45826</v>
      </c>
      <c r="BN660" s="25">
        <v>5605.82</v>
      </c>
    </row>
    <row r="661" spans="1:66" x14ac:dyDescent="0.35">
      <c r="A661">
        <v>2886</v>
      </c>
      <c r="B661" t="s">
        <v>31</v>
      </c>
      <c r="C661" s="1">
        <v>45508</v>
      </c>
      <c r="D661" t="s">
        <v>1</v>
      </c>
      <c r="E661" t="s">
        <v>21</v>
      </c>
      <c r="F661">
        <v>3</v>
      </c>
      <c r="G661">
        <v>1826</v>
      </c>
      <c r="H661">
        <v>5478</v>
      </c>
      <c r="I661">
        <v>547.79999999999995</v>
      </c>
      <c r="J661">
        <v>4930.2</v>
      </c>
      <c r="K661">
        <v>128</v>
      </c>
      <c r="L661" s="11" t="s">
        <v>453</v>
      </c>
      <c r="M661">
        <f t="shared" si="51"/>
        <v>4</v>
      </c>
      <c r="N661">
        <f t="shared" si="52"/>
        <v>8</v>
      </c>
      <c r="O661">
        <f t="shared" si="53"/>
        <v>2024</v>
      </c>
      <c r="P661" s="4">
        <f t="shared" si="54"/>
        <v>45508</v>
      </c>
      <c r="Q661" t="s">
        <v>1139</v>
      </c>
      <c r="R661" t="s">
        <v>1137</v>
      </c>
      <c r="S661">
        <v>1</v>
      </c>
      <c r="T661" t="s">
        <v>1143</v>
      </c>
      <c r="U661" s="11" t="str">
        <f t="shared" si="50"/>
        <v>05:03:56 AM</v>
      </c>
      <c r="AC661" s="4">
        <v>45840</v>
      </c>
      <c r="AD661" s="25">
        <v>2383.7600000000002</v>
      </c>
      <c r="BL661" s="2" t="s">
        <v>1811</v>
      </c>
      <c r="BM661" s="4">
        <v>45827</v>
      </c>
      <c r="BN661" s="25">
        <v>9340.82</v>
      </c>
    </row>
    <row r="662" spans="1:66" x14ac:dyDescent="0.35">
      <c r="A662">
        <v>2233</v>
      </c>
      <c r="B662" t="s">
        <v>15</v>
      </c>
      <c r="C662" s="1">
        <v>45254</v>
      </c>
      <c r="D662" t="s">
        <v>27</v>
      </c>
      <c r="E662" t="s">
        <v>26</v>
      </c>
      <c r="F662">
        <v>5</v>
      </c>
      <c r="G662">
        <v>1759.6</v>
      </c>
      <c r="H662">
        <v>8798</v>
      </c>
      <c r="I662">
        <v>198.37</v>
      </c>
      <c r="J662">
        <v>8599.6299999999992</v>
      </c>
      <c r="K662">
        <v>97</v>
      </c>
      <c r="L662" s="11" t="s">
        <v>454</v>
      </c>
      <c r="M662">
        <f t="shared" si="51"/>
        <v>24</v>
      </c>
      <c r="N662">
        <f t="shared" si="52"/>
        <v>11</v>
      </c>
      <c r="O662">
        <f t="shared" si="53"/>
        <v>2023</v>
      </c>
      <c r="P662" s="4">
        <f t="shared" si="54"/>
        <v>45254</v>
      </c>
      <c r="Q662" t="s">
        <v>1136</v>
      </c>
      <c r="R662" t="s">
        <v>1135</v>
      </c>
      <c r="S662">
        <v>3</v>
      </c>
      <c r="T662" t="s">
        <v>1150</v>
      </c>
      <c r="U662" s="11" t="str">
        <f t="shared" si="50"/>
        <v>11:23:40 AM</v>
      </c>
      <c r="AC662" s="4">
        <v>45841</v>
      </c>
      <c r="AD662" s="25">
        <v>3360.67</v>
      </c>
      <c r="BL662" s="2" t="s">
        <v>1812</v>
      </c>
      <c r="BM662" s="4">
        <v>45828</v>
      </c>
      <c r="BN662" s="25">
        <v>3869.46</v>
      </c>
    </row>
    <row r="663" spans="1:66" x14ac:dyDescent="0.35">
      <c r="A663">
        <v>4696</v>
      </c>
      <c r="B663" t="s">
        <v>15</v>
      </c>
      <c r="C663" s="1">
        <v>45813</v>
      </c>
      <c r="D663" t="s">
        <v>24</v>
      </c>
      <c r="E663" t="s">
        <v>7</v>
      </c>
      <c r="F663">
        <v>2</v>
      </c>
      <c r="G663">
        <v>248.17</v>
      </c>
      <c r="H663">
        <v>496.34</v>
      </c>
      <c r="I663">
        <v>74.7</v>
      </c>
      <c r="J663">
        <v>421.64</v>
      </c>
      <c r="K663">
        <v>79</v>
      </c>
      <c r="L663" s="11" t="s">
        <v>455</v>
      </c>
      <c r="M663">
        <f t="shared" si="51"/>
        <v>5</v>
      </c>
      <c r="N663">
        <f t="shared" si="52"/>
        <v>6</v>
      </c>
      <c r="O663">
        <f t="shared" si="53"/>
        <v>2025</v>
      </c>
      <c r="P663" s="4">
        <f t="shared" si="54"/>
        <v>45813</v>
      </c>
      <c r="Q663" t="s">
        <v>1134</v>
      </c>
      <c r="R663" t="s">
        <v>1137</v>
      </c>
      <c r="S663">
        <v>3</v>
      </c>
      <c r="T663" t="s">
        <v>1145</v>
      </c>
      <c r="U663" s="11" t="str">
        <f t="shared" si="50"/>
        <v>01:45:51 PM</v>
      </c>
      <c r="AC663" s="4">
        <v>45842</v>
      </c>
      <c r="AD663" s="25">
        <v>4444.6499999999996</v>
      </c>
      <c r="BL663" s="2" t="s">
        <v>1813</v>
      </c>
      <c r="BM663" s="4">
        <v>45829</v>
      </c>
      <c r="BN663" s="25">
        <v>3845.39</v>
      </c>
    </row>
    <row r="664" spans="1:66" x14ac:dyDescent="0.35">
      <c r="A664">
        <v>7511</v>
      </c>
      <c r="B664" t="s">
        <v>19</v>
      </c>
      <c r="C664" s="1">
        <v>45801</v>
      </c>
      <c r="D664" t="s">
        <v>27</v>
      </c>
      <c r="E664" t="s">
        <v>12</v>
      </c>
      <c r="F664">
        <v>4</v>
      </c>
      <c r="G664">
        <v>83.83</v>
      </c>
      <c r="H664">
        <v>335.32</v>
      </c>
      <c r="I664">
        <v>0</v>
      </c>
      <c r="J664">
        <v>335.32</v>
      </c>
      <c r="K664">
        <v>326</v>
      </c>
      <c r="L664" s="11" t="s">
        <v>456</v>
      </c>
      <c r="M664">
        <f t="shared" si="51"/>
        <v>24</v>
      </c>
      <c r="N664">
        <f t="shared" si="52"/>
        <v>5</v>
      </c>
      <c r="O664">
        <f t="shared" si="53"/>
        <v>2025</v>
      </c>
      <c r="P664" s="4">
        <f t="shared" si="54"/>
        <v>45801</v>
      </c>
      <c r="Q664" t="s">
        <v>1138</v>
      </c>
      <c r="R664" t="s">
        <v>1135</v>
      </c>
      <c r="S664">
        <v>1</v>
      </c>
      <c r="T664" t="s">
        <v>1147</v>
      </c>
      <c r="U664" s="11" t="str">
        <f t="shared" si="50"/>
        <v>02:18:17 PM</v>
      </c>
      <c r="AC664" s="4">
        <v>45843</v>
      </c>
      <c r="AD664" s="25">
        <v>19379.669999999998</v>
      </c>
      <c r="BL664" s="2" t="s">
        <v>1814</v>
      </c>
      <c r="BM664" s="4">
        <v>45830</v>
      </c>
      <c r="BN664" s="25">
        <v>13125.62</v>
      </c>
    </row>
    <row r="665" spans="1:66" x14ac:dyDescent="0.35">
      <c r="A665">
        <v>6992</v>
      </c>
      <c r="B665" t="s">
        <v>8</v>
      </c>
      <c r="C665" s="1">
        <v>45215</v>
      </c>
      <c r="D665" t="s">
        <v>1</v>
      </c>
      <c r="E665" t="s">
        <v>12</v>
      </c>
      <c r="F665">
        <v>5</v>
      </c>
      <c r="G665">
        <v>656.53</v>
      </c>
      <c r="H665">
        <v>3282.65</v>
      </c>
      <c r="I665">
        <v>0</v>
      </c>
      <c r="J665">
        <v>3282.65</v>
      </c>
      <c r="K665">
        <v>369</v>
      </c>
      <c r="L665" s="11" t="s">
        <v>457</v>
      </c>
      <c r="M665">
        <f t="shared" si="51"/>
        <v>16</v>
      </c>
      <c r="N665">
        <f t="shared" si="52"/>
        <v>10</v>
      </c>
      <c r="O665">
        <f t="shared" si="53"/>
        <v>2023</v>
      </c>
      <c r="P665" s="4">
        <f t="shared" si="54"/>
        <v>45215</v>
      </c>
      <c r="Q665" t="s">
        <v>1139</v>
      </c>
      <c r="R665" t="s">
        <v>1135</v>
      </c>
      <c r="S665">
        <v>3</v>
      </c>
      <c r="T665" t="s">
        <v>1147</v>
      </c>
      <c r="U665" s="11" t="str">
        <f t="shared" si="50"/>
        <v>09:05:50 PM</v>
      </c>
      <c r="AC665" s="4">
        <v>45844</v>
      </c>
      <c r="AD665" s="25">
        <v>14110.829999999998</v>
      </c>
      <c r="BL665" s="2" t="s">
        <v>1815</v>
      </c>
      <c r="BM665" s="4">
        <v>45831</v>
      </c>
      <c r="BN665" s="25">
        <v>1792.8</v>
      </c>
    </row>
    <row r="666" spans="1:66" x14ac:dyDescent="0.35">
      <c r="A666">
        <v>7464</v>
      </c>
      <c r="B666" t="s">
        <v>3</v>
      </c>
      <c r="C666" s="1">
        <v>45155</v>
      </c>
      <c r="D666" t="s">
        <v>9</v>
      </c>
      <c r="E666" t="s">
        <v>33</v>
      </c>
      <c r="F666">
        <v>5</v>
      </c>
      <c r="G666">
        <v>1726.4</v>
      </c>
      <c r="H666">
        <v>8632</v>
      </c>
      <c r="I666">
        <v>176.79</v>
      </c>
      <c r="J666">
        <v>8455.2099999999991</v>
      </c>
      <c r="K666">
        <v>392</v>
      </c>
      <c r="L666" s="11" t="s">
        <v>458</v>
      </c>
      <c r="M666">
        <f t="shared" si="51"/>
        <v>17</v>
      </c>
      <c r="N666">
        <f t="shared" si="52"/>
        <v>8</v>
      </c>
      <c r="O666">
        <f t="shared" si="53"/>
        <v>2023</v>
      </c>
      <c r="P666" s="4">
        <f t="shared" si="54"/>
        <v>45155</v>
      </c>
      <c r="Q666" t="s">
        <v>1138</v>
      </c>
      <c r="R666" t="s">
        <v>1135</v>
      </c>
      <c r="S666">
        <v>2</v>
      </c>
      <c r="T666" t="s">
        <v>1141</v>
      </c>
      <c r="U666" s="11" t="str">
        <f t="shared" si="50"/>
        <v>02:56:57 AM</v>
      </c>
      <c r="AC666" s="4">
        <v>45845</v>
      </c>
      <c r="AD666" s="25">
        <v>9195.57</v>
      </c>
      <c r="BL666" s="2" t="s">
        <v>1816</v>
      </c>
      <c r="BM666" s="4">
        <v>45832</v>
      </c>
      <c r="BN666" s="25">
        <v>8448.57</v>
      </c>
    </row>
    <row r="667" spans="1:66" x14ac:dyDescent="0.35">
      <c r="A667">
        <v>5332</v>
      </c>
      <c r="B667" t="s">
        <v>13</v>
      </c>
      <c r="C667" s="1">
        <v>45561</v>
      </c>
      <c r="D667" t="s">
        <v>16</v>
      </c>
      <c r="E667" t="s">
        <v>10</v>
      </c>
      <c r="F667">
        <v>1</v>
      </c>
      <c r="G667">
        <v>313.74</v>
      </c>
      <c r="H667">
        <v>313.74</v>
      </c>
      <c r="I667">
        <v>360.22</v>
      </c>
      <c r="J667">
        <v>-46.48</v>
      </c>
      <c r="K667">
        <v>337</v>
      </c>
      <c r="L667" s="11" t="s">
        <v>459</v>
      </c>
      <c r="M667">
        <f t="shared" si="51"/>
        <v>26</v>
      </c>
      <c r="N667">
        <f t="shared" si="52"/>
        <v>9</v>
      </c>
      <c r="O667">
        <f t="shared" si="53"/>
        <v>2024</v>
      </c>
      <c r="P667" s="4">
        <f t="shared" si="54"/>
        <v>45561</v>
      </c>
      <c r="Q667" t="s">
        <v>1138</v>
      </c>
      <c r="R667" t="s">
        <v>1135</v>
      </c>
      <c r="S667">
        <v>1</v>
      </c>
      <c r="T667" t="s">
        <v>1145</v>
      </c>
      <c r="U667" s="11" t="str">
        <f t="shared" si="50"/>
        <v>07:52:23 PM</v>
      </c>
      <c r="AC667" s="4">
        <v>45846</v>
      </c>
      <c r="AD667" s="25">
        <v>8925.82</v>
      </c>
      <c r="BL667" s="2" t="s">
        <v>1817</v>
      </c>
      <c r="BM667" s="4">
        <v>45833</v>
      </c>
      <c r="BN667" s="25">
        <v>11785.17</v>
      </c>
    </row>
    <row r="668" spans="1:66" x14ac:dyDescent="0.35">
      <c r="A668">
        <v>3024</v>
      </c>
      <c r="B668" t="s">
        <v>8</v>
      </c>
      <c r="C668" s="1">
        <v>45498</v>
      </c>
      <c r="D668" t="s">
        <v>23</v>
      </c>
      <c r="E668" t="s">
        <v>29</v>
      </c>
      <c r="F668">
        <v>2</v>
      </c>
      <c r="G668">
        <v>339.47</v>
      </c>
      <c r="H668">
        <v>678.94</v>
      </c>
      <c r="I668">
        <v>272.24</v>
      </c>
      <c r="J668">
        <v>406.7</v>
      </c>
      <c r="K668">
        <v>98</v>
      </c>
      <c r="L668" s="11" t="s">
        <v>460</v>
      </c>
      <c r="M668">
        <f t="shared" si="51"/>
        <v>25</v>
      </c>
      <c r="N668">
        <f t="shared" si="52"/>
        <v>7</v>
      </c>
      <c r="O668">
        <f t="shared" si="53"/>
        <v>2024</v>
      </c>
      <c r="P668" s="4">
        <f t="shared" si="54"/>
        <v>45498</v>
      </c>
      <c r="Q668" t="s">
        <v>1139</v>
      </c>
      <c r="R668" t="s">
        <v>1137</v>
      </c>
      <c r="S668">
        <v>3</v>
      </c>
      <c r="T668" t="s">
        <v>1143</v>
      </c>
      <c r="U668" s="11" t="str">
        <f t="shared" si="50"/>
        <v>07:12:09 PM</v>
      </c>
      <c r="AC668" s="4">
        <v>45847</v>
      </c>
      <c r="AD668" s="25">
        <v>5249.75</v>
      </c>
      <c r="BL668" s="2" t="s">
        <v>1818</v>
      </c>
      <c r="BM668" s="4">
        <v>45834</v>
      </c>
      <c r="BN668" s="25">
        <v>3029.5</v>
      </c>
    </row>
    <row r="669" spans="1:66" x14ac:dyDescent="0.35">
      <c r="A669">
        <v>7038</v>
      </c>
      <c r="B669" t="s">
        <v>13</v>
      </c>
      <c r="C669" s="1">
        <v>45667</v>
      </c>
      <c r="D669" t="s">
        <v>16</v>
      </c>
      <c r="E669" t="s">
        <v>37</v>
      </c>
      <c r="F669">
        <v>5</v>
      </c>
      <c r="G669">
        <v>1584.47</v>
      </c>
      <c r="H669">
        <v>7922.35</v>
      </c>
      <c r="I669">
        <v>205.01</v>
      </c>
      <c r="J669">
        <v>7717.34</v>
      </c>
      <c r="K669">
        <v>302</v>
      </c>
      <c r="L669" s="11" t="s">
        <v>461</v>
      </c>
      <c r="M669">
        <f t="shared" si="51"/>
        <v>10</v>
      </c>
      <c r="N669">
        <f t="shared" si="52"/>
        <v>1</v>
      </c>
      <c r="O669">
        <f t="shared" si="53"/>
        <v>2025</v>
      </c>
      <c r="P669" s="4">
        <f t="shared" si="54"/>
        <v>45667</v>
      </c>
      <c r="Q669" t="s">
        <v>1136</v>
      </c>
      <c r="R669" t="s">
        <v>1135</v>
      </c>
      <c r="S669">
        <v>5</v>
      </c>
      <c r="T669" t="s">
        <v>1141</v>
      </c>
      <c r="U669" s="11" t="str">
        <f t="shared" si="50"/>
        <v>10:59:42 AM</v>
      </c>
      <c r="AC669" s="4">
        <v>45848</v>
      </c>
      <c r="AD669" s="25">
        <v>16621.580000000002</v>
      </c>
      <c r="BL669" s="2" t="s">
        <v>1819</v>
      </c>
      <c r="BM669" s="4">
        <v>45835</v>
      </c>
      <c r="BN669" s="25">
        <v>3518.37</v>
      </c>
    </row>
    <row r="670" spans="1:66" x14ac:dyDescent="0.35">
      <c r="A670">
        <v>5295</v>
      </c>
      <c r="B670" t="s">
        <v>0</v>
      </c>
      <c r="C670" s="1">
        <v>45599</v>
      </c>
      <c r="D670" t="s">
        <v>1</v>
      </c>
      <c r="E670" t="s">
        <v>33</v>
      </c>
      <c r="F670">
        <v>4</v>
      </c>
      <c r="G670">
        <v>2316.5300000000002</v>
      </c>
      <c r="H670">
        <v>9266.1200000000008</v>
      </c>
      <c r="I670">
        <v>926.28</v>
      </c>
      <c r="J670">
        <v>8339.84</v>
      </c>
      <c r="K670">
        <v>426</v>
      </c>
      <c r="L670" s="11" t="s">
        <v>462</v>
      </c>
      <c r="M670">
        <f t="shared" si="51"/>
        <v>3</v>
      </c>
      <c r="N670">
        <f t="shared" si="52"/>
        <v>11</v>
      </c>
      <c r="O670">
        <f t="shared" si="53"/>
        <v>2024</v>
      </c>
      <c r="P670" s="4">
        <f t="shared" si="54"/>
        <v>45599</v>
      </c>
      <c r="Q670" t="s">
        <v>1138</v>
      </c>
      <c r="R670" t="s">
        <v>1135</v>
      </c>
      <c r="S670">
        <v>3</v>
      </c>
      <c r="T670" t="s">
        <v>1147</v>
      </c>
      <c r="U670" s="11" t="str">
        <f t="shared" si="50"/>
        <v>08:12:13 PM</v>
      </c>
      <c r="AC670" s="4">
        <v>45850</v>
      </c>
      <c r="AD670" s="25">
        <v>6122.08</v>
      </c>
      <c r="BL670" s="2" t="s">
        <v>1820</v>
      </c>
      <c r="BM670" s="4">
        <v>45836</v>
      </c>
      <c r="BN670" s="25">
        <v>959.48</v>
      </c>
    </row>
    <row r="671" spans="1:66" x14ac:dyDescent="0.35">
      <c r="A671">
        <v>7242</v>
      </c>
      <c r="B671" t="s">
        <v>20</v>
      </c>
      <c r="C671" s="1">
        <v>45783</v>
      </c>
      <c r="D671" t="s">
        <v>11</v>
      </c>
      <c r="E671" t="s">
        <v>7</v>
      </c>
      <c r="F671">
        <v>4</v>
      </c>
      <c r="G671">
        <v>2060.89</v>
      </c>
      <c r="H671">
        <v>8243.56</v>
      </c>
      <c r="I671">
        <v>170.98</v>
      </c>
      <c r="J671">
        <v>8072.58</v>
      </c>
      <c r="K671">
        <v>406</v>
      </c>
      <c r="L671" s="11" t="s">
        <v>463</v>
      </c>
      <c r="M671">
        <f t="shared" si="51"/>
        <v>6</v>
      </c>
      <c r="N671">
        <f t="shared" si="52"/>
        <v>5</v>
      </c>
      <c r="O671">
        <f t="shared" si="53"/>
        <v>2025</v>
      </c>
      <c r="P671" s="4">
        <f t="shared" si="54"/>
        <v>45783</v>
      </c>
      <c r="Q671" t="s">
        <v>1134</v>
      </c>
      <c r="R671" t="s">
        <v>1137</v>
      </c>
      <c r="S671">
        <v>2</v>
      </c>
      <c r="T671" t="s">
        <v>1142</v>
      </c>
      <c r="U671" s="11" t="str">
        <f t="shared" si="50"/>
        <v>09:40:29 AM</v>
      </c>
      <c r="AC671" s="4">
        <v>45851</v>
      </c>
      <c r="AD671" s="25">
        <v>1702.33</v>
      </c>
      <c r="BL671" s="2" t="s">
        <v>1821</v>
      </c>
      <c r="BM671" s="4">
        <v>45838</v>
      </c>
      <c r="BN671" s="25">
        <v>9277.74</v>
      </c>
    </row>
    <row r="672" spans="1:66" x14ac:dyDescent="0.35">
      <c r="A672">
        <v>7086</v>
      </c>
      <c r="B672" t="s">
        <v>20</v>
      </c>
      <c r="C672" s="1">
        <v>45229</v>
      </c>
      <c r="D672" t="s">
        <v>4</v>
      </c>
      <c r="E672" t="s">
        <v>26</v>
      </c>
      <c r="F672">
        <v>1</v>
      </c>
      <c r="G672">
        <v>2355.54</v>
      </c>
      <c r="H672">
        <v>2355.54</v>
      </c>
      <c r="I672">
        <v>323.7</v>
      </c>
      <c r="J672">
        <v>2031.84</v>
      </c>
      <c r="K672">
        <v>491</v>
      </c>
      <c r="L672" s="11" t="s">
        <v>464</v>
      </c>
      <c r="M672">
        <f t="shared" si="51"/>
        <v>30</v>
      </c>
      <c r="N672">
        <f t="shared" si="52"/>
        <v>10</v>
      </c>
      <c r="O672">
        <f t="shared" si="53"/>
        <v>2023</v>
      </c>
      <c r="P672" s="4">
        <f t="shared" si="54"/>
        <v>45229</v>
      </c>
      <c r="Q672" t="s">
        <v>1138</v>
      </c>
      <c r="R672" t="s">
        <v>1137</v>
      </c>
      <c r="S672">
        <v>4</v>
      </c>
      <c r="T672" t="s">
        <v>1143</v>
      </c>
      <c r="U672" s="11" t="str">
        <f t="shared" si="50"/>
        <v>01:45:41 AM</v>
      </c>
      <c r="AC672" s="4">
        <v>45852</v>
      </c>
      <c r="AD672" s="25">
        <v>12324.67</v>
      </c>
      <c r="BL672" s="2" t="s">
        <v>1822</v>
      </c>
      <c r="BM672" s="4">
        <v>45839</v>
      </c>
      <c r="BN672" s="25">
        <v>9086.0099999999984</v>
      </c>
    </row>
    <row r="673" spans="1:66" x14ac:dyDescent="0.35">
      <c r="A673">
        <v>4830</v>
      </c>
      <c r="B673" t="s">
        <v>3</v>
      </c>
      <c r="C673" s="1">
        <v>45511</v>
      </c>
      <c r="D673" t="s">
        <v>9</v>
      </c>
      <c r="E673" t="s">
        <v>33</v>
      </c>
      <c r="F673">
        <v>2</v>
      </c>
      <c r="G673">
        <v>1348.75</v>
      </c>
      <c r="H673">
        <v>2697.5</v>
      </c>
      <c r="I673">
        <v>332</v>
      </c>
      <c r="J673">
        <v>2365.5</v>
      </c>
      <c r="K673">
        <v>127</v>
      </c>
      <c r="L673" s="11" t="s">
        <v>465</v>
      </c>
      <c r="M673">
        <f t="shared" si="51"/>
        <v>7</v>
      </c>
      <c r="N673">
        <f t="shared" si="52"/>
        <v>8</v>
      </c>
      <c r="O673">
        <f t="shared" si="53"/>
        <v>2024</v>
      </c>
      <c r="P673" s="4">
        <f t="shared" si="54"/>
        <v>45511</v>
      </c>
      <c r="Q673" t="s">
        <v>1139</v>
      </c>
      <c r="R673" t="s">
        <v>1135</v>
      </c>
      <c r="S673">
        <v>3</v>
      </c>
      <c r="T673" t="s">
        <v>1147</v>
      </c>
      <c r="U673" s="11" t="str">
        <f t="shared" si="50"/>
        <v>10:30:29 PM</v>
      </c>
      <c r="AC673" s="4">
        <v>45853</v>
      </c>
      <c r="AD673" s="25">
        <v>2340.6</v>
      </c>
      <c r="BL673" s="2" t="s">
        <v>1823</v>
      </c>
      <c r="BM673" s="4">
        <v>45840</v>
      </c>
      <c r="BN673" s="25">
        <v>2383.7600000000002</v>
      </c>
    </row>
    <row r="674" spans="1:66" x14ac:dyDescent="0.35">
      <c r="A674">
        <v>1410</v>
      </c>
      <c r="B674" t="s">
        <v>13</v>
      </c>
      <c r="C674" s="1">
        <v>45626</v>
      </c>
      <c r="D674" t="s">
        <v>4</v>
      </c>
      <c r="E674" t="s">
        <v>12</v>
      </c>
      <c r="F674">
        <v>4</v>
      </c>
      <c r="G674">
        <v>1772.88</v>
      </c>
      <c r="H674">
        <v>7091.52</v>
      </c>
      <c r="I674">
        <v>1418.47</v>
      </c>
      <c r="J674">
        <v>5673.05</v>
      </c>
      <c r="K674">
        <v>218</v>
      </c>
      <c r="L674" s="11" t="s">
        <v>466</v>
      </c>
      <c r="M674">
        <f t="shared" si="51"/>
        <v>30</v>
      </c>
      <c r="N674">
        <f t="shared" si="52"/>
        <v>11</v>
      </c>
      <c r="O674">
        <f t="shared" si="53"/>
        <v>2024</v>
      </c>
      <c r="P674" s="4">
        <f t="shared" si="54"/>
        <v>45626</v>
      </c>
      <c r="Q674" t="s">
        <v>1139</v>
      </c>
      <c r="R674" t="s">
        <v>1137</v>
      </c>
      <c r="S674">
        <v>4</v>
      </c>
      <c r="T674" t="s">
        <v>1148</v>
      </c>
      <c r="U674" s="11" t="str">
        <f t="shared" si="50"/>
        <v>12:39:38 PM</v>
      </c>
      <c r="AC674" s="4">
        <v>45854</v>
      </c>
      <c r="AD674" s="25">
        <v>8965.66</v>
      </c>
      <c r="BL674" s="2" t="s">
        <v>1824</v>
      </c>
      <c r="BM674" s="4">
        <v>45841</v>
      </c>
      <c r="BN674" s="25">
        <v>3360.67</v>
      </c>
    </row>
    <row r="675" spans="1:66" x14ac:dyDescent="0.35">
      <c r="A675">
        <v>6374</v>
      </c>
      <c r="B675" t="s">
        <v>8</v>
      </c>
      <c r="C675" s="1">
        <v>45855</v>
      </c>
      <c r="D675" t="s">
        <v>27</v>
      </c>
      <c r="E675" t="s">
        <v>21</v>
      </c>
      <c r="F675">
        <v>5</v>
      </c>
      <c r="G675">
        <v>894.74</v>
      </c>
      <c r="H675">
        <v>4473.7</v>
      </c>
      <c r="I675">
        <v>670.64</v>
      </c>
      <c r="J675">
        <v>3803.06</v>
      </c>
      <c r="K675">
        <v>80</v>
      </c>
      <c r="L675" s="11" t="s">
        <v>467</v>
      </c>
      <c r="M675">
        <f t="shared" si="51"/>
        <v>17</v>
      </c>
      <c r="N675">
        <f t="shared" si="52"/>
        <v>7</v>
      </c>
      <c r="O675">
        <f t="shared" si="53"/>
        <v>2025</v>
      </c>
      <c r="P675" s="4">
        <f t="shared" si="54"/>
        <v>45855</v>
      </c>
      <c r="Q675" t="s">
        <v>1139</v>
      </c>
      <c r="R675" t="s">
        <v>1135</v>
      </c>
      <c r="S675">
        <v>5</v>
      </c>
      <c r="T675" t="s">
        <v>1148</v>
      </c>
      <c r="U675" s="11" t="str">
        <f t="shared" si="50"/>
        <v>05:31:40 AM</v>
      </c>
      <c r="AC675" s="4">
        <v>45855</v>
      </c>
      <c r="AD675" s="25">
        <v>14974.029999999999</v>
      </c>
      <c r="BL675" s="2" t="s">
        <v>1825</v>
      </c>
      <c r="BM675" s="4">
        <v>45842</v>
      </c>
      <c r="BN675" s="25">
        <v>4444.6499999999996</v>
      </c>
    </row>
    <row r="676" spans="1:66" x14ac:dyDescent="0.35">
      <c r="A676">
        <v>4626</v>
      </c>
      <c r="B676" t="s">
        <v>25</v>
      </c>
      <c r="C676" s="1">
        <v>45648</v>
      </c>
      <c r="D676" t="s">
        <v>27</v>
      </c>
      <c r="E676" t="s">
        <v>10</v>
      </c>
      <c r="F676">
        <v>3</v>
      </c>
      <c r="G676">
        <v>1074.8499999999999</v>
      </c>
      <c r="H676">
        <v>3224.55</v>
      </c>
      <c r="I676">
        <v>0</v>
      </c>
      <c r="J676">
        <v>3224.55</v>
      </c>
      <c r="K676">
        <v>324</v>
      </c>
      <c r="L676" s="11" t="s">
        <v>468</v>
      </c>
      <c r="M676">
        <f t="shared" si="51"/>
        <v>22</v>
      </c>
      <c r="N676">
        <f t="shared" si="52"/>
        <v>12</v>
      </c>
      <c r="O676">
        <f t="shared" si="53"/>
        <v>2024</v>
      </c>
      <c r="P676" s="4">
        <f t="shared" si="54"/>
        <v>45648</v>
      </c>
      <c r="Q676" t="s">
        <v>1136</v>
      </c>
      <c r="R676" t="s">
        <v>1135</v>
      </c>
      <c r="S676">
        <v>3</v>
      </c>
      <c r="T676" t="s">
        <v>1144</v>
      </c>
      <c r="U676" s="11" t="str">
        <f t="shared" si="50"/>
        <v>10:08:44 AM</v>
      </c>
      <c r="AC676" s="4">
        <v>45856</v>
      </c>
      <c r="AD676" s="25">
        <v>2504.11</v>
      </c>
      <c r="BL676" s="2" t="s">
        <v>1826</v>
      </c>
      <c r="BM676" s="4">
        <v>45843</v>
      </c>
      <c r="BN676" s="25">
        <v>19379.669999999998</v>
      </c>
    </row>
    <row r="677" spans="1:66" x14ac:dyDescent="0.35">
      <c r="A677">
        <v>2035</v>
      </c>
      <c r="B677" t="s">
        <v>25</v>
      </c>
      <c r="C677" s="1">
        <v>45638</v>
      </c>
      <c r="D677" t="s">
        <v>17</v>
      </c>
      <c r="E677" t="s">
        <v>14</v>
      </c>
      <c r="F677">
        <v>5</v>
      </c>
      <c r="G677">
        <v>1395.23</v>
      </c>
      <c r="H677">
        <v>6976.15</v>
      </c>
      <c r="I677">
        <v>1046.6300000000001</v>
      </c>
      <c r="J677">
        <v>5929.52</v>
      </c>
      <c r="K677">
        <v>192</v>
      </c>
      <c r="L677" s="11" t="s">
        <v>469</v>
      </c>
      <c r="M677">
        <f t="shared" si="51"/>
        <v>12</v>
      </c>
      <c r="N677">
        <f t="shared" si="52"/>
        <v>12</v>
      </c>
      <c r="O677">
        <f t="shared" si="53"/>
        <v>2024</v>
      </c>
      <c r="P677" s="4">
        <f t="shared" si="54"/>
        <v>45638</v>
      </c>
      <c r="Q677" t="s">
        <v>1138</v>
      </c>
      <c r="R677" t="s">
        <v>1135</v>
      </c>
      <c r="S677">
        <v>1</v>
      </c>
      <c r="T677" t="s">
        <v>1141</v>
      </c>
      <c r="U677" s="11" t="str">
        <f t="shared" si="50"/>
        <v>12:22:51 AM</v>
      </c>
      <c r="AC677" s="4">
        <v>45857</v>
      </c>
      <c r="AD677" s="25">
        <v>18742.23</v>
      </c>
      <c r="BL677" s="2" t="s">
        <v>1827</v>
      </c>
      <c r="BM677" s="4">
        <v>45844</v>
      </c>
      <c r="BN677" s="25">
        <v>14110.829999999998</v>
      </c>
    </row>
    <row r="678" spans="1:66" x14ac:dyDescent="0.35">
      <c r="A678">
        <v>8606</v>
      </c>
      <c r="B678" t="s">
        <v>15</v>
      </c>
      <c r="C678" s="1">
        <v>45851</v>
      </c>
      <c r="D678" t="s">
        <v>34</v>
      </c>
      <c r="E678" t="s">
        <v>21</v>
      </c>
      <c r="F678">
        <v>1</v>
      </c>
      <c r="G678">
        <v>1830.15</v>
      </c>
      <c r="H678">
        <v>1830.15</v>
      </c>
      <c r="I678">
        <v>127.82</v>
      </c>
      <c r="J678">
        <v>1702.33</v>
      </c>
      <c r="K678">
        <v>145</v>
      </c>
      <c r="L678" s="11" t="s">
        <v>470</v>
      </c>
      <c r="M678">
        <f t="shared" si="51"/>
        <v>13</v>
      </c>
      <c r="N678">
        <f t="shared" si="52"/>
        <v>7</v>
      </c>
      <c r="O678">
        <f t="shared" si="53"/>
        <v>2025</v>
      </c>
      <c r="P678" s="4">
        <f t="shared" si="54"/>
        <v>45851</v>
      </c>
      <c r="Q678" t="s">
        <v>1136</v>
      </c>
      <c r="R678" t="s">
        <v>1135</v>
      </c>
      <c r="S678">
        <v>4</v>
      </c>
      <c r="T678" t="s">
        <v>1147</v>
      </c>
      <c r="U678" s="11" t="str">
        <f t="shared" si="50"/>
        <v>01:43:07 PM</v>
      </c>
      <c r="AC678" s="4">
        <v>45858</v>
      </c>
      <c r="AD678" s="25">
        <v>14934.19</v>
      </c>
      <c r="BL678" s="2" t="s">
        <v>1828</v>
      </c>
      <c r="BM678" s="4">
        <v>45845</v>
      </c>
      <c r="BN678" s="25">
        <v>9195.57</v>
      </c>
    </row>
    <row r="679" spans="1:66" x14ac:dyDescent="0.35">
      <c r="A679">
        <v>5951</v>
      </c>
      <c r="B679" t="s">
        <v>19</v>
      </c>
      <c r="C679" s="1">
        <v>45649</v>
      </c>
      <c r="D679" t="s">
        <v>1</v>
      </c>
      <c r="E679" t="s">
        <v>26</v>
      </c>
      <c r="F679">
        <v>2</v>
      </c>
      <c r="G679">
        <v>599.26</v>
      </c>
      <c r="H679">
        <v>1198.52</v>
      </c>
      <c r="I679">
        <v>0</v>
      </c>
      <c r="J679">
        <v>1198.52</v>
      </c>
      <c r="K679">
        <v>161</v>
      </c>
      <c r="L679" s="11" t="s">
        <v>471</v>
      </c>
      <c r="M679">
        <f t="shared" si="51"/>
        <v>23</v>
      </c>
      <c r="N679">
        <f t="shared" si="52"/>
        <v>12</v>
      </c>
      <c r="O679">
        <f t="shared" si="53"/>
        <v>2024</v>
      </c>
      <c r="P679" s="4">
        <f t="shared" si="54"/>
        <v>45649</v>
      </c>
      <c r="Q679" t="s">
        <v>1136</v>
      </c>
      <c r="R679" t="s">
        <v>1137</v>
      </c>
      <c r="S679">
        <v>5</v>
      </c>
      <c r="T679" t="s">
        <v>1144</v>
      </c>
      <c r="U679" s="11" t="str">
        <f t="shared" si="50"/>
        <v>04:59:30 AM</v>
      </c>
      <c r="AC679" s="4">
        <v>45859</v>
      </c>
      <c r="AD679" s="25">
        <v>3974.04</v>
      </c>
      <c r="BL679" s="2" t="s">
        <v>1829</v>
      </c>
      <c r="BM679" s="4">
        <v>45846</v>
      </c>
      <c r="BN679" s="25">
        <v>8925.82</v>
      </c>
    </row>
    <row r="680" spans="1:66" x14ac:dyDescent="0.35">
      <c r="A680">
        <v>7689</v>
      </c>
      <c r="B680" t="s">
        <v>19</v>
      </c>
      <c r="C680" s="1">
        <v>45235</v>
      </c>
      <c r="D680" t="s">
        <v>27</v>
      </c>
      <c r="E680" t="s">
        <v>36</v>
      </c>
      <c r="F680">
        <v>5</v>
      </c>
      <c r="G680">
        <v>1455.82</v>
      </c>
      <c r="H680">
        <v>7279.1</v>
      </c>
      <c r="I680">
        <v>95.45</v>
      </c>
      <c r="J680">
        <v>7183.65</v>
      </c>
      <c r="K680">
        <v>292</v>
      </c>
      <c r="L680" s="11" t="s">
        <v>472</v>
      </c>
      <c r="M680">
        <f t="shared" si="51"/>
        <v>5</v>
      </c>
      <c r="N680">
        <f t="shared" si="52"/>
        <v>11</v>
      </c>
      <c r="O680">
        <f t="shared" si="53"/>
        <v>2023</v>
      </c>
      <c r="P680" s="4">
        <f t="shared" si="54"/>
        <v>45235</v>
      </c>
      <c r="Q680" t="s">
        <v>1139</v>
      </c>
      <c r="R680" t="s">
        <v>1135</v>
      </c>
      <c r="S680">
        <v>1</v>
      </c>
      <c r="T680" t="s">
        <v>1141</v>
      </c>
      <c r="U680" s="11" t="str">
        <f t="shared" si="50"/>
        <v>12:53:33 PM</v>
      </c>
      <c r="AC680" s="4">
        <v>45860</v>
      </c>
      <c r="AD680" s="25">
        <v>3566.51</v>
      </c>
      <c r="BL680" s="2" t="s">
        <v>1830</v>
      </c>
      <c r="BM680" s="4">
        <v>45847</v>
      </c>
      <c r="BN680" s="25">
        <v>5249.75</v>
      </c>
    </row>
    <row r="681" spans="1:66" x14ac:dyDescent="0.35">
      <c r="A681">
        <v>3290</v>
      </c>
      <c r="B681" t="s">
        <v>25</v>
      </c>
      <c r="C681" s="1">
        <v>45180</v>
      </c>
      <c r="D681" t="s">
        <v>23</v>
      </c>
      <c r="E681" t="s">
        <v>30</v>
      </c>
      <c r="F681">
        <v>3</v>
      </c>
      <c r="G681">
        <v>966.12</v>
      </c>
      <c r="H681">
        <v>2898.36</v>
      </c>
      <c r="I681">
        <v>579.34</v>
      </c>
      <c r="J681">
        <v>2319.02</v>
      </c>
      <c r="K681">
        <v>298</v>
      </c>
      <c r="L681" s="11" t="s">
        <v>473</v>
      </c>
      <c r="M681">
        <f t="shared" si="51"/>
        <v>11</v>
      </c>
      <c r="N681">
        <f t="shared" si="52"/>
        <v>9</v>
      </c>
      <c r="O681">
        <f t="shared" si="53"/>
        <v>2023</v>
      </c>
      <c r="P681" s="4">
        <f t="shared" si="54"/>
        <v>45180</v>
      </c>
      <c r="Q681" t="s">
        <v>1139</v>
      </c>
      <c r="R681" t="s">
        <v>1137</v>
      </c>
      <c r="S681">
        <v>1</v>
      </c>
      <c r="T681" t="s">
        <v>1143</v>
      </c>
      <c r="U681" s="11" t="str">
        <f t="shared" si="50"/>
        <v>07:42:04 PM</v>
      </c>
      <c r="AC681" s="4">
        <v>45861</v>
      </c>
      <c r="AD681" s="25">
        <v>7814.4500000000007</v>
      </c>
      <c r="BL681" s="2" t="s">
        <v>1831</v>
      </c>
      <c r="BM681" s="4">
        <v>45848</v>
      </c>
      <c r="BN681" s="25">
        <v>16621.580000000002</v>
      </c>
    </row>
    <row r="682" spans="1:66" x14ac:dyDescent="0.35">
      <c r="A682">
        <v>1609</v>
      </c>
      <c r="B682" t="s">
        <v>19</v>
      </c>
      <c r="C682" s="1">
        <v>45381</v>
      </c>
      <c r="D682" t="s">
        <v>24</v>
      </c>
      <c r="E682" t="s">
        <v>32</v>
      </c>
      <c r="F682">
        <v>5</v>
      </c>
      <c r="G682">
        <v>1044.1400000000001</v>
      </c>
      <c r="H682">
        <v>5220.7</v>
      </c>
      <c r="I682">
        <v>0</v>
      </c>
      <c r="J682">
        <v>5220.7</v>
      </c>
      <c r="K682">
        <v>469</v>
      </c>
      <c r="L682" s="11" t="s">
        <v>474</v>
      </c>
      <c r="M682">
        <f t="shared" si="51"/>
        <v>30</v>
      </c>
      <c r="N682">
        <f t="shared" si="52"/>
        <v>3</v>
      </c>
      <c r="O682">
        <f t="shared" si="53"/>
        <v>2024</v>
      </c>
      <c r="P682" s="4">
        <f t="shared" si="54"/>
        <v>45381</v>
      </c>
      <c r="Q682" t="s">
        <v>1136</v>
      </c>
      <c r="R682" t="s">
        <v>1137</v>
      </c>
      <c r="S682">
        <v>1</v>
      </c>
      <c r="T682" t="s">
        <v>1147</v>
      </c>
      <c r="U682" s="11" t="str">
        <f t="shared" ref="U682:U745" si="55">TEXT(L682,"hh:mm:ss AM/PM")</f>
        <v>05:22:41 PM</v>
      </c>
      <c r="AC682" s="4">
        <v>45862</v>
      </c>
      <c r="AD682" s="25">
        <v>3247.7900000000004</v>
      </c>
      <c r="BL682" s="2" t="s">
        <v>1832</v>
      </c>
      <c r="BM682" s="4">
        <v>45850</v>
      </c>
      <c r="BN682" s="25">
        <v>6122.08</v>
      </c>
    </row>
    <row r="683" spans="1:66" x14ac:dyDescent="0.35">
      <c r="A683">
        <v>9071</v>
      </c>
      <c r="B683" t="s">
        <v>0</v>
      </c>
      <c r="C683" s="1">
        <v>45235</v>
      </c>
      <c r="D683" t="s">
        <v>11</v>
      </c>
      <c r="E683" t="s">
        <v>37</v>
      </c>
      <c r="F683">
        <v>2</v>
      </c>
      <c r="G683">
        <v>1257.45</v>
      </c>
      <c r="H683">
        <v>2514.9</v>
      </c>
      <c r="I683">
        <v>296.31</v>
      </c>
      <c r="J683">
        <v>2218.59</v>
      </c>
      <c r="K683">
        <v>460</v>
      </c>
      <c r="L683" s="11" t="s">
        <v>475</v>
      </c>
      <c r="M683">
        <f t="shared" si="51"/>
        <v>5</v>
      </c>
      <c r="N683">
        <f t="shared" si="52"/>
        <v>11</v>
      </c>
      <c r="O683">
        <f t="shared" si="53"/>
        <v>2023</v>
      </c>
      <c r="P683" s="4">
        <f t="shared" si="54"/>
        <v>45235</v>
      </c>
      <c r="Q683" t="s">
        <v>1138</v>
      </c>
      <c r="R683" t="s">
        <v>1137</v>
      </c>
      <c r="S683">
        <v>1</v>
      </c>
      <c r="T683" t="s">
        <v>1141</v>
      </c>
      <c r="U683" s="11" t="str">
        <f t="shared" si="55"/>
        <v>03:32:30 AM</v>
      </c>
      <c r="AC683" s="4">
        <v>45863</v>
      </c>
      <c r="AD683" s="25">
        <v>5699.6100000000006</v>
      </c>
      <c r="BL683" s="2" t="s">
        <v>1833</v>
      </c>
      <c r="BM683" s="4">
        <v>45851</v>
      </c>
      <c r="BN683" s="25">
        <v>1702.33</v>
      </c>
    </row>
    <row r="684" spans="1:66" x14ac:dyDescent="0.35">
      <c r="A684">
        <v>2592</v>
      </c>
      <c r="B684" t="s">
        <v>20</v>
      </c>
      <c r="C684" s="1">
        <v>45327</v>
      </c>
      <c r="D684" t="s">
        <v>17</v>
      </c>
      <c r="E684" t="s">
        <v>21</v>
      </c>
      <c r="F684">
        <v>1</v>
      </c>
      <c r="G684">
        <v>1959.63</v>
      </c>
      <c r="H684">
        <v>1959.63</v>
      </c>
      <c r="I684">
        <v>293.82</v>
      </c>
      <c r="J684">
        <v>1665.81</v>
      </c>
      <c r="K684">
        <v>471</v>
      </c>
      <c r="L684" s="11" t="s">
        <v>476</v>
      </c>
      <c r="M684">
        <f t="shared" si="51"/>
        <v>5</v>
      </c>
      <c r="N684">
        <f t="shared" si="52"/>
        <v>2</v>
      </c>
      <c r="O684">
        <f t="shared" si="53"/>
        <v>2024</v>
      </c>
      <c r="P684" s="4">
        <f t="shared" si="54"/>
        <v>45327</v>
      </c>
      <c r="Q684" t="s">
        <v>1134</v>
      </c>
      <c r="R684" t="s">
        <v>1137</v>
      </c>
      <c r="S684">
        <v>3</v>
      </c>
      <c r="T684" t="s">
        <v>1147</v>
      </c>
      <c r="U684" s="11" t="str">
        <f t="shared" si="55"/>
        <v>06:33:44 AM</v>
      </c>
      <c r="AC684" s="4">
        <v>45864</v>
      </c>
      <c r="AD684" s="25">
        <v>8854.44</v>
      </c>
      <c r="BL684" s="2" t="s">
        <v>1834</v>
      </c>
      <c r="BM684" s="4">
        <v>45852</v>
      </c>
      <c r="BN684" s="25">
        <v>12324.67</v>
      </c>
    </row>
    <row r="685" spans="1:66" x14ac:dyDescent="0.35">
      <c r="A685">
        <v>9807</v>
      </c>
      <c r="B685" t="s">
        <v>13</v>
      </c>
      <c r="C685" s="1">
        <v>45250</v>
      </c>
      <c r="D685" t="s">
        <v>9</v>
      </c>
      <c r="E685" t="s">
        <v>38</v>
      </c>
      <c r="F685">
        <v>2</v>
      </c>
      <c r="G685">
        <v>1881.61</v>
      </c>
      <c r="H685">
        <v>3763.22</v>
      </c>
      <c r="I685">
        <v>0</v>
      </c>
      <c r="J685">
        <v>3763.22</v>
      </c>
      <c r="K685">
        <v>434</v>
      </c>
      <c r="L685" s="11" t="s">
        <v>477</v>
      </c>
      <c r="M685">
        <f t="shared" si="51"/>
        <v>20</v>
      </c>
      <c r="N685">
        <f t="shared" si="52"/>
        <v>11</v>
      </c>
      <c r="O685">
        <f t="shared" si="53"/>
        <v>2023</v>
      </c>
      <c r="P685" s="4">
        <f t="shared" si="54"/>
        <v>45250</v>
      </c>
      <c r="Q685" t="s">
        <v>1136</v>
      </c>
      <c r="R685" t="s">
        <v>1135</v>
      </c>
      <c r="S685">
        <v>3</v>
      </c>
      <c r="T685" t="s">
        <v>1142</v>
      </c>
      <c r="U685" s="11" t="str">
        <f t="shared" si="55"/>
        <v>02:58:17 PM</v>
      </c>
      <c r="AC685" s="4">
        <v>45865</v>
      </c>
      <c r="AD685" s="25">
        <v>1630.95</v>
      </c>
      <c r="BL685" s="2" t="s">
        <v>1835</v>
      </c>
      <c r="BM685" s="4">
        <v>45853</v>
      </c>
      <c r="BN685" s="25">
        <v>2340.6</v>
      </c>
    </row>
    <row r="686" spans="1:66" x14ac:dyDescent="0.35">
      <c r="A686">
        <v>7367</v>
      </c>
      <c r="B686" t="s">
        <v>13</v>
      </c>
      <c r="C686" s="1">
        <v>45497</v>
      </c>
      <c r="D686" t="s">
        <v>1</v>
      </c>
      <c r="E686" t="s">
        <v>26</v>
      </c>
      <c r="F686">
        <v>5</v>
      </c>
      <c r="G686">
        <v>180.94</v>
      </c>
      <c r="H686">
        <v>904.7</v>
      </c>
      <c r="I686">
        <v>136.12</v>
      </c>
      <c r="J686">
        <v>768.58</v>
      </c>
      <c r="K686">
        <v>276</v>
      </c>
      <c r="L686" s="11" t="s">
        <v>478</v>
      </c>
      <c r="M686">
        <f t="shared" si="51"/>
        <v>24</v>
      </c>
      <c r="N686">
        <f t="shared" si="52"/>
        <v>7</v>
      </c>
      <c r="O686">
        <f t="shared" si="53"/>
        <v>2024</v>
      </c>
      <c r="P686" s="4">
        <f t="shared" si="54"/>
        <v>45497</v>
      </c>
      <c r="Q686" t="s">
        <v>1138</v>
      </c>
      <c r="R686" t="s">
        <v>1137</v>
      </c>
      <c r="S686">
        <v>3</v>
      </c>
      <c r="T686" t="s">
        <v>1150</v>
      </c>
      <c r="U686" s="11" t="str">
        <f t="shared" si="55"/>
        <v>03:34:50 PM</v>
      </c>
      <c r="AC686" s="4">
        <v>45866</v>
      </c>
      <c r="AD686" s="25">
        <v>15711.07</v>
      </c>
      <c r="BL686" s="2" t="s">
        <v>1836</v>
      </c>
      <c r="BM686" s="4">
        <v>45854</v>
      </c>
      <c r="BN686" s="25">
        <v>8965.66</v>
      </c>
    </row>
    <row r="687" spans="1:66" x14ac:dyDescent="0.35">
      <c r="A687">
        <v>7078</v>
      </c>
      <c r="B687" t="s">
        <v>3</v>
      </c>
      <c r="C687" s="1">
        <v>45665</v>
      </c>
      <c r="D687" t="s">
        <v>6</v>
      </c>
      <c r="E687" t="s">
        <v>30</v>
      </c>
      <c r="F687">
        <v>1</v>
      </c>
      <c r="G687">
        <v>1703.99</v>
      </c>
      <c r="H687">
        <v>1703.99</v>
      </c>
      <c r="I687">
        <v>273.89999999999998</v>
      </c>
      <c r="J687">
        <v>1430.09</v>
      </c>
      <c r="K687">
        <v>201</v>
      </c>
      <c r="L687" s="11" t="s">
        <v>479</v>
      </c>
      <c r="M687">
        <f t="shared" si="51"/>
        <v>8</v>
      </c>
      <c r="N687">
        <f t="shared" si="52"/>
        <v>1</v>
      </c>
      <c r="O687">
        <f t="shared" si="53"/>
        <v>2025</v>
      </c>
      <c r="P687" s="4">
        <f t="shared" si="54"/>
        <v>45665</v>
      </c>
      <c r="Q687" t="s">
        <v>1139</v>
      </c>
      <c r="R687" t="s">
        <v>1135</v>
      </c>
      <c r="S687">
        <v>5</v>
      </c>
      <c r="T687" t="s">
        <v>1146</v>
      </c>
      <c r="U687" s="11" t="str">
        <f t="shared" si="55"/>
        <v>03:12:38 AM</v>
      </c>
      <c r="AC687" s="4">
        <v>45867</v>
      </c>
      <c r="AD687" s="25">
        <v>5313.66</v>
      </c>
      <c r="BL687" s="2" t="s">
        <v>1837</v>
      </c>
      <c r="BM687" s="4">
        <v>45855</v>
      </c>
      <c r="BN687" s="25">
        <v>14974.029999999999</v>
      </c>
    </row>
    <row r="688" spans="1:66" x14ac:dyDescent="0.35">
      <c r="A688">
        <v>9850</v>
      </c>
      <c r="B688" t="s">
        <v>0</v>
      </c>
      <c r="C688" s="1">
        <v>45470</v>
      </c>
      <c r="D688" t="s">
        <v>6</v>
      </c>
      <c r="E688" t="s">
        <v>5</v>
      </c>
      <c r="F688">
        <v>3</v>
      </c>
      <c r="G688">
        <v>1974.57</v>
      </c>
      <c r="H688">
        <v>5923.71</v>
      </c>
      <c r="I688">
        <v>888.93</v>
      </c>
      <c r="J688">
        <v>5034.78</v>
      </c>
      <c r="K688">
        <v>75</v>
      </c>
      <c r="L688" s="11" t="s">
        <v>480</v>
      </c>
      <c r="M688">
        <f t="shared" si="51"/>
        <v>27</v>
      </c>
      <c r="N688">
        <f t="shared" si="52"/>
        <v>6</v>
      </c>
      <c r="O688">
        <f t="shared" si="53"/>
        <v>2024</v>
      </c>
      <c r="P688" s="4">
        <f t="shared" si="54"/>
        <v>45470</v>
      </c>
      <c r="Q688" t="s">
        <v>1139</v>
      </c>
      <c r="R688" t="s">
        <v>1137</v>
      </c>
      <c r="S688">
        <v>5</v>
      </c>
      <c r="T688" t="s">
        <v>1148</v>
      </c>
      <c r="U688" s="11" t="str">
        <f t="shared" si="55"/>
        <v>04:10:37 PM</v>
      </c>
      <c r="AC688" s="4">
        <v>45868</v>
      </c>
      <c r="AD688" s="25">
        <v>7213.53</v>
      </c>
      <c r="BL688" s="2" t="s">
        <v>1838</v>
      </c>
      <c r="BM688" s="4">
        <v>45856</v>
      </c>
      <c r="BN688" s="25">
        <v>2504.11</v>
      </c>
    </row>
    <row r="689" spans="1:66" x14ac:dyDescent="0.35">
      <c r="A689">
        <v>3531</v>
      </c>
      <c r="B689" t="s">
        <v>0</v>
      </c>
      <c r="C689" s="1">
        <v>45832</v>
      </c>
      <c r="D689" t="s">
        <v>34</v>
      </c>
      <c r="E689" t="s">
        <v>29</v>
      </c>
      <c r="F689">
        <v>5</v>
      </c>
      <c r="G689">
        <v>1043.31</v>
      </c>
      <c r="H689">
        <v>5216.55</v>
      </c>
      <c r="I689">
        <v>227.42</v>
      </c>
      <c r="J689">
        <v>4989.13</v>
      </c>
      <c r="K689">
        <v>43</v>
      </c>
      <c r="L689" s="11" t="s">
        <v>481</v>
      </c>
      <c r="M689">
        <f t="shared" si="51"/>
        <v>24</v>
      </c>
      <c r="N689">
        <f t="shared" si="52"/>
        <v>6</v>
      </c>
      <c r="O689">
        <f t="shared" si="53"/>
        <v>2025</v>
      </c>
      <c r="P689" s="4">
        <f t="shared" si="54"/>
        <v>45832</v>
      </c>
      <c r="Q689" t="s">
        <v>1138</v>
      </c>
      <c r="R689" t="s">
        <v>1137</v>
      </c>
      <c r="S689">
        <v>5</v>
      </c>
      <c r="T689" t="s">
        <v>1150</v>
      </c>
      <c r="U689" s="11" t="str">
        <f t="shared" si="55"/>
        <v>08:43:07 AM</v>
      </c>
      <c r="AC689" s="4">
        <v>45869</v>
      </c>
      <c r="AD689" s="25">
        <v>13640.22</v>
      </c>
      <c r="BL689" s="2" t="s">
        <v>1839</v>
      </c>
      <c r="BM689" s="4">
        <v>45857</v>
      </c>
      <c r="BN689" s="25">
        <v>18742.23</v>
      </c>
    </row>
    <row r="690" spans="1:66" x14ac:dyDescent="0.35">
      <c r="A690">
        <v>7797</v>
      </c>
      <c r="B690" t="s">
        <v>8</v>
      </c>
      <c r="C690" s="1">
        <v>45653</v>
      </c>
      <c r="D690" t="s">
        <v>23</v>
      </c>
      <c r="E690" t="s">
        <v>37</v>
      </c>
      <c r="F690">
        <v>5</v>
      </c>
      <c r="G690">
        <v>559.41999999999996</v>
      </c>
      <c r="H690">
        <v>2797.1</v>
      </c>
      <c r="I690">
        <v>287.18</v>
      </c>
      <c r="J690">
        <v>2509.92</v>
      </c>
      <c r="K690">
        <v>202</v>
      </c>
      <c r="L690" s="11" t="s">
        <v>482</v>
      </c>
      <c r="M690">
        <f t="shared" si="51"/>
        <v>27</v>
      </c>
      <c r="N690">
        <f t="shared" si="52"/>
        <v>12</v>
      </c>
      <c r="O690">
        <f t="shared" si="53"/>
        <v>2024</v>
      </c>
      <c r="P690" s="4">
        <f t="shared" si="54"/>
        <v>45653</v>
      </c>
      <c r="Q690" t="s">
        <v>1134</v>
      </c>
      <c r="R690" t="s">
        <v>1135</v>
      </c>
      <c r="S690">
        <v>2</v>
      </c>
      <c r="T690" t="s">
        <v>1141</v>
      </c>
      <c r="U690" s="11" t="str">
        <f t="shared" si="55"/>
        <v>12:08:09 PM</v>
      </c>
      <c r="AC690" s="4">
        <v>45870</v>
      </c>
      <c r="AD690" s="25">
        <v>11677.27</v>
      </c>
      <c r="BL690" s="2" t="s">
        <v>1840</v>
      </c>
      <c r="BM690" s="4">
        <v>45858</v>
      </c>
      <c r="BN690" s="25">
        <v>14934.19</v>
      </c>
    </row>
    <row r="691" spans="1:66" x14ac:dyDescent="0.35">
      <c r="A691">
        <v>2622</v>
      </c>
      <c r="B691" t="s">
        <v>3</v>
      </c>
      <c r="C691" s="1">
        <v>45792</v>
      </c>
      <c r="D691" t="s">
        <v>6</v>
      </c>
      <c r="E691" t="s">
        <v>14</v>
      </c>
      <c r="F691">
        <v>1</v>
      </c>
      <c r="G691">
        <v>722.93</v>
      </c>
      <c r="H691">
        <v>722.93</v>
      </c>
      <c r="I691">
        <v>0</v>
      </c>
      <c r="J691">
        <v>722.93</v>
      </c>
      <c r="K691">
        <v>220</v>
      </c>
      <c r="L691" s="11" t="s">
        <v>483</v>
      </c>
      <c r="M691">
        <f t="shared" si="51"/>
        <v>15</v>
      </c>
      <c r="N691">
        <f t="shared" si="52"/>
        <v>5</v>
      </c>
      <c r="O691">
        <f t="shared" si="53"/>
        <v>2025</v>
      </c>
      <c r="P691" s="4">
        <f t="shared" si="54"/>
        <v>45792</v>
      </c>
      <c r="Q691" t="s">
        <v>1139</v>
      </c>
      <c r="R691" t="s">
        <v>1135</v>
      </c>
      <c r="S691">
        <v>5</v>
      </c>
      <c r="T691" t="s">
        <v>1146</v>
      </c>
      <c r="U691" s="11" t="str">
        <f t="shared" si="55"/>
        <v>09:17:30 PM</v>
      </c>
      <c r="AC691" s="4">
        <v>45871</v>
      </c>
      <c r="AD691" s="25">
        <v>2096.58</v>
      </c>
      <c r="BL691" s="2" t="s">
        <v>1841</v>
      </c>
      <c r="BM691" s="4">
        <v>45859</v>
      </c>
      <c r="BN691" s="25">
        <v>3974.04</v>
      </c>
    </row>
    <row r="692" spans="1:66" x14ac:dyDescent="0.35">
      <c r="A692">
        <v>9017</v>
      </c>
      <c r="B692" t="s">
        <v>0</v>
      </c>
      <c r="C692" s="1">
        <v>45623</v>
      </c>
      <c r="D692" t="s">
        <v>4</v>
      </c>
      <c r="E692" t="s">
        <v>5</v>
      </c>
      <c r="F692">
        <v>4</v>
      </c>
      <c r="G692">
        <v>961.14</v>
      </c>
      <c r="H692">
        <v>3844.56</v>
      </c>
      <c r="I692">
        <v>576.85</v>
      </c>
      <c r="J692">
        <v>3267.71</v>
      </c>
      <c r="K692">
        <v>97</v>
      </c>
      <c r="L692" s="11" t="s">
        <v>484</v>
      </c>
      <c r="M692">
        <f t="shared" si="51"/>
        <v>27</v>
      </c>
      <c r="N692">
        <f t="shared" si="52"/>
        <v>11</v>
      </c>
      <c r="O692">
        <f t="shared" si="53"/>
        <v>2024</v>
      </c>
      <c r="P692" s="4">
        <f t="shared" si="54"/>
        <v>45623</v>
      </c>
      <c r="Q692" t="s">
        <v>1139</v>
      </c>
      <c r="R692" t="s">
        <v>1135</v>
      </c>
      <c r="S692">
        <v>3</v>
      </c>
      <c r="T692" t="s">
        <v>1150</v>
      </c>
      <c r="U692" s="11" t="str">
        <f t="shared" si="55"/>
        <v>02:45:26 AM</v>
      </c>
      <c r="AC692" s="4">
        <v>45873</v>
      </c>
      <c r="AD692" s="25">
        <v>7613.59</v>
      </c>
      <c r="BL692" s="2" t="s">
        <v>1842</v>
      </c>
      <c r="BM692" s="4">
        <v>45860</v>
      </c>
      <c r="BN692" s="25">
        <v>3566.51</v>
      </c>
    </row>
    <row r="693" spans="1:66" x14ac:dyDescent="0.35">
      <c r="A693">
        <v>7686</v>
      </c>
      <c r="B693" t="s">
        <v>20</v>
      </c>
      <c r="C693" s="1">
        <v>45874</v>
      </c>
      <c r="D693" t="s">
        <v>24</v>
      </c>
      <c r="E693" t="s">
        <v>18</v>
      </c>
      <c r="F693">
        <v>3</v>
      </c>
      <c r="G693">
        <v>1565.38</v>
      </c>
      <c r="H693">
        <v>4696.1400000000003</v>
      </c>
      <c r="I693">
        <v>131.13999999999999</v>
      </c>
      <c r="J693">
        <v>4565</v>
      </c>
      <c r="K693">
        <v>411</v>
      </c>
      <c r="L693" s="11" t="s">
        <v>485</v>
      </c>
      <c r="M693">
        <f t="shared" si="51"/>
        <v>5</v>
      </c>
      <c r="N693">
        <f t="shared" si="52"/>
        <v>8</v>
      </c>
      <c r="O693">
        <f t="shared" si="53"/>
        <v>2025</v>
      </c>
      <c r="P693" s="4">
        <f t="shared" si="54"/>
        <v>45874</v>
      </c>
      <c r="Q693" t="s">
        <v>1139</v>
      </c>
      <c r="R693" t="s">
        <v>1137</v>
      </c>
      <c r="S693">
        <v>3</v>
      </c>
      <c r="T693" t="s">
        <v>1142</v>
      </c>
      <c r="U693" s="11" t="str">
        <f t="shared" si="55"/>
        <v>06:04:49 AM</v>
      </c>
      <c r="AC693" s="4">
        <v>45874</v>
      </c>
      <c r="AD693" s="25">
        <v>7954.7199999999993</v>
      </c>
      <c r="BL693" s="2" t="s">
        <v>1843</v>
      </c>
      <c r="BM693" s="4">
        <v>45861</v>
      </c>
      <c r="BN693" s="25">
        <v>7814.4500000000007</v>
      </c>
    </row>
    <row r="694" spans="1:66" x14ac:dyDescent="0.35">
      <c r="A694">
        <v>5583</v>
      </c>
      <c r="B694" t="s">
        <v>20</v>
      </c>
      <c r="C694" s="1">
        <v>45170</v>
      </c>
      <c r="D694" t="s">
        <v>6</v>
      </c>
      <c r="E694" t="s">
        <v>33</v>
      </c>
      <c r="F694">
        <v>3</v>
      </c>
      <c r="G694">
        <v>457.33</v>
      </c>
      <c r="H694">
        <v>1371.99</v>
      </c>
      <c r="I694">
        <v>328.68</v>
      </c>
      <c r="J694">
        <v>1043.31</v>
      </c>
      <c r="K694">
        <v>372</v>
      </c>
      <c r="L694" s="11" t="s">
        <v>486</v>
      </c>
      <c r="M694">
        <f t="shared" si="51"/>
        <v>1</v>
      </c>
      <c r="N694">
        <f t="shared" si="52"/>
        <v>9</v>
      </c>
      <c r="O694">
        <f t="shared" si="53"/>
        <v>2023</v>
      </c>
      <c r="P694" s="4">
        <f t="shared" si="54"/>
        <v>45170</v>
      </c>
      <c r="Q694" t="s">
        <v>1138</v>
      </c>
      <c r="R694" t="s">
        <v>1137</v>
      </c>
      <c r="S694">
        <v>2</v>
      </c>
      <c r="T694" t="s">
        <v>1148</v>
      </c>
      <c r="U694" s="11" t="str">
        <f t="shared" si="55"/>
        <v>07:45:47 AM</v>
      </c>
      <c r="AC694" s="4" t="s">
        <v>1128</v>
      </c>
      <c r="AD694" s="25">
        <v>6809096.7299999967</v>
      </c>
      <c r="BL694" s="2" t="s">
        <v>1844</v>
      </c>
      <c r="BM694" s="4">
        <v>45862</v>
      </c>
      <c r="BN694" s="25">
        <v>3247.7900000000004</v>
      </c>
    </row>
    <row r="695" spans="1:66" x14ac:dyDescent="0.35">
      <c r="A695">
        <v>7070</v>
      </c>
      <c r="B695" t="s">
        <v>31</v>
      </c>
      <c r="C695" s="1">
        <v>45313</v>
      </c>
      <c r="D695" t="s">
        <v>17</v>
      </c>
      <c r="E695" t="s">
        <v>30</v>
      </c>
      <c r="F695">
        <v>3</v>
      </c>
      <c r="G695">
        <v>115.37</v>
      </c>
      <c r="H695">
        <v>346.11</v>
      </c>
      <c r="I695">
        <v>52.29</v>
      </c>
      <c r="J695">
        <v>293.82</v>
      </c>
      <c r="K695">
        <v>355</v>
      </c>
      <c r="L695" s="11" t="s">
        <v>487</v>
      </c>
      <c r="M695">
        <f t="shared" si="51"/>
        <v>22</v>
      </c>
      <c r="N695">
        <f t="shared" si="52"/>
        <v>1</v>
      </c>
      <c r="O695">
        <f t="shared" si="53"/>
        <v>2024</v>
      </c>
      <c r="P695" s="4">
        <f t="shared" si="54"/>
        <v>45313</v>
      </c>
      <c r="Q695" t="s">
        <v>1136</v>
      </c>
      <c r="R695" t="s">
        <v>1135</v>
      </c>
      <c r="S695">
        <v>2</v>
      </c>
      <c r="T695" t="s">
        <v>1149</v>
      </c>
      <c r="U695" s="11" t="str">
        <f t="shared" si="55"/>
        <v>03:11:39 PM</v>
      </c>
      <c r="BL695" s="2" t="s">
        <v>1845</v>
      </c>
      <c r="BM695" s="4">
        <v>45863</v>
      </c>
      <c r="BN695" s="25">
        <v>5699.6100000000006</v>
      </c>
    </row>
    <row r="696" spans="1:66" x14ac:dyDescent="0.35">
      <c r="A696">
        <v>8264</v>
      </c>
      <c r="B696" t="s">
        <v>15</v>
      </c>
      <c r="C696" s="1">
        <v>45490</v>
      </c>
      <c r="D696" t="s">
        <v>34</v>
      </c>
      <c r="E696" t="s">
        <v>28</v>
      </c>
      <c r="F696">
        <v>3</v>
      </c>
      <c r="G696">
        <v>585.15</v>
      </c>
      <c r="H696">
        <v>1755.45</v>
      </c>
      <c r="I696">
        <v>351.09</v>
      </c>
      <c r="J696">
        <v>1404.36</v>
      </c>
      <c r="K696">
        <v>275</v>
      </c>
      <c r="L696" s="11" t="s">
        <v>488</v>
      </c>
      <c r="M696">
        <f t="shared" si="51"/>
        <v>17</v>
      </c>
      <c r="N696">
        <f t="shared" si="52"/>
        <v>7</v>
      </c>
      <c r="O696">
        <f t="shared" si="53"/>
        <v>2024</v>
      </c>
      <c r="P696" s="4">
        <f t="shared" si="54"/>
        <v>45490</v>
      </c>
      <c r="Q696" t="s">
        <v>1139</v>
      </c>
      <c r="R696" t="s">
        <v>1135</v>
      </c>
      <c r="S696">
        <v>5</v>
      </c>
      <c r="T696" t="s">
        <v>1141</v>
      </c>
      <c r="U696" s="11" t="str">
        <f t="shared" si="55"/>
        <v>04:26:14 PM</v>
      </c>
      <c r="BL696" s="2" t="s">
        <v>1846</v>
      </c>
      <c r="BM696" s="4">
        <v>45864</v>
      </c>
      <c r="BN696" s="25">
        <v>8854.44</v>
      </c>
    </row>
    <row r="697" spans="1:66" x14ac:dyDescent="0.35">
      <c r="A697">
        <v>4868</v>
      </c>
      <c r="B697" t="s">
        <v>3</v>
      </c>
      <c r="C697" s="1">
        <v>45809</v>
      </c>
      <c r="D697" t="s">
        <v>27</v>
      </c>
      <c r="E697" t="s">
        <v>2</v>
      </c>
      <c r="F697">
        <v>5</v>
      </c>
      <c r="G697">
        <v>1245</v>
      </c>
      <c r="H697">
        <v>6225</v>
      </c>
      <c r="I697">
        <v>0</v>
      </c>
      <c r="J697">
        <v>6225</v>
      </c>
      <c r="K697">
        <v>373</v>
      </c>
      <c r="L697" s="11" t="s">
        <v>489</v>
      </c>
      <c r="M697">
        <f t="shared" si="51"/>
        <v>1</v>
      </c>
      <c r="N697">
        <f t="shared" si="52"/>
        <v>6</v>
      </c>
      <c r="O697">
        <f t="shared" si="53"/>
        <v>2025</v>
      </c>
      <c r="P697" s="4">
        <f t="shared" si="54"/>
        <v>45809</v>
      </c>
      <c r="Q697" t="s">
        <v>1136</v>
      </c>
      <c r="R697" t="s">
        <v>1135</v>
      </c>
      <c r="S697">
        <v>4</v>
      </c>
      <c r="T697" t="s">
        <v>1148</v>
      </c>
      <c r="U697" s="11" t="str">
        <f t="shared" si="55"/>
        <v>05:17:29 AM</v>
      </c>
      <c r="BL697" s="2" t="s">
        <v>1847</v>
      </c>
      <c r="BM697" s="4">
        <v>45865</v>
      </c>
      <c r="BN697" s="25">
        <v>1630.95</v>
      </c>
    </row>
    <row r="698" spans="1:66" x14ac:dyDescent="0.35">
      <c r="A698">
        <v>6942</v>
      </c>
      <c r="B698" t="s">
        <v>20</v>
      </c>
      <c r="C698" s="1">
        <v>45222</v>
      </c>
      <c r="D698" t="s">
        <v>9</v>
      </c>
      <c r="E698" t="s">
        <v>36</v>
      </c>
      <c r="F698">
        <v>1</v>
      </c>
      <c r="G698">
        <v>697.2</v>
      </c>
      <c r="H698">
        <v>697.2</v>
      </c>
      <c r="I698">
        <v>139.44</v>
      </c>
      <c r="J698">
        <v>557.76</v>
      </c>
      <c r="K698">
        <v>30</v>
      </c>
      <c r="L698" s="11" t="s">
        <v>490</v>
      </c>
      <c r="M698">
        <f t="shared" si="51"/>
        <v>23</v>
      </c>
      <c r="N698">
        <f t="shared" si="52"/>
        <v>10</v>
      </c>
      <c r="O698">
        <f t="shared" si="53"/>
        <v>2023</v>
      </c>
      <c r="P698" s="4">
        <f t="shared" si="54"/>
        <v>45222</v>
      </c>
      <c r="Q698" t="s">
        <v>1134</v>
      </c>
      <c r="R698" t="s">
        <v>1135</v>
      </c>
      <c r="S698">
        <v>2</v>
      </c>
      <c r="T698" t="s">
        <v>1150</v>
      </c>
      <c r="U698" s="11" t="str">
        <f t="shared" si="55"/>
        <v>05:38:00 AM</v>
      </c>
      <c r="BL698" s="2" t="s">
        <v>1848</v>
      </c>
      <c r="BM698" s="4">
        <v>45866</v>
      </c>
      <c r="BN698" s="25">
        <v>15711.07</v>
      </c>
    </row>
    <row r="699" spans="1:66" x14ac:dyDescent="0.35">
      <c r="A699">
        <v>7018</v>
      </c>
      <c r="B699" t="s">
        <v>19</v>
      </c>
      <c r="C699" s="1">
        <v>45567</v>
      </c>
      <c r="D699" t="s">
        <v>1</v>
      </c>
      <c r="E699" t="s">
        <v>22</v>
      </c>
      <c r="F699">
        <v>1</v>
      </c>
      <c r="G699">
        <v>242.36</v>
      </c>
      <c r="H699">
        <v>242.36</v>
      </c>
      <c r="I699">
        <v>0</v>
      </c>
      <c r="J699">
        <v>242.36</v>
      </c>
      <c r="K699">
        <v>338</v>
      </c>
      <c r="L699" s="11" t="s">
        <v>491</v>
      </c>
      <c r="M699">
        <f t="shared" si="51"/>
        <v>2</v>
      </c>
      <c r="N699">
        <f t="shared" si="52"/>
        <v>10</v>
      </c>
      <c r="O699">
        <f t="shared" si="53"/>
        <v>2024</v>
      </c>
      <c r="P699" s="4">
        <f t="shared" si="54"/>
        <v>45567</v>
      </c>
      <c r="Q699" t="s">
        <v>1139</v>
      </c>
      <c r="R699" t="s">
        <v>1137</v>
      </c>
      <c r="S699">
        <v>1</v>
      </c>
      <c r="T699" t="s">
        <v>1149</v>
      </c>
      <c r="U699" s="11" t="str">
        <f t="shared" si="55"/>
        <v>08:11:36 PM</v>
      </c>
      <c r="BL699" s="2" t="s">
        <v>1849</v>
      </c>
      <c r="BM699" s="4">
        <v>45867</v>
      </c>
      <c r="BN699" s="25">
        <v>5313.66</v>
      </c>
    </row>
    <row r="700" spans="1:66" x14ac:dyDescent="0.35">
      <c r="A700">
        <v>6876</v>
      </c>
      <c r="B700" t="s">
        <v>25</v>
      </c>
      <c r="C700" s="1">
        <v>45192</v>
      </c>
      <c r="D700" t="s">
        <v>4</v>
      </c>
      <c r="E700" t="s">
        <v>28</v>
      </c>
      <c r="F700">
        <v>3</v>
      </c>
      <c r="G700">
        <v>2169.62</v>
      </c>
      <c r="H700">
        <v>6508.86</v>
      </c>
      <c r="I700">
        <v>1301.44</v>
      </c>
      <c r="J700">
        <v>5207.42</v>
      </c>
      <c r="K700">
        <v>332</v>
      </c>
      <c r="L700" s="11" t="s">
        <v>492</v>
      </c>
      <c r="M700">
        <f t="shared" si="51"/>
        <v>23</v>
      </c>
      <c r="N700">
        <f t="shared" si="52"/>
        <v>9</v>
      </c>
      <c r="O700">
        <f t="shared" si="53"/>
        <v>2023</v>
      </c>
      <c r="P700" s="4">
        <f t="shared" si="54"/>
        <v>45192</v>
      </c>
      <c r="Q700" t="s">
        <v>1139</v>
      </c>
      <c r="R700" t="s">
        <v>1135</v>
      </c>
      <c r="S700">
        <v>3</v>
      </c>
      <c r="T700" t="s">
        <v>1145</v>
      </c>
      <c r="U700" s="11" t="str">
        <f t="shared" si="55"/>
        <v>01:55:55 AM</v>
      </c>
      <c r="BL700" s="2" t="s">
        <v>1850</v>
      </c>
      <c r="BM700" s="4">
        <v>45868</v>
      </c>
      <c r="BN700" s="25">
        <v>7213.53</v>
      </c>
    </row>
    <row r="701" spans="1:66" x14ac:dyDescent="0.35">
      <c r="A701">
        <v>7523</v>
      </c>
      <c r="B701" t="s">
        <v>13</v>
      </c>
      <c r="C701" s="1">
        <v>45359</v>
      </c>
      <c r="D701" t="s">
        <v>27</v>
      </c>
      <c r="E701" t="s">
        <v>38</v>
      </c>
      <c r="F701">
        <v>3</v>
      </c>
      <c r="G701">
        <v>1249.1500000000001</v>
      </c>
      <c r="H701">
        <v>3747.45</v>
      </c>
      <c r="I701">
        <v>749.49</v>
      </c>
      <c r="J701">
        <v>2997.96</v>
      </c>
      <c r="K701">
        <v>305</v>
      </c>
      <c r="L701" s="11" t="s">
        <v>493</v>
      </c>
      <c r="M701">
        <f t="shared" si="51"/>
        <v>8</v>
      </c>
      <c r="N701">
        <f t="shared" si="52"/>
        <v>3</v>
      </c>
      <c r="O701">
        <f t="shared" si="53"/>
        <v>2024</v>
      </c>
      <c r="P701" s="4">
        <f t="shared" si="54"/>
        <v>45359</v>
      </c>
      <c r="Q701" t="s">
        <v>1134</v>
      </c>
      <c r="R701" t="s">
        <v>1135</v>
      </c>
      <c r="S701">
        <v>1</v>
      </c>
      <c r="T701" t="s">
        <v>1148</v>
      </c>
      <c r="U701" s="11" t="str">
        <f t="shared" si="55"/>
        <v>05:25:32 AM</v>
      </c>
      <c r="BL701" s="2" t="s">
        <v>1851</v>
      </c>
      <c r="BM701" s="4">
        <v>45869</v>
      </c>
      <c r="BN701" s="25">
        <v>13640.22</v>
      </c>
    </row>
    <row r="702" spans="1:66" x14ac:dyDescent="0.35">
      <c r="A702">
        <v>4109</v>
      </c>
      <c r="B702" t="s">
        <v>31</v>
      </c>
      <c r="C702" s="1">
        <v>45239</v>
      </c>
      <c r="D702" t="s">
        <v>27</v>
      </c>
      <c r="E702" t="s">
        <v>22</v>
      </c>
      <c r="F702">
        <v>5</v>
      </c>
      <c r="G702">
        <v>2311.5500000000002</v>
      </c>
      <c r="H702">
        <v>11557.75</v>
      </c>
      <c r="I702">
        <v>2311.5500000000002</v>
      </c>
      <c r="J702">
        <v>9246.2000000000007</v>
      </c>
      <c r="K702">
        <v>11</v>
      </c>
      <c r="L702" s="11" t="s">
        <v>494</v>
      </c>
      <c r="M702">
        <f t="shared" si="51"/>
        <v>9</v>
      </c>
      <c r="N702">
        <f t="shared" si="52"/>
        <v>11</v>
      </c>
      <c r="O702">
        <f t="shared" si="53"/>
        <v>2023</v>
      </c>
      <c r="P702" s="4">
        <f t="shared" si="54"/>
        <v>45239</v>
      </c>
      <c r="Q702" t="s">
        <v>1139</v>
      </c>
      <c r="R702" t="s">
        <v>1135</v>
      </c>
      <c r="S702">
        <v>3</v>
      </c>
      <c r="T702" t="s">
        <v>1145</v>
      </c>
      <c r="U702" s="11" t="str">
        <f t="shared" si="55"/>
        <v>12:16:16 AM</v>
      </c>
      <c r="BL702" s="2" t="s">
        <v>1852</v>
      </c>
      <c r="BM702" s="4">
        <v>45870</v>
      </c>
      <c r="BN702" s="25">
        <v>11677.27</v>
      </c>
    </row>
    <row r="703" spans="1:66" x14ac:dyDescent="0.35">
      <c r="A703">
        <v>8450</v>
      </c>
      <c r="B703" t="s">
        <v>3</v>
      </c>
      <c r="C703" s="1">
        <v>45216</v>
      </c>
      <c r="D703" t="s">
        <v>24</v>
      </c>
      <c r="E703" t="s">
        <v>10</v>
      </c>
      <c r="F703">
        <v>4</v>
      </c>
      <c r="G703">
        <v>1029.2</v>
      </c>
      <c r="H703">
        <v>4116.8</v>
      </c>
      <c r="I703">
        <v>617.52</v>
      </c>
      <c r="J703">
        <v>3499.28</v>
      </c>
      <c r="K703">
        <v>80</v>
      </c>
      <c r="L703" s="11" t="s">
        <v>495</v>
      </c>
      <c r="M703">
        <f t="shared" si="51"/>
        <v>17</v>
      </c>
      <c r="N703">
        <f t="shared" si="52"/>
        <v>10</v>
      </c>
      <c r="O703">
        <f t="shared" si="53"/>
        <v>2023</v>
      </c>
      <c r="P703" s="4">
        <f t="shared" si="54"/>
        <v>45216</v>
      </c>
      <c r="Q703" t="s">
        <v>1136</v>
      </c>
      <c r="R703" t="s">
        <v>1135</v>
      </c>
      <c r="S703">
        <v>3</v>
      </c>
      <c r="T703" t="s">
        <v>1146</v>
      </c>
      <c r="U703" s="11" t="str">
        <f t="shared" si="55"/>
        <v>12:30:38 PM</v>
      </c>
      <c r="BL703" s="2" t="s">
        <v>1853</v>
      </c>
      <c r="BM703" s="4">
        <v>45871</v>
      </c>
      <c r="BN703" s="25">
        <v>2096.58</v>
      </c>
    </row>
    <row r="704" spans="1:66" x14ac:dyDescent="0.35">
      <c r="A704">
        <v>4475</v>
      </c>
      <c r="B704" t="s">
        <v>25</v>
      </c>
      <c r="C704" s="1">
        <v>45643</v>
      </c>
      <c r="D704" t="s">
        <v>11</v>
      </c>
      <c r="E704" t="s">
        <v>26</v>
      </c>
      <c r="F704">
        <v>2</v>
      </c>
      <c r="G704">
        <v>2479.21</v>
      </c>
      <c r="H704">
        <v>4958.42</v>
      </c>
      <c r="I704">
        <v>290.5</v>
      </c>
      <c r="J704">
        <v>4667.92</v>
      </c>
      <c r="K704">
        <v>256</v>
      </c>
      <c r="L704" s="11" t="s">
        <v>496</v>
      </c>
      <c r="M704">
        <f t="shared" si="51"/>
        <v>17</v>
      </c>
      <c r="N704">
        <f t="shared" si="52"/>
        <v>12</v>
      </c>
      <c r="O704">
        <f t="shared" si="53"/>
        <v>2024</v>
      </c>
      <c r="P704" s="4">
        <f t="shared" si="54"/>
        <v>45643</v>
      </c>
      <c r="Q704" t="s">
        <v>1138</v>
      </c>
      <c r="R704" t="s">
        <v>1137</v>
      </c>
      <c r="S704">
        <v>2</v>
      </c>
      <c r="T704" t="s">
        <v>1143</v>
      </c>
      <c r="U704" s="11" t="str">
        <f t="shared" si="55"/>
        <v>03:20:04 AM</v>
      </c>
      <c r="BL704" s="2" t="s">
        <v>1854</v>
      </c>
      <c r="BM704" s="4">
        <v>45873</v>
      </c>
      <c r="BN704" s="25">
        <v>7613.59</v>
      </c>
    </row>
    <row r="705" spans="1:66" x14ac:dyDescent="0.35">
      <c r="A705">
        <v>1349</v>
      </c>
      <c r="B705" t="s">
        <v>13</v>
      </c>
      <c r="C705" s="1">
        <v>45184</v>
      </c>
      <c r="D705" t="s">
        <v>1</v>
      </c>
      <c r="E705" t="s">
        <v>7</v>
      </c>
      <c r="F705">
        <v>3</v>
      </c>
      <c r="G705">
        <v>624.99</v>
      </c>
      <c r="H705">
        <v>1874.97</v>
      </c>
      <c r="I705">
        <v>0</v>
      </c>
      <c r="J705">
        <v>1874.97</v>
      </c>
      <c r="K705">
        <v>174</v>
      </c>
      <c r="L705" s="11" t="s">
        <v>497</v>
      </c>
      <c r="M705">
        <f t="shared" si="51"/>
        <v>15</v>
      </c>
      <c r="N705">
        <f t="shared" si="52"/>
        <v>9</v>
      </c>
      <c r="O705">
        <f t="shared" si="53"/>
        <v>2023</v>
      </c>
      <c r="P705" s="4">
        <f t="shared" si="54"/>
        <v>45184</v>
      </c>
      <c r="Q705" t="s">
        <v>1136</v>
      </c>
      <c r="R705" t="s">
        <v>1135</v>
      </c>
      <c r="S705">
        <v>2</v>
      </c>
      <c r="T705" t="s">
        <v>1147</v>
      </c>
      <c r="U705" s="11" t="str">
        <f t="shared" si="55"/>
        <v>03:26:49 PM</v>
      </c>
      <c r="BL705" s="2" t="s">
        <v>1855</v>
      </c>
      <c r="BM705" s="4">
        <v>45874</v>
      </c>
      <c r="BN705" s="25">
        <v>7954.7199999999993</v>
      </c>
    </row>
    <row r="706" spans="1:66" x14ac:dyDescent="0.35">
      <c r="A706">
        <v>6464</v>
      </c>
      <c r="B706" t="s">
        <v>8</v>
      </c>
      <c r="C706" s="1">
        <v>45334</v>
      </c>
      <c r="D706" t="s">
        <v>4</v>
      </c>
      <c r="E706" t="s">
        <v>21</v>
      </c>
      <c r="F706">
        <v>5</v>
      </c>
      <c r="G706">
        <v>2394.5500000000002</v>
      </c>
      <c r="H706">
        <v>11972.75</v>
      </c>
      <c r="I706">
        <v>1197.69</v>
      </c>
      <c r="J706">
        <v>10775.06</v>
      </c>
      <c r="K706">
        <v>313</v>
      </c>
      <c r="L706" s="11" t="s">
        <v>498</v>
      </c>
      <c r="M706">
        <f t="shared" ref="M706:M769" si="56">DAY(C706)</f>
        <v>12</v>
      </c>
      <c r="N706">
        <f t="shared" ref="N706:N769" si="57">MONTH(C706)</f>
        <v>2</v>
      </c>
      <c r="O706">
        <f t="shared" ref="O706:O769" si="58">YEAR(C706)</f>
        <v>2024</v>
      </c>
      <c r="P706" s="4">
        <f t="shared" si="54"/>
        <v>45334</v>
      </c>
      <c r="Q706" t="s">
        <v>1138</v>
      </c>
      <c r="R706" t="s">
        <v>1137</v>
      </c>
      <c r="S706">
        <v>1</v>
      </c>
      <c r="T706" t="s">
        <v>1146</v>
      </c>
      <c r="U706" s="11" t="str">
        <f t="shared" si="55"/>
        <v>03:52:40 AM</v>
      </c>
      <c r="BL706" s="2" t="s">
        <v>1856</v>
      </c>
      <c r="BM706" s="4" t="s">
        <v>1128</v>
      </c>
      <c r="BN706" s="25">
        <v>6809096.7299999967</v>
      </c>
    </row>
    <row r="707" spans="1:66" x14ac:dyDescent="0.35">
      <c r="A707">
        <v>3063</v>
      </c>
      <c r="B707" t="s">
        <v>31</v>
      </c>
      <c r="C707" s="1">
        <v>45756</v>
      </c>
      <c r="D707" t="s">
        <v>17</v>
      </c>
      <c r="E707" t="s">
        <v>30</v>
      </c>
      <c r="F707">
        <v>4</v>
      </c>
      <c r="G707">
        <v>2418.62</v>
      </c>
      <c r="H707">
        <v>9674.48</v>
      </c>
      <c r="I707">
        <v>967.78</v>
      </c>
      <c r="J707">
        <v>8706.7000000000007</v>
      </c>
      <c r="K707">
        <v>465</v>
      </c>
      <c r="L707" s="11" t="s">
        <v>499</v>
      </c>
      <c r="M707">
        <f t="shared" si="56"/>
        <v>9</v>
      </c>
      <c r="N707">
        <f t="shared" si="57"/>
        <v>4</v>
      </c>
      <c r="O707">
        <f t="shared" si="58"/>
        <v>2025</v>
      </c>
      <c r="P707" s="4">
        <f t="shared" ref="P707:P770" si="59">DATE(O707,N707,M707)</f>
        <v>45756</v>
      </c>
      <c r="Q707" t="s">
        <v>1138</v>
      </c>
      <c r="R707" t="s">
        <v>1135</v>
      </c>
      <c r="S707">
        <v>3</v>
      </c>
      <c r="T707" t="s">
        <v>1149</v>
      </c>
      <c r="U707" s="11" t="str">
        <f t="shared" si="55"/>
        <v>07:19:34 PM</v>
      </c>
      <c r="BL707" s="2" t="s">
        <v>1857</v>
      </c>
    </row>
    <row r="708" spans="1:66" x14ac:dyDescent="0.35">
      <c r="A708">
        <v>4362</v>
      </c>
      <c r="B708" t="s">
        <v>3</v>
      </c>
      <c r="C708" s="1">
        <v>45198</v>
      </c>
      <c r="D708" t="s">
        <v>23</v>
      </c>
      <c r="E708" t="s">
        <v>33</v>
      </c>
      <c r="F708">
        <v>2</v>
      </c>
      <c r="G708">
        <v>1480.72</v>
      </c>
      <c r="H708">
        <v>2961.44</v>
      </c>
      <c r="I708">
        <v>592.62</v>
      </c>
      <c r="J708">
        <v>2368.8200000000002</v>
      </c>
      <c r="K708">
        <v>350</v>
      </c>
      <c r="L708" s="11" t="s">
        <v>500</v>
      </c>
      <c r="M708">
        <f t="shared" si="56"/>
        <v>29</v>
      </c>
      <c r="N708">
        <f t="shared" si="57"/>
        <v>9</v>
      </c>
      <c r="O708">
        <f t="shared" si="58"/>
        <v>2023</v>
      </c>
      <c r="P708" s="4">
        <f t="shared" si="59"/>
        <v>45198</v>
      </c>
      <c r="Q708" t="s">
        <v>1136</v>
      </c>
      <c r="R708" t="s">
        <v>1135</v>
      </c>
      <c r="S708">
        <v>1</v>
      </c>
      <c r="T708" t="s">
        <v>1149</v>
      </c>
      <c r="U708" s="11" t="str">
        <f t="shared" si="55"/>
        <v>07:18:47 PM</v>
      </c>
      <c r="BL708" s="2" t="s">
        <v>1858</v>
      </c>
    </row>
    <row r="709" spans="1:66" x14ac:dyDescent="0.35">
      <c r="A709">
        <v>4394</v>
      </c>
      <c r="B709" t="s">
        <v>19</v>
      </c>
      <c r="C709" s="1">
        <v>45600</v>
      </c>
      <c r="D709" t="s">
        <v>27</v>
      </c>
      <c r="E709" t="s">
        <v>30</v>
      </c>
      <c r="F709">
        <v>4</v>
      </c>
      <c r="G709">
        <v>2478.38</v>
      </c>
      <c r="H709">
        <v>9913.52</v>
      </c>
      <c r="I709">
        <v>0</v>
      </c>
      <c r="J709">
        <v>9913.52</v>
      </c>
      <c r="K709">
        <v>499</v>
      </c>
      <c r="L709" s="11" t="s">
        <v>501</v>
      </c>
      <c r="M709">
        <f t="shared" si="56"/>
        <v>4</v>
      </c>
      <c r="N709">
        <f t="shared" si="57"/>
        <v>11</v>
      </c>
      <c r="O709">
        <f t="shared" si="58"/>
        <v>2024</v>
      </c>
      <c r="P709" s="4">
        <f t="shared" si="59"/>
        <v>45600</v>
      </c>
      <c r="Q709" t="s">
        <v>1136</v>
      </c>
      <c r="R709" t="s">
        <v>1137</v>
      </c>
      <c r="S709">
        <v>4</v>
      </c>
      <c r="T709" t="s">
        <v>1148</v>
      </c>
      <c r="U709" s="11" t="str">
        <f t="shared" si="55"/>
        <v>02:21:40 PM</v>
      </c>
      <c r="BL709" s="2" t="s">
        <v>1859</v>
      </c>
    </row>
    <row r="710" spans="1:66" x14ac:dyDescent="0.35">
      <c r="A710">
        <v>4538</v>
      </c>
      <c r="B710" t="s">
        <v>8</v>
      </c>
      <c r="C710" s="1">
        <v>45776</v>
      </c>
      <c r="D710" t="s">
        <v>11</v>
      </c>
      <c r="E710" t="s">
        <v>32</v>
      </c>
      <c r="F710">
        <v>5</v>
      </c>
      <c r="G710">
        <v>1365.35</v>
      </c>
      <c r="H710">
        <v>6826.75</v>
      </c>
      <c r="I710">
        <v>1365.35</v>
      </c>
      <c r="J710">
        <v>5461.4</v>
      </c>
      <c r="K710">
        <v>368</v>
      </c>
      <c r="L710" s="11" t="s">
        <v>502</v>
      </c>
      <c r="M710">
        <f t="shared" si="56"/>
        <v>29</v>
      </c>
      <c r="N710">
        <f t="shared" si="57"/>
        <v>4</v>
      </c>
      <c r="O710">
        <f t="shared" si="58"/>
        <v>2025</v>
      </c>
      <c r="P710" s="4">
        <f t="shared" si="59"/>
        <v>45776</v>
      </c>
      <c r="Q710" t="s">
        <v>1136</v>
      </c>
      <c r="R710" t="s">
        <v>1135</v>
      </c>
      <c r="S710">
        <v>1</v>
      </c>
      <c r="T710" t="s">
        <v>1147</v>
      </c>
      <c r="U710" s="11" t="str">
        <f t="shared" si="55"/>
        <v>02:09:17 PM</v>
      </c>
      <c r="BL710" s="2" t="s">
        <v>1860</v>
      </c>
    </row>
    <row r="711" spans="1:66" x14ac:dyDescent="0.35">
      <c r="A711">
        <v>4817</v>
      </c>
      <c r="B711" t="s">
        <v>25</v>
      </c>
      <c r="C711" s="1">
        <v>45400</v>
      </c>
      <c r="D711" t="s">
        <v>23</v>
      </c>
      <c r="E711" t="s">
        <v>28</v>
      </c>
      <c r="F711">
        <v>3</v>
      </c>
      <c r="G711">
        <v>2200.33</v>
      </c>
      <c r="H711">
        <v>6600.99</v>
      </c>
      <c r="I711">
        <v>990.19</v>
      </c>
      <c r="J711">
        <v>5610.8</v>
      </c>
      <c r="K711">
        <v>211</v>
      </c>
      <c r="L711" s="11" t="s">
        <v>503</v>
      </c>
      <c r="M711">
        <f t="shared" si="56"/>
        <v>18</v>
      </c>
      <c r="N711">
        <f t="shared" si="57"/>
        <v>4</v>
      </c>
      <c r="O711">
        <f t="shared" si="58"/>
        <v>2024</v>
      </c>
      <c r="P711" s="4">
        <f t="shared" si="59"/>
        <v>45400</v>
      </c>
      <c r="Q711" t="s">
        <v>1136</v>
      </c>
      <c r="R711" t="s">
        <v>1137</v>
      </c>
      <c r="S711">
        <v>5</v>
      </c>
      <c r="T711" t="s">
        <v>1143</v>
      </c>
      <c r="U711" s="11" t="str">
        <f t="shared" si="55"/>
        <v>10:26:57 AM</v>
      </c>
      <c r="BL711" s="2" t="s">
        <v>1861</v>
      </c>
    </row>
    <row r="712" spans="1:66" x14ac:dyDescent="0.35">
      <c r="A712">
        <v>3417</v>
      </c>
      <c r="B712" t="s">
        <v>15</v>
      </c>
      <c r="C712" s="1">
        <v>45757</v>
      </c>
      <c r="D712" t="s">
        <v>16</v>
      </c>
      <c r="E712" t="s">
        <v>2</v>
      </c>
      <c r="F712">
        <v>2</v>
      </c>
      <c r="G712">
        <v>1957.14</v>
      </c>
      <c r="H712">
        <v>3914.28</v>
      </c>
      <c r="I712">
        <v>782.69</v>
      </c>
      <c r="J712">
        <v>3131.59</v>
      </c>
      <c r="K712">
        <v>54</v>
      </c>
      <c r="L712" s="11" t="s">
        <v>504</v>
      </c>
      <c r="M712">
        <f t="shared" si="56"/>
        <v>10</v>
      </c>
      <c r="N712">
        <f t="shared" si="57"/>
        <v>4</v>
      </c>
      <c r="O712">
        <f t="shared" si="58"/>
        <v>2025</v>
      </c>
      <c r="P712" s="4">
        <f t="shared" si="59"/>
        <v>45757</v>
      </c>
      <c r="Q712" t="s">
        <v>1134</v>
      </c>
      <c r="R712" t="s">
        <v>1137</v>
      </c>
      <c r="S712">
        <v>1</v>
      </c>
      <c r="T712" t="s">
        <v>1150</v>
      </c>
      <c r="U712" s="11" t="str">
        <f t="shared" si="55"/>
        <v>10:10:37 AM</v>
      </c>
      <c r="BL712" s="2" t="s">
        <v>1862</v>
      </c>
    </row>
    <row r="713" spans="1:66" x14ac:dyDescent="0.35">
      <c r="A713">
        <v>1046</v>
      </c>
      <c r="B713" t="s">
        <v>20</v>
      </c>
      <c r="C713" s="1">
        <v>45360</v>
      </c>
      <c r="D713" t="s">
        <v>17</v>
      </c>
      <c r="E713" t="s">
        <v>2</v>
      </c>
      <c r="F713">
        <v>5</v>
      </c>
      <c r="G713">
        <v>1446.69</v>
      </c>
      <c r="H713">
        <v>7233.45</v>
      </c>
      <c r="I713">
        <v>1446.69</v>
      </c>
      <c r="J713">
        <v>5786.76</v>
      </c>
      <c r="K713">
        <v>118</v>
      </c>
      <c r="L713" s="11" t="s">
        <v>505</v>
      </c>
      <c r="M713">
        <f t="shared" si="56"/>
        <v>9</v>
      </c>
      <c r="N713">
        <f t="shared" si="57"/>
        <v>3</v>
      </c>
      <c r="O713">
        <f t="shared" si="58"/>
        <v>2024</v>
      </c>
      <c r="P713" s="4">
        <f t="shared" si="59"/>
        <v>45360</v>
      </c>
      <c r="Q713" t="s">
        <v>1139</v>
      </c>
      <c r="R713" t="s">
        <v>1135</v>
      </c>
      <c r="S713">
        <v>5</v>
      </c>
      <c r="T713" t="s">
        <v>1144</v>
      </c>
      <c r="U713" s="11" t="str">
        <f t="shared" si="55"/>
        <v>04:31:10 AM</v>
      </c>
      <c r="BL713" s="2" t="s">
        <v>1863</v>
      </c>
    </row>
    <row r="714" spans="1:66" x14ac:dyDescent="0.35">
      <c r="A714">
        <v>3370</v>
      </c>
      <c r="B714" t="s">
        <v>20</v>
      </c>
      <c r="C714" s="1">
        <v>45245</v>
      </c>
      <c r="D714" t="s">
        <v>11</v>
      </c>
      <c r="E714" t="s">
        <v>32</v>
      </c>
      <c r="F714">
        <v>4</v>
      </c>
      <c r="G714">
        <v>405.04</v>
      </c>
      <c r="H714">
        <v>1620.16</v>
      </c>
      <c r="I714">
        <v>0</v>
      </c>
      <c r="J714">
        <v>1620.16</v>
      </c>
      <c r="K714">
        <v>433</v>
      </c>
      <c r="L714" s="11" t="s">
        <v>506</v>
      </c>
      <c r="M714">
        <f t="shared" si="56"/>
        <v>15</v>
      </c>
      <c r="N714">
        <f t="shared" si="57"/>
        <v>11</v>
      </c>
      <c r="O714">
        <f t="shared" si="58"/>
        <v>2023</v>
      </c>
      <c r="P714" s="4">
        <f t="shared" si="59"/>
        <v>45245</v>
      </c>
      <c r="Q714" t="s">
        <v>1138</v>
      </c>
      <c r="R714" t="s">
        <v>1137</v>
      </c>
      <c r="S714">
        <v>5</v>
      </c>
      <c r="T714" t="s">
        <v>1141</v>
      </c>
      <c r="U714" s="11" t="str">
        <f t="shared" si="55"/>
        <v>09:32:02 PM</v>
      </c>
      <c r="BL714" s="2" t="s">
        <v>1864</v>
      </c>
    </row>
    <row r="715" spans="1:66" x14ac:dyDescent="0.35">
      <c r="A715">
        <v>9850</v>
      </c>
      <c r="B715" t="s">
        <v>25</v>
      </c>
      <c r="C715" s="1">
        <v>45339</v>
      </c>
      <c r="D715" t="s">
        <v>23</v>
      </c>
      <c r="E715" t="s">
        <v>21</v>
      </c>
      <c r="F715">
        <v>4</v>
      </c>
      <c r="G715">
        <v>1222.5899999999999</v>
      </c>
      <c r="H715">
        <v>4890.3599999999997</v>
      </c>
      <c r="I715">
        <v>977.74</v>
      </c>
      <c r="J715">
        <v>3912.62</v>
      </c>
      <c r="K715">
        <v>83</v>
      </c>
      <c r="L715" s="11" t="s">
        <v>507</v>
      </c>
      <c r="M715">
        <f t="shared" si="56"/>
        <v>17</v>
      </c>
      <c r="N715">
        <f t="shared" si="57"/>
        <v>2</v>
      </c>
      <c r="O715">
        <f t="shared" si="58"/>
        <v>2024</v>
      </c>
      <c r="P715" s="4">
        <f t="shared" si="59"/>
        <v>45339</v>
      </c>
      <c r="Q715" t="s">
        <v>1136</v>
      </c>
      <c r="R715" t="s">
        <v>1137</v>
      </c>
      <c r="S715">
        <v>5</v>
      </c>
      <c r="T715" t="s">
        <v>1143</v>
      </c>
      <c r="U715" s="11" t="str">
        <f t="shared" si="55"/>
        <v>04:45:05 AM</v>
      </c>
      <c r="BL715" s="2" t="s">
        <v>1865</v>
      </c>
    </row>
    <row r="716" spans="1:66" x14ac:dyDescent="0.35">
      <c r="A716">
        <v>3858</v>
      </c>
      <c r="B716" t="s">
        <v>20</v>
      </c>
      <c r="C716" s="1">
        <v>45230</v>
      </c>
      <c r="D716" t="s">
        <v>9</v>
      </c>
      <c r="E716" t="s">
        <v>28</v>
      </c>
      <c r="F716">
        <v>3</v>
      </c>
      <c r="G716">
        <v>2369.65</v>
      </c>
      <c r="H716">
        <v>7108.95</v>
      </c>
      <c r="I716">
        <v>1421.79</v>
      </c>
      <c r="J716">
        <v>5687.16</v>
      </c>
      <c r="K716">
        <v>113</v>
      </c>
      <c r="L716" s="11" t="s">
        <v>508</v>
      </c>
      <c r="M716">
        <f t="shared" si="56"/>
        <v>31</v>
      </c>
      <c r="N716">
        <f t="shared" si="57"/>
        <v>10</v>
      </c>
      <c r="O716">
        <f t="shared" si="58"/>
        <v>2023</v>
      </c>
      <c r="P716" s="4">
        <f t="shared" si="59"/>
        <v>45230</v>
      </c>
      <c r="Q716" t="s">
        <v>1136</v>
      </c>
      <c r="R716" t="s">
        <v>1137</v>
      </c>
      <c r="S716">
        <v>4</v>
      </c>
      <c r="T716" t="s">
        <v>1149</v>
      </c>
      <c r="U716" s="11" t="str">
        <f t="shared" si="55"/>
        <v>10:24:49 AM</v>
      </c>
      <c r="BL716" s="2" t="s">
        <v>1866</v>
      </c>
    </row>
    <row r="717" spans="1:66" x14ac:dyDescent="0.35">
      <c r="A717">
        <v>1422</v>
      </c>
      <c r="B717" t="s">
        <v>0</v>
      </c>
      <c r="C717" s="1">
        <v>45247</v>
      </c>
      <c r="D717" t="s">
        <v>23</v>
      </c>
      <c r="E717" t="s">
        <v>22</v>
      </c>
      <c r="F717">
        <v>5</v>
      </c>
      <c r="G717">
        <v>1261.5999999999999</v>
      </c>
      <c r="H717">
        <v>6308</v>
      </c>
      <c r="I717">
        <v>1261.5999999999999</v>
      </c>
      <c r="J717">
        <v>5046.3999999999996</v>
      </c>
      <c r="K717">
        <v>166</v>
      </c>
      <c r="L717" s="11" t="s">
        <v>509</v>
      </c>
      <c r="M717">
        <f t="shared" si="56"/>
        <v>17</v>
      </c>
      <c r="N717">
        <f t="shared" si="57"/>
        <v>11</v>
      </c>
      <c r="O717">
        <f t="shared" si="58"/>
        <v>2023</v>
      </c>
      <c r="P717" s="4">
        <f t="shared" si="59"/>
        <v>45247</v>
      </c>
      <c r="Q717" t="s">
        <v>1136</v>
      </c>
      <c r="R717" t="s">
        <v>1137</v>
      </c>
      <c r="S717">
        <v>1</v>
      </c>
      <c r="T717" t="s">
        <v>1144</v>
      </c>
      <c r="U717" s="11" t="str">
        <f t="shared" si="55"/>
        <v>05:59:54 PM</v>
      </c>
      <c r="BL717" s="2" t="s">
        <v>1867</v>
      </c>
    </row>
    <row r="718" spans="1:66" x14ac:dyDescent="0.35">
      <c r="A718">
        <v>1243</v>
      </c>
      <c r="B718" t="s">
        <v>13</v>
      </c>
      <c r="C718" s="1">
        <v>45423</v>
      </c>
      <c r="D718" t="s">
        <v>9</v>
      </c>
      <c r="E718" t="s">
        <v>29</v>
      </c>
      <c r="F718">
        <v>5</v>
      </c>
      <c r="G718">
        <v>1851.73</v>
      </c>
      <c r="H718">
        <v>9258.65</v>
      </c>
      <c r="I718">
        <v>926.28</v>
      </c>
      <c r="J718">
        <v>8332.3700000000008</v>
      </c>
      <c r="K718">
        <v>194</v>
      </c>
      <c r="L718" s="11" t="s">
        <v>510</v>
      </c>
      <c r="M718">
        <f t="shared" si="56"/>
        <v>11</v>
      </c>
      <c r="N718">
        <f t="shared" si="57"/>
        <v>5</v>
      </c>
      <c r="O718">
        <f t="shared" si="58"/>
        <v>2024</v>
      </c>
      <c r="P718" s="4">
        <f t="shared" si="59"/>
        <v>45423</v>
      </c>
      <c r="Q718" t="s">
        <v>1134</v>
      </c>
      <c r="R718" t="s">
        <v>1137</v>
      </c>
      <c r="S718">
        <v>1</v>
      </c>
      <c r="T718" t="s">
        <v>1149</v>
      </c>
      <c r="U718" s="11" t="str">
        <f t="shared" si="55"/>
        <v>06:17:14 AM</v>
      </c>
      <c r="BL718" s="2" t="s">
        <v>1868</v>
      </c>
    </row>
    <row r="719" spans="1:66" x14ac:dyDescent="0.35">
      <c r="A719">
        <v>4898</v>
      </c>
      <c r="B719" t="s">
        <v>3</v>
      </c>
      <c r="C719" s="1">
        <v>45602</v>
      </c>
      <c r="D719" t="s">
        <v>27</v>
      </c>
      <c r="E719" t="s">
        <v>29</v>
      </c>
      <c r="F719">
        <v>5</v>
      </c>
      <c r="G719">
        <v>345.28</v>
      </c>
      <c r="H719">
        <v>1726.4</v>
      </c>
      <c r="I719">
        <v>345.28</v>
      </c>
      <c r="J719">
        <v>1381.12</v>
      </c>
      <c r="K719">
        <v>233</v>
      </c>
      <c r="L719" s="11" t="s">
        <v>511</v>
      </c>
      <c r="M719">
        <f t="shared" si="56"/>
        <v>6</v>
      </c>
      <c r="N719">
        <f t="shared" si="57"/>
        <v>11</v>
      </c>
      <c r="O719">
        <f t="shared" si="58"/>
        <v>2024</v>
      </c>
      <c r="P719" s="4">
        <f t="shared" si="59"/>
        <v>45602</v>
      </c>
      <c r="Q719" t="s">
        <v>1136</v>
      </c>
      <c r="R719" t="s">
        <v>1137</v>
      </c>
      <c r="S719">
        <v>4</v>
      </c>
      <c r="T719" t="s">
        <v>1147</v>
      </c>
      <c r="U719" s="11" t="str">
        <f t="shared" si="55"/>
        <v>05:14:34 PM</v>
      </c>
      <c r="BL719" s="2" t="s">
        <v>1869</v>
      </c>
    </row>
    <row r="720" spans="1:66" x14ac:dyDescent="0.35">
      <c r="A720">
        <v>6304</v>
      </c>
      <c r="B720" t="s">
        <v>3</v>
      </c>
      <c r="C720" s="1">
        <v>45157</v>
      </c>
      <c r="D720" t="s">
        <v>27</v>
      </c>
      <c r="E720" t="s">
        <v>21</v>
      </c>
      <c r="F720">
        <v>1</v>
      </c>
      <c r="G720">
        <v>1424.28</v>
      </c>
      <c r="H720">
        <v>1424.28</v>
      </c>
      <c r="I720">
        <v>284.69</v>
      </c>
      <c r="J720">
        <v>1139.5899999999999</v>
      </c>
      <c r="K720">
        <v>264</v>
      </c>
      <c r="L720" s="11" t="s">
        <v>512</v>
      </c>
      <c r="M720">
        <f t="shared" si="56"/>
        <v>19</v>
      </c>
      <c r="N720">
        <f t="shared" si="57"/>
        <v>8</v>
      </c>
      <c r="O720">
        <f t="shared" si="58"/>
        <v>2023</v>
      </c>
      <c r="P720" s="4">
        <f t="shared" si="59"/>
        <v>45157</v>
      </c>
      <c r="Q720" t="s">
        <v>1136</v>
      </c>
      <c r="R720" t="s">
        <v>1137</v>
      </c>
      <c r="S720">
        <v>3</v>
      </c>
      <c r="T720" t="s">
        <v>1147</v>
      </c>
      <c r="U720" s="11" t="str">
        <f t="shared" si="55"/>
        <v>07:57:12 PM</v>
      </c>
      <c r="BL720" s="2" t="s">
        <v>1870</v>
      </c>
    </row>
    <row r="721" spans="1:64" x14ac:dyDescent="0.35">
      <c r="A721">
        <v>3854</v>
      </c>
      <c r="B721" t="s">
        <v>19</v>
      </c>
      <c r="C721" s="1">
        <v>45351</v>
      </c>
      <c r="D721" t="s">
        <v>34</v>
      </c>
      <c r="E721" t="s">
        <v>21</v>
      </c>
      <c r="F721">
        <v>3</v>
      </c>
      <c r="G721">
        <v>1944.69</v>
      </c>
      <c r="H721">
        <v>5834.07</v>
      </c>
      <c r="I721">
        <v>1166.98</v>
      </c>
      <c r="J721">
        <v>4667.09</v>
      </c>
      <c r="K721">
        <v>146</v>
      </c>
      <c r="L721" s="11" t="s">
        <v>513</v>
      </c>
      <c r="M721">
        <f t="shared" si="56"/>
        <v>29</v>
      </c>
      <c r="N721">
        <f t="shared" si="57"/>
        <v>2</v>
      </c>
      <c r="O721">
        <f t="shared" si="58"/>
        <v>2024</v>
      </c>
      <c r="P721" s="4">
        <f t="shared" si="59"/>
        <v>45351</v>
      </c>
      <c r="Q721" t="s">
        <v>1136</v>
      </c>
      <c r="R721" t="s">
        <v>1137</v>
      </c>
      <c r="S721">
        <v>2</v>
      </c>
      <c r="T721" t="s">
        <v>1148</v>
      </c>
      <c r="U721" s="11" t="str">
        <f t="shared" si="55"/>
        <v>07:26:18 AM</v>
      </c>
      <c r="BL721" s="2" t="s">
        <v>1871</v>
      </c>
    </row>
    <row r="722" spans="1:64" x14ac:dyDescent="0.35">
      <c r="A722">
        <v>1858</v>
      </c>
      <c r="B722" t="s">
        <v>13</v>
      </c>
      <c r="C722" s="1">
        <v>45243</v>
      </c>
      <c r="D722" t="s">
        <v>24</v>
      </c>
      <c r="E722" t="s">
        <v>29</v>
      </c>
      <c r="F722">
        <v>5</v>
      </c>
      <c r="G722">
        <v>2257.6</v>
      </c>
      <c r="H722">
        <v>11288</v>
      </c>
      <c r="I722">
        <v>322.87</v>
      </c>
      <c r="J722">
        <v>10965.13</v>
      </c>
      <c r="K722">
        <v>237</v>
      </c>
      <c r="L722" s="11" t="s">
        <v>514</v>
      </c>
      <c r="M722">
        <f t="shared" si="56"/>
        <v>13</v>
      </c>
      <c r="N722">
        <f t="shared" si="57"/>
        <v>11</v>
      </c>
      <c r="O722">
        <f t="shared" si="58"/>
        <v>2023</v>
      </c>
      <c r="P722" s="4">
        <f t="shared" si="59"/>
        <v>45243</v>
      </c>
      <c r="Q722" t="s">
        <v>1139</v>
      </c>
      <c r="R722" t="s">
        <v>1135</v>
      </c>
      <c r="S722">
        <v>1</v>
      </c>
      <c r="T722" t="s">
        <v>1150</v>
      </c>
      <c r="U722" s="11" t="str">
        <f t="shared" si="55"/>
        <v>01:46:52 PM</v>
      </c>
      <c r="BL722" s="2" t="s">
        <v>1872</v>
      </c>
    </row>
    <row r="723" spans="1:64" x14ac:dyDescent="0.35">
      <c r="A723">
        <v>7897</v>
      </c>
      <c r="B723" t="s">
        <v>0</v>
      </c>
      <c r="C723" s="1">
        <v>45553</v>
      </c>
      <c r="D723" t="s">
        <v>23</v>
      </c>
      <c r="E723" t="s">
        <v>7</v>
      </c>
      <c r="F723">
        <v>2</v>
      </c>
      <c r="G723">
        <v>1028.3699999999999</v>
      </c>
      <c r="H723">
        <v>2056.7399999999998</v>
      </c>
      <c r="I723">
        <v>142.76</v>
      </c>
      <c r="J723">
        <v>1913.98</v>
      </c>
      <c r="K723">
        <v>165</v>
      </c>
      <c r="L723" s="11" t="s">
        <v>515</v>
      </c>
      <c r="M723">
        <f t="shared" si="56"/>
        <v>18</v>
      </c>
      <c r="N723">
        <f t="shared" si="57"/>
        <v>9</v>
      </c>
      <c r="O723">
        <f t="shared" si="58"/>
        <v>2024</v>
      </c>
      <c r="P723" s="4">
        <f t="shared" si="59"/>
        <v>45553</v>
      </c>
      <c r="Q723" t="s">
        <v>1134</v>
      </c>
      <c r="R723" t="s">
        <v>1135</v>
      </c>
      <c r="S723">
        <v>2</v>
      </c>
      <c r="T723" t="s">
        <v>1142</v>
      </c>
      <c r="U723" s="11" t="str">
        <f t="shared" si="55"/>
        <v>11:56:03 PM</v>
      </c>
      <c r="BL723" s="2" t="s">
        <v>1873</v>
      </c>
    </row>
    <row r="724" spans="1:64" x14ac:dyDescent="0.35">
      <c r="A724">
        <v>2862</v>
      </c>
      <c r="B724" t="s">
        <v>31</v>
      </c>
      <c r="C724" s="1">
        <v>45724</v>
      </c>
      <c r="D724" t="s">
        <v>34</v>
      </c>
      <c r="E724" t="s">
        <v>32</v>
      </c>
      <c r="F724">
        <v>3</v>
      </c>
      <c r="G724">
        <v>862.37</v>
      </c>
      <c r="H724">
        <v>2587.11</v>
      </c>
      <c r="I724">
        <v>0</v>
      </c>
      <c r="J724">
        <v>2587.11</v>
      </c>
      <c r="K724">
        <v>332</v>
      </c>
      <c r="L724" s="11" t="s">
        <v>516</v>
      </c>
      <c r="M724">
        <f t="shared" si="56"/>
        <v>8</v>
      </c>
      <c r="N724">
        <f t="shared" si="57"/>
        <v>3</v>
      </c>
      <c r="O724">
        <f t="shared" si="58"/>
        <v>2025</v>
      </c>
      <c r="P724" s="4">
        <f t="shared" si="59"/>
        <v>45724</v>
      </c>
      <c r="Q724" t="s">
        <v>1136</v>
      </c>
      <c r="R724" t="s">
        <v>1137</v>
      </c>
      <c r="S724">
        <v>4</v>
      </c>
      <c r="T724" t="s">
        <v>1149</v>
      </c>
      <c r="U724" s="11" t="str">
        <f t="shared" si="55"/>
        <v>09:31:07 PM</v>
      </c>
      <c r="BL724" s="2" t="s">
        <v>1874</v>
      </c>
    </row>
    <row r="725" spans="1:64" x14ac:dyDescent="0.35">
      <c r="A725">
        <v>2041</v>
      </c>
      <c r="B725" t="s">
        <v>0</v>
      </c>
      <c r="C725" s="1">
        <v>45514</v>
      </c>
      <c r="D725" t="s">
        <v>4</v>
      </c>
      <c r="E725" t="s">
        <v>38</v>
      </c>
      <c r="F725">
        <v>4</v>
      </c>
      <c r="G725">
        <v>1608.54</v>
      </c>
      <c r="H725">
        <v>6434.16</v>
      </c>
      <c r="I725">
        <v>0</v>
      </c>
      <c r="J725">
        <v>6434.16</v>
      </c>
      <c r="K725">
        <v>43</v>
      </c>
      <c r="L725" s="11" t="s">
        <v>517</v>
      </c>
      <c r="M725">
        <f t="shared" si="56"/>
        <v>10</v>
      </c>
      <c r="N725">
        <f t="shared" si="57"/>
        <v>8</v>
      </c>
      <c r="O725">
        <f t="shared" si="58"/>
        <v>2024</v>
      </c>
      <c r="P725" s="4">
        <f t="shared" si="59"/>
        <v>45514</v>
      </c>
      <c r="Q725" t="s">
        <v>1138</v>
      </c>
      <c r="R725" t="s">
        <v>1135</v>
      </c>
      <c r="S725">
        <v>3</v>
      </c>
      <c r="T725" t="s">
        <v>1150</v>
      </c>
      <c r="U725" s="11" t="str">
        <f t="shared" si="55"/>
        <v>03:25:29 AM</v>
      </c>
      <c r="BL725" s="2" t="s">
        <v>1875</v>
      </c>
    </row>
    <row r="726" spans="1:64" x14ac:dyDescent="0.35">
      <c r="A726">
        <v>8344</v>
      </c>
      <c r="B726" t="s">
        <v>3</v>
      </c>
      <c r="C726" s="1">
        <v>45749</v>
      </c>
      <c r="D726" t="s">
        <v>17</v>
      </c>
      <c r="E726" t="s">
        <v>18</v>
      </c>
      <c r="F726">
        <v>4</v>
      </c>
      <c r="G726">
        <v>1406.85</v>
      </c>
      <c r="H726">
        <v>5627.4</v>
      </c>
      <c r="I726">
        <v>844.11</v>
      </c>
      <c r="J726">
        <v>4783.29</v>
      </c>
      <c r="K726">
        <v>22</v>
      </c>
      <c r="L726" s="11" t="s">
        <v>518</v>
      </c>
      <c r="M726">
        <f t="shared" si="56"/>
        <v>2</v>
      </c>
      <c r="N726">
        <f t="shared" si="57"/>
        <v>4</v>
      </c>
      <c r="O726">
        <f t="shared" si="58"/>
        <v>2025</v>
      </c>
      <c r="P726" s="4">
        <f t="shared" si="59"/>
        <v>45749</v>
      </c>
      <c r="Q726" t="s">
        <v>1138</v>
      </c>
      <c r="R726" t="s">
        <v>1137</v>
      </c>
      <c r="S726">
        <v>3</v>
      </c>
      <c r="T726" t="s">
        <v>1145</v>
      </c>
      <c r="U726" s="11" t="str">
        <f t="shared" si="55"/>
        <v>07:00:08 AM</v>
      </c>
      <c r="BL726" s="2" t="s">
        <v>1876</v>
      </c>
    </row>
    <row r="727" spans="1:64" x14ac:dyDescent="0.35">
      <c r="A727">
        <v>6931</v>
      </c>
      <c r="B727" t="s">
        <v>8</v>
      </c>
      <c r="C727" s="1">
        <v>45543</v>
      </c>
      <c r="D727" t="s">
        <v>23</v>
      </c>
      <c r="E727" t="s">
        <v>30</v>
      </c>
      <c r="F727">
        <v>2</v>
      </c>
      <c r="G727">
        <v>1933.9</v>
      </c>
      <c r="H727">
        <v>3867.8</v>
      </c>
      <c r="I727">
        <v>580.16999999999996</v>
      </c>
      <c r="J727">
        <v>3287.63</v>
      </c>
      <c r="K727">
        <v>26</v>
      </c>
      <c r="L727" s="11" t="s">
        <v>519</v>
      </c>
      <c r="M727">
        <f t="shared" si="56"/>
        <v>8</v>
      </c>
      <c r="N727">
        <f t="shared" si="57"/>
        <v>9</v>
      </c>
      <c r="O727">
        <f t="shared" si="58"/>
        <v>2024</v>
      </c>
      <c r="P727" s="4">
        <f t="shared" si="59"/>
        <v>45543</v>
      </c>
      <c r="Q727" t="s">
        <v>1138</v>
      </c>
      <c r="R727" t="s">
        <v>1137</v>
      </c>
      <c r="S727">
        <v>3</v>
      </c>
      <c r="T727" t="s">
        <v>1149</v>
      </c>
      <c r="U727" s="11" t="str">
        <f t="shared" si="55"/>
        <v>07:30:22 AM</v>
      </c>
      <c r="BL727" s="2" t="s">
        <v>1877</v>
      </c>
    </row>
    <row r="728" spans="1:64" x14ac:dyDescent="0.35">
      <c r="A728">
        <v>2786</v>
      </c>
      <c r="B728" t="s">
        <v>19</v>
      </c>
      <c r="C728" s="1">
        <v>45496</v>
      </c>
      <c r="D728" t="s">
        <v>34</v>
      </c>
      <c r="E728" t="s">
        <v>26</v>
      </c>
      <c r="F728">
        <v>2</v>
      </c>
      <c r="G728">
        <v>365.2</v>
      </c>
      <c r="H728">
        <v>730.4</v>
      </c>
      <c r="I728">
        <v>289.67</v>
      </c>
      <c r="J728">
        <v>440.73</v>
      </c>
      <c r="K728">
        <v>67</v>
      </c>
      <c r="L728" s="11" t="s">
        <v>520</v>
      </c>
      <c r="M728">
        <f t="shared" si="56"/>
        <v>23</v>
      </c>
      <c r="N728">
        <f t="shared" si="57"/>
        <v>7</v>
      </c>
      <c r="O728">
        <f t="shared" si="58"/>
        <v>2024</v>
      </c>
      <c r="P728" s="4">
        <f t="shared" si="59"/>
        <v>45496</v>
      </c>
      <c r="Q728" t="s">
        <v>1134</v>
      </c>
      <c r="R728" t="s">
        <v>1135</v>
      </c>
      <c r="S728">
        <v>4</v>
      </c>
      <c r="T728" t="s">
        <v>1144</v>
      </c>
      <c r="U728" s="11" t="str">
        <f t="shared" si="55"/>
        <v>11:27:32 PM</v>
      </c>
      <c r="BL728" s="2" t="s">
        <v>1878</v>
      </c>
    </row>
    <row r="729" spans="1:64" x14ac:dyDescent="0.35">
      <c r="A729">
        <v>9254</v>
      </c>
      <c r="B729" t="s">
        <v>19</v>
      </c>
      <c r="C729" s="1">
        <v>45317</v>
      </c>
      <c r="D729" t="s">
        <v>1</v>
      </c>
      <c r="E729" t="s">
        <v>22</v>
      </c>
      <c r="F729">
        <v>4</v>
      </c>
      <c r="G729">
        <v>2141.4</v>
      </c>
      <c r="H729">
        <v>8565.6</v>
      </c>
      <c r="I729">
        <v>375.99</v>
      </c>
      <c r="J729">
        <v>8189.61</v>
      </c>
      <c r="K729">
        <v>278</v>
      </c>
      <c r="L729" s="11" t="s">
        <v>521</v>
      </c>
      <c r="M729">
        <f t="shared" si="56"/>
        <v>26</v>
      </c>
      <c r="N729">
        <f t="shared" si="57"/>
        <v>1</v>
      </c>
      <c r="O729">
        <f t="shared" si="58"/>
        <v>2024</v>
      </c>
      <c r="P729" s="4">
        <f t="shared" si="59"/>
        <v>45317</v>
      </c>
      <c r="Q729" t="s">
        <v>1134</v>
      </c>
      <c r="R729" t="s">
        <v>1137</v>
      </c>
      <c r="S729">
        <v>5</v>
      </c>
      <c r="T729" t="s">
        <v>1150</v>
      </c>
      <c r="U729" s="11" t="str">
        <f t="shared" si="55"/>
        <v>07:11:23 PM</v>
      </c>
      <c r="BL729" s="2" t="s">
        <v>1879</v>
      </c>
    </row>
    <row r="730" spans="1:64" x14ac:dyDescent="0.35">
      <c r="A730">
        <v>1710</v>
      </c>
      <c r="B730" t="s">
        <v>31</v>
      </c>
      <c r="C730" s="1">
        <v>45709</v>
      </c>
      <c r="D730" t="s">
        <v>6</v>
      </c>
      <c r="E730" t="s">
        <v>37</v>
      </c>
      <c r="F730">
        <v>4</v>
      </c>
      <c r="G730">
        <v>1069.04</v>
      </c>
      <c r="H730">
        <v>4276.16</v>
      </c>
      <c r="I730">
        <v>854.9</v>
      </c>
      <c r="J730">
        <v>3421.26</v>
      </c>
      <c r="K730">
        <v>40</v>
      </c>
      <c r="L730" s="11" t="s">
        <v>522</v>
      </c>
      <c r="M730">
        <f t="shared" si="56"/>
        <v>21</v>
      </c>
      <c r="N730">
        <f t="shared" si="57"/>
        <v>2</v>
      </c>
      <c r="O730">
        <f t="shared" si="58"/>
        <v>2025</v>
      </c>
      <c r="P730" s="4">
        <f t="shared" si="59"/>
        <v>45709</v>
      </c>
      <c r="Q730" t="s">
        <v>1138</v>
      </c>
      <c r="R730" t="s">
        <v>1137</v>
      </c>
      <c r="S730">
        <v>5</v>
      </c>
      <c r="T730" t="s">
        <v>1143</v>
      </c>
      <c r="U730" s="11" t="str">
        <f t="shared" si="55"/>
        <v>02:03:48 AM</v>
      </c>
      <c r="BL730" s="2" t="s">
        <v>1880</v>
      </c>
    </row>
    <row r="731" spans="1:64" x14ac:dyDescent="0.35">
      <c r="A731">
        <v>9543</v>
      </c>
      <c r="B731" t="s">
        <v>3</v>
      </c>
      <c r="C731" s="1">
        <v>45379</v>
      </c>
      <c r="D731" t="s">
        <v>24</v>
      </c>
      <c r="E731" t="s">
        <v>7</v>
      </c>
      <c r="F731">
        <v>2</v>
      </c>
      <c r="G731">
        <v>200.03</v>
      </c>
      <c r="H731">
        <v>400.06</v>
      </c>
      <c r="I731">
        <v>0</v>
      </c>
      <c r="J731">
        <v>400.06</v>
      </c>
      <c r="K731">
        <v>75</v>
      </c>
      <c r="L731" s="11" t="s">
        <v>523</v>
      </c>
      <c r="M731">
        <f t="shared" si="56"/>
        <v>28</v>
      </c>
      <c r="N731">
        <f t="shared" si="57"/>
        <v>3</v>
      </c>
      <c r="O731">
        <f t="shared" si="58"/>
        <v>2024</v>
      </c>
      <c r="P731" s="4">
        <f t="shared" si="59"/>
        <v>45379</v>
      </c>
      <c r="Q731" t="s">
        <v>1136</v>
      </c>
      <c r="R731" t="s">
        <v>1137</v>
      </c>
      <c r="S731">
        <v>2</v>
      </c>
      <c r="T731" t="s">
        <v>1150</v>
      </c>
      <c r="U731" s="11" t="str">
        <f t="shared" si="55"/>
        <v>07:52:47 PM</v>
      </c>
      <c r="BL731" s="2" t="s">
        <v>1881</v>
      </c>
    </row>
    <row r="732" spans="1:64" x14ac:dyDescent="0.35">
      <c r="A732">
        <v>8504</v>
      </c>
      <c r="B732" t="s">
        <v>25</v>
      </c>
      <c r="C732" s="1">
        <v>45644</v>
      </c>
      <c r="D732" t="s">
        <v>1</v>
      </c>
      <c r="E732" t="s">
        <v>30</v>
      </c>
      <c r="F732">
        <v>1</v>
      </c>
      <c r="G732">
        <v>1687.39</v>
      </c>
      <c r="H732">
        <v>1687.39</v>
      </c>
      <c r="I732">
        <v>253.15</v>
      </c>
      <c r="J732">
        <v>1434.24</v>
      </c>
      <c r="K732">
        <v>429</v>
      </c>
      <c r="L732" s="11" t="s">
        <v>524</v>
      </c>
      <c r="M732">
        <f t="shared" si="56"/>
        <v>18</v>
      </c>
      <c r="N732">
        <f t="shared" si="57"/>
        <v>12</v>
      </c>
      <c r="O732">
        <f t="shared" si="58"/>
        <v>2024</v>
      </c>
      <c r="P732" s="4">
        <f t="shared" si="59"/>
        <v>45644</v>
      </c>
      <c r="Q732" t="s">
        <v>1134</v>
      </c>
      <c r="R732" t="s">
        <v>1137</v>
      </c>
      <c r="S732">
        <v>5</v>
      </c>
      <c r="T732" t="s">
        <v>1143</v>
      </c>
      <c r="U732" s="11" t="str">
        <f t="shared" si="55"/>
        <v>04:12:33 AM</v>
      </c>
      <c r="BL732" s="2" t="s">
        <v>1882</v>
      </c>
    </row>
    <row r="733" spans="1:64" x14ac:dyDescent="0.35">
      <c r="A733">
        <v>1510</v>
      </c>
      <c r="B733" t="s">
        <v>0</v>
      </c>
      <c r="C733" s="1">
        <v>45192</v>
      </c>
      <c r="D733" t="s">
        <v>1</v>
      </c>
      <c r="E733" t="s">
        <v>38</v>
      </c>
      <c r="F733">
        <v>4</v>
      </c>
      <c r="G733">
        <v>2474.23</v>
      </c>
      <c r="H733">
        <v>9896.92</v>
      </c>
      <c r="I733">
        <v>302.12</v>
      </c>
      <c r="J733">
        <v>9594.7999999999993</v>
      </c>
      <c r="K733">
        <v>82</v>
      </c>
      <c r="L733" s="11" t="s">
        <v>525</v>
      </c>
      <c r="M733">
        <f t="shared" si="56"/>
        <v>23</v>
      </c>
      <c r="N733">
        <f t="shared" si="57"/>
        <v>9</v>
      </c>
      <c r="O733">
        <f t="shared" si="58"/>
        <v>2023</v>
      </c>
      <c r="P733" s="4">
        <f t="shared" si="59"/>
        <v>45192</v>
      </c>
      <c r="Q733" t="s">
        <v>1138</v>
      </c>
      <c r="R733" t="s">
        <v>1135</v>
      </c>
      <c r="S733">
        <v>5</v>
      </c>
      <c r="T733" t="s">
        <v>1147</v>
      </c>
      <c r="U733" s="11" t="str">
        <f t="shared" si="55"/>
        <v>06:54:57 AM</v>
      </c>
      <c r="BL733" s="2" t="s">
        <v>1883</v>
      </c>
    </row>
    <row r="734" spans="1:64" x14ac:dyDescent="0.35">
      <c r="A734">
        <v>8847</v>
      </c>
      <c r="B734" t="s">
        <v>3</v>
      </c>
      <c r="C734" s="1">
        <v>45803</v>
      </c>
      <c r="D734" t="s">
        <v>23</v>
      </c>
      <c r="E734" t="s">
        <v>22</v>
      </c>
      <c r="F734">
        <v>5</v>
      </c>
      <c r="G734">
        <v>949.52</v>
      </c>
      <c r="H734">
        <v>4747.6000000000004</v>
      </c>
      <c r="I734">
        <v>712.14</v>
      </c>
      <c r="J734">
        <v>4035.46</v>
      </c>
      <c r="K734">
        <v>18</v>
      </c>
      <c r="L734" s="11" t="s">
        <v>526</v>
      </c>
      <c r="M734">
        <f t="shared" si="56"/>
        <v>26</v>
      </c>
      <c r="N734">
        <f t="shared" si="57"/>
        <v>5</v>
      </c>
      <c r="O734">
        <f t="shared" si="58"/>
        <v>2025</v>
      </c>
      <c r="P734" s="4">
        <f t="shared" si="59"/>
        <v>45803</v>
      </c>
      <c r="Q734" t="s">
        <v>1138</v>
      </c>
      <c r="R734" t="s">
        <v>1137</v>
      </c>
      <c r="S734">
        <v>3</v>
      </c>
      <c r="T734" t="s">
        <v>1143</v>
      </c>
      <c r="U734" s="11" t="str">
        <f t="shared" si="55"/>
        <v>08:30:10 AM</v>
      </c>
      <c r="BL734" s="2" t="s">
        <v>1884</v>
      </c>
    </row>
    <row r="735" spans="1:64" x14ac:dyDescent="0.35">
      <c r="A735">
        <v>7580</v>
      </c>
      <c r="B735" t="s">
        <v>25</v>
      </c>
      <c r="C735" s="1">
        <v>45476</v>
      </c>
      <c r="D735" t="s">
        <v>11</v>
      </c>
      <c r="E735" t="s">
        <v>21</v>
      </c>
      <c r="F735">
        <v>1</v>
      </c>
      <c r="G735">
        <v>1907.34</v>
      </c>
      <c r="H735">
        <v>1907.34</v>
      </c>
      <c r="I735">
        <v>286.35000000000002</v>
      </c>
      <c r="J735">
        <v>1620.99</v>
      </c>
      <c r="K735">
        <v>431</v>
      </c>
      <c r="L735" s="11" t="s">
        <v>527</v>
      </c>
      <c r="M735">
        <f t="shared" si="56"/>
        <v>3</v>
      </c>
      <c r="N735">
        <f t="shared" si="57"/>
        <v>7</v>
      </c>
      <c r="O735">
        <f t="shared" si="58"/>
        <v>2024</v>
      </c>
      <c r="P735" s="4">
        <f t="shared" si="59"/>
        <v>45476</v>
      </c>
      <c r="Q735" t="s">
        <v>1136</v>
      </c>
      <c r="R735" t="s">
        <v>1137</v>
      </c>
      <c r="S735">
        <v>3</v>
      </c>
      <c r="T735" t="s">
        <v>1146</v>
      </c>
      <c r="U735" s="11" t="str">
        <f t="shared" si="55"/>
        <v>08:00:43 PM</v>
      </c>
      <c r="BL735" s="2" t="s">
        <v>1885</v>
      </c>
    </row>
    <row r="736" spans="1:64" x14ac:dyDescent="0.35">
      <c r="A736">
        <v>2768</v>
      </c>
      <c r="B736" t="s">
        <v>15</v>
      </c>
      <c r="C736" s="1">
        <v>45525</v>
      </c>
      <c r="D736" t="s">
        <v>23</v>
      </c>
      <c r="E736" t="s">
        <v>38</v>
      </c>
      <c r="F736">
        <v>3</v>
      </c>
      <c r="G736">
        <v>874.82</v>
      </c>
      <c r="H736">
        <v>2624.46</v>
      </c>
      <c r="I736">
        <v>0</v>
      </c>
      <c r="J736">
        <v>2624.46</v>
      </c>
      <c r="K736">
        <v>211</v>
      </c>
      <c r="L736" s="11" t="s">
        <v>528</v>
      </c>
      <c r="M736">
        <f t="shared" si="56"/>
        <v>21</v>
      </c>
      <c r="N736">
        <f t="shared" si="57"/>
        <v>8</v>
      </c>
      <c r="O736">
        <f t="shared" si="58"/>
        <v>2024</v>
      </c>
      <c r="P736" s="4">
        <f t="shared" si="59"/>
        <v>45525</v>
      </c>
      <c r="Q736" t="s">
        <v>1139</v>
      </c>
      <c r="R736" t="s">
        <v>1137</v>
      </c>
      <c r="S736">
        <v>2</v>
      </c>
      <c r="T736" t="s">
        <v>1142</v>
      </c>
      <c r="U736" s="11" t="str">
        <f t="shared" si="55"/>
        <v>09:33:02 PM</v>
      </c>
      <c r="BL736" s="2" t="s">
        <v>1886</v>
      </c>
    </row>
    <row r="737" spans="1:64" x14ac:dyDescent="0.35">
      <c r="A737">
        <v>8267</v>
      </c>
      <c r="B737" t="s">
        <v>31</v>
      </c>
      <c r="C737" s="1">
        <v>45202</v>
      </c>
      <c r="D737" t="s">
        <v>17</v>
      </c>
      <c r="E737" t="s">
        <v>29</v>
      </c>
      <c r="F737">
        <v>1</v>
      </c>
      <c r="G737">
        <v>1457.48</v>
      </c>
      <c r="H737">
        <v>1457.48</v>
      </c>
      <c r="I737">
        <v>146.08000000000001</v>
      </c>
      <c r="J737">
        <v>1311.4</v>
      </c>
      <c r="K737">
        <v>322</v>
      </c>
      <c r="L737" s="11" t="s">
        <v>529</v>
      </c>
      <c r="M737">
        <f t="shared" si="56"/>
        <v>3</v>
      </c>
      <c r="N737">
        <f t="shared" si="57"/>
        <v>10</v>
      </c>
      <c r="O737">
        <f t="shared" si="58"/>
        <v>2023</v>
      </c>
      <c r="P737" s="4">
        <f t="shared" si="59"/>
        <v>45202</v>
      </c>
      <c r="Q737" t="s">
        <v>1134</v>
      </c>
      <c r="R737" t="s">
        <v>1135</v>
      </c>
      <c r="S737">
        <v>1</v>
      </c>
      <c r="T737" t="s">
        <v>1146</v>
      </c>
      <c r="U737" s="11" t="str">
        <f t="shared" si="55"/>
        <v>05:38:01 AM</v>
      </c>
      <c r="BL737" s="2" t="s">
        <v>1887</v>
      </c>
    </row>
    <row r="738" spans="1:64" x14ac:dyDescent="0.35">
      <c r="A738">
        <v>2323</v>
      </c>
      <c r="B738" t="s">
        <v>19</v>
      </c>
      <c r="C738" s="1">
        <v>45395</v>
      </c>
      <c r="D738" t="s">
        <v>9</v>
      </c>
      <c r="E738" t="s">
        <v>10</v>
      </c>
      <c r="F738">
        <v>3</v>
      </c>
      <c r="G738">
        <v>1347.09</v>
      </c>
      <c r="H738">
        <v>4041.27</v>
      </c>
      <c r="I738">
        <v>808.42</v>
      </c>
      <c r="J738">
        <v>3232.85</v>
      </c>
      <c r="K738">
        <v>319</v>
      </c>
      <c r="L738" s="11" t="s">
        <v>530</v>
      </c>
      <c r="M738">
        <f t="shared" si="56"/>
        <v>13</v>
      </c>
      <c r="N738">
        <f t="shared" si="57"/>
        <v>4</v>
      </c>
      <c r="O738">
        <f t="shared" si="58"/>
        <v>2024</v>
      </c>
      <c r="P738" s="4">
        <f t="shared" si="59"/>
        <v>45395</v>
      </c>
      <c r="Q738" t="s">
        <v>1136</v>
      </c>
      <c r="R738" t="s">
        <v>1137</v>
      </c>
      <c r="S738">
        <v>2</v>
      </c>
      <c r="T738" t="s">
        <v>1144</v>
      </c>
      <c r="U738" s="11" t="str">
        <f t="shared" si="55"/>
        <v>06:26:05 PM</v>
      </c>
      <c r="BL738" s="2" t="s">
        <v>1888</v>
      </c>
    </row>
    <row r="739" spans="1:64" x14ac:dyDescent="0.35">
      <c r="A739">
        <v>3430</v>
      </c>
      <c r="B739" t="s">
        <v>15</v>
      </c>
      <c r="C739" s="1">
        <v>45196</v>
      </c>
      <c r="D739" t="s">
        <v>27</v>
      </c>
      <c r="E739" t="s">
        <v>37</v>
      </c>
      <c r="F739">
        <v>4</v>
      </c>
      <c r="G739">
        <v>2026.86</v>
      </c>
      <c r="H739">
        <v>8107.44</v>
      </c>
      <c r="I739">
        <v>0</v>
      </c>
      <c r="J739">
        <v>8107.44</v>
      </c>
      <c r="K739">
        <v>452</v>
      </c>
      <c r="L739" s="11" t="s">
        <v>531</v>
      </c>
      <c r="M739">
        <f t="shared" si="56"/>
        <v>27</v>
      </c>
      <c r="N739">
        <f t="shared" si="57"/>
        <v>9</v>
      </c>
      <c r="O739">
        <f t="shared" si="58"/>
        <v>2023</v>
      </c>
      <c r="P739" s="4">
        <f t="shared" si="59"/>
        <v>45196</v>
      </c>
      <c r="Q739" t="s">
        <v>1138</v>
      </c>
      <c r="R739" t="s">
        <v>1135</v>
      </c>
      <c r="S739">
        <v>2</v>
      </c>
      <c r="T739" t="s">
        <v>1141</v>
      </c>
      <c r="U739" s="11" t="str">
        <f t="shared" si="55"/>
        <v>10:07:14 AM</v>
      </c>
      <c r="BL739" s="2" t="s">
        <v>1889</v>
      </c>
    </row>
    <row r="740" spans="1:64" x14ac:dyDescent="0.35">
      <c r="A740">
        <v>3067</v>
      </c>
      <c r="B740" t="s">
        <v>19</v>
      </c>
      <c r="C740" s="1">
        <v>45358</v>
      </c>
      <c r="D740" t="s">
        <v>6</v>
      </c>
      <c r="E740" t="s">
        <v>28</v>
      </c>
      <c r="F740">
        <v>1</v>
      </c>
      <c r="G740">
        <v>140.27000000000001</v>
      </c>
      <c r="H740">
        <v>140.27000000000001</v>
      </c>
      <c r="I740">
        <v>0</v>
      </c>
      <c r="J740">
        <v>140.27000000000001</v>
      </c>
      <c r="K740">
        <v>320</v>
      </c>
      <c r="L740" s="11" t="s">
        <v>532</v>
      </c>
      <c r="M740">
        <f t="shared" si="56"/>
        <v>7</v>
      </c>
      <c r="N740">
        <f t="shared" si="57"/>
        <v>3</v>
      </c>
      <c r="O740">
        <f t="shared" si="58"/>
        <v>2024</v>
      </c>
      <c r="P740" s="4">
        <f t="shared" si="59"/>
        <v>45358</v>
      </c>
      <c r="Q740" t="s">
        <v>1138</v>
      </c>
      <c r="R740" t="s">
        <v>1135</v>
      </c>
      <c r="S740">
        <v>4</v>
      </c>
      <c r="T740" t="s">
        <v>1144</v>
      </c>
      <c r="U740" s="11" t="str">
        <f t="shared" si="55"/>
        <v>07:38:48 PM</v>
      </c>
      <c r="BL740" s="2" t="s">
        <v>1890</v>
      </c>
    </row>
    <row r="741" spans="1:64" x14ac:dyDescent="0.35">
      <c r="A741">
        <v>9984</v>
      </c>
      <c r="B741" t="s">
        <v>31</v>
      </c>
      <c r="C741" s="1">
        <v>45698</v>
      </c>
      <c r="D741" t="s">
        <v>17</v>
      </c>
      <c r="E741" t="s">
        <v>5</v>
      </c>
      <c r="F741">
        <v>4</v>
      </c>
      <c r="G741">
        <v>191.73</v>
      </c>
      <c r="H741">
        <v>766.92</v>
      </c>
      <c r="I741">
        <v>295.48</v>
      </c>
      <c r="J741">
        <v>471.44</v>
      </c>
      <c r="K741">
        <v>179</v>
      </c>
      <c r="L741" s="11" t="s">
        <v>533</v>
      </c>
      <c r="M741">
        <f t="shared" si="56"/>
        <v>10</v>
      </c>
      <c r="N741">
        <f t="shared" si="57"/>
        <v>2</v>
      </c>
      <c r="O741">
        <f t="shared" si="58"/>
        <v>2025</v>
      </c>
      <c r="P741" s="4">
        <f t="shared" si="59"/>
        <v>45698</v>
      </c>
      <c r="Q741" t="s">
        <v>1136</v>
      </c>
      <c r="R741" t="s">
        <v>1137</v>
      </c>
      <c r="S741">
        <v>4</v>
      </c>
      <c r="T741" t="s">
        <v>1148</v>
      </c>
      <c r="U741" s="11" t="str">
        <f t="shared" si="55"/>
        <v>10:55:44 PM</v>
      </c>
      <c r="BL741" s="2" t="s">
        <v>1891</v>
      </c>
    </row>
    <row r="742" spans="1:64" x14ac:dyDescent="0.35">
      <c r="A742">
        <v>6327</v>
      </c>
      <c r="B742" t="s">
        <v>13</v>
      </c>
      <c r="C742" s="1">
        <v>45440</v>
      </c>
      <c r="D742" t="s">
        <v>24</v>
      </c>
      <c r="E742" t="s">
        <v>32</v>
      </c>
      <c r="F742">
        <v>3</v>
      </c>
      <c r="G742">
        <v>805.1</v>
      </c>
      <c r="H742">
        <v>2415.3000000000002</v>
      </c>
      <c r="I742">
        <v>121.18</v>
      </c>
      <c r="J742">
        <v>2294.12</v>
      </c>
      <c r="K742">
        <v>281</v>
      </c>
      <c r="L742" s="11" t="s">
        <v>534</v>
      </c>
      <c r="M742">
        <f t="shared" si="56"/>
        <v>28</v>
      </c>
      <c r="N742">
        <f t="shared" si="57"/>
        <v>5</v>
      </c>
      <c r="O742">
        <f t="shared" si="58"/>
        <v>2024</v>
      </c>
      <c r="P742" s="4">
        <f t="shared" si="59"/>
        <v>45440</v>
      </c>
      <c r="Q742" t="s">
        <v>1134</v>
      </c>
      <c r="R742" t="s">
        <v>1137</v>
      </c>
      <c r="S742">
        <v>2</v>
      </c>
      <c r="T742" t="s">
        <v>1149</v>
      </c>
      <c r="U742" s="11" t="str">
        <f t="shared" si="55"/>
        <v>06:02:55 PM</v>
      </c>
      <c r="BL742" s="2" t="s">
        <v>1892</v>
      </c>
    </row>
    <row r="743" spans="1:64" x14ac:dyDescent="0.35">
      <c r="A743">
        <v>9692</v>
      </c>
      <c r="B743" t="s">
        <v>25</v>
      </c>
      <c r="C743" s="1">
        <v>45374</v>
      </c>
      <c r="D743" t="s">
        <v>11</v>
      </c>
      <c r="E743" t="s">
        <v>21</v>
      </c>
      <c r="F743">
        <v>5</v>
      </c>
      <c r="G743">
        <v>1564.55</v>
      </c>
      <c r="H743">
        <v>7822.75</v>
      </c>
      <c r="I743">
        <v>1564.55</v>
      </c>
      <c r="J743">
        <v>6258.2</v>
      </c>
      <c r="K743">
        <v>14</v>
      </c>
      <c r="L743" s="11" t="s">
        <v>535</v>
      </c>
      <c r="M743">
        <f t="shared" si="56"/>
        <v>23</v>
      </c>
      <c r="N743">
        <f t="shared" si="57"/>
        <v>3</v>
      </c>
      <c r="O743">
        <f t="shared" si="58"/>
        <v>2024</v>
      </c>
      <c r="P743" s="4">
        <f t="shared" si="59"/>
        <v>45374</v>
      </c>
      <c r="Q743" t="s">
        <v>1139</v>
      </c>
      <c r="R743" t="s">
        <v>1135</v>
      </c>
      <c r="S743">
        <v>2</v>
      </c>
      <c r="T743" t="s">
        <v>1146</v>
      </c>
      <c r="U743" s="11" t="str">
        <f t="shared" si="55"/>
        <v>12:15:15 PM</v>
      </c>
      <c r="BL743" s="2" t="s">
        <v>1893</v>
      </c>
    </row>
    <row r="744" spans="1:64" x14ac:dyDescent="0.35">
      <c r="A744">
        <v>8433</v>
      </c>
      <c r="B744" t="s">
        <v>25</v>
      </c>
      <c r="C744" s="1">
        <v>45537</v>
      </c>
      <c r="D744" t="s">
        <v>11</v>
      </c>
      <c r="E744" t="s">
        <v>37</v>
      </c>
      <c r="F744">
        <v>4</v>
      </c>
      <c r="G744">
        <v>2001.13</v>
      </c>
      <c r="H744">
        <v>8004.52</v>
      </c>
      <c r="I744">
        <v>800.12</v>
      </c>
      <c r="J744">
        <v>7204.4</v>
      </c>
      <c r="K744">
        <v>330</v>
      </c>
      <c r="L744" s="11" t="s">
        <v>536</v>
      </c>
      <c r="M744">
        <f t="shared" si="56"/>
        <v>2</v>
      </c>
      <c r="N744">
        <f t="shared" si="57"/>
        <v>9</v>
      </c>
      <c r="O744">
        <f t="shared" si="58"/>
        <v>2024</v>
      </c>
      <c r="P744" s="4">
        <f t="shared" si="59"/>
        <v>45537</v>
      </c>
      <c r="Q744" t="s">
        <v>1139</v>
      </c>
      <c r="R744" t="s">
        <v>1137</v>
      </c>
      <c r="S744">
        <v>2</v>
      </c>
      <c r="T744" t="s">
        <v>1144</v>
      </c>
      <c r="U744" s="11" t="str">
        <f t="shared" si="55"/>
        <v>10:10:24 AM</v>
      </c>
      <c r="BL744" s="2" t="s">
        <v>1894</v>
      </c>
    </row>
    <row r="745" spans="1:64" x14ac:dyDescent="0.35">
      <c r="A745">
        <v>8048</v>
      </c>
      <c r="B745" t="s">
        <v>8</v>
      </c>
      <c r="C745" s="1">
        <v>45222</v>
      </c>
      <c r="D745" t="s">
        <v>16</v>
      </c>
      <c r="E745" t="s">
        <v>22</v>
      </c>
      <c r="F745">
        <v>5</v>
      </c>
      <c r="G745">
        <v>2238.5100000000002</v>
      </c>
      <c r="H745">
        <v>11192.55</v>
      </c>
      <c r="I745">
        <v>0</v>
      </c>
      <c r="J745">
        <v>11192.55</v>
      </c>
      <c r="K745">
        <v>236</v>
      </c>
      <c r="L745" s="11" t="s">
        <v>537</v>
      </c>
      <c r="M745">
        <f t="shared" si="56"/>
        <v>23</v>
      </c>
      <c r="N745">
        <f t="shared" si="57"/>
        <v>10</v>
      </c>
      <c r="O745">
        <f t="shared" si="58"/>
        <v>2023</v>
      </c>
      <c r="P745" s="4">
        <f t="shared" si="59"/>
        <v>45222</v>
      </c>
      <c r="Q745" t="s">
        <v>1138</v>
      </c>
      <c r="R745" t="s">
        <v>1135</v>
      </c>
      <c r="S745">
        <v>5</v>
      </c>
      <c r="T745" t="s">
        <v>1149</v>
      </c>
      <c r="U745" s="11" t="str">
        <f t="shared" si="55"/>
        <v>09:26:39 AM</v>
      </c>
      <c r="BL745" s="2" t="s">
        <v>1895</v>
      </c>
    </row>
    <row r="746" spans="1:64" x14ac:dyDescent="0.35">
      <c r="A746">
        <v>2874</v>
      </c>
      <c r="B746" t="s">
        <v>20</v>
      </c>
      <c r="C746" s="1">
        <v>45807</v>
      </c>
      <c r="D746" t="s">
        <v>27</v>
      </c>
      <c r="E746" t="s">
        <v>26</v>
      </c>
      <c r="F746">
        <v>5</v>
      </c>
      <c r="G746">
        <v>1826.83</v>
      </c>
      <c r="H746">
        <v>9134.15</v>
      </c>
      <c r="I746">
        <v>1826.83</v>
      </c>
      <c r="J746">
        <v>7307.32</v>
      </c>
      <c r="K746">
        <v>161</v>
      </c>
      <c r="L746" s="11" t="s">
        <v>538</v>
      </c>
      <c r="M746">
        <f t="shared" si="56"/>
        <v>30</v>
      </c>
      <c r="N746">
        <f t="shared" si="57"/>
        <v>5</v>
      </c>
      <c r="O746">
        <f t="shared" si="58"/>
        <v>2025</v>
      </c>
      <c r="P746" s="4">
        <f t="shared" si="59"/>
        <v>45807</v>
      </c>
      <c r="Q746" t="s">
        <v>1134</v>
      </c>
      <c r="R746" t="s">
        <v>1135</v>
      </c>
      <c r="S746">
        <v>4</v>
      </c>
      <c r="T746" t="s">
        <v>1149</v>
      </c>
      <c r="U746" s="11" t="str">
        <f t="shared" ref="U746:U809" si="60">TEXT(L746,"hh:mm:ss AM/PM")</f>
        <v>08:28:29 AM</v>
      </c>
      <c r="BL746" s="2" t="s">
        <v>1896</v>
      </c>
    </row>
    <row r="747" spans="1:64" x14ac:dyDescent="0.35">
      <c r="A747">
        <v>4522</v>
      </c>
      <c r="B747" t="s">
        <v>25</v>
      </c>
      <c r="C747" s="1">
        <v>45479</v>
      </c>
      <c r="D747" t="s">
        <v>11</v>
      </c>
      <c r="E747" t="s">
        <v>32</v>
      </c>
      <c r="F747">
        <v>2</v>
      </c>
      <c r="G747">
        <v>756.96</v>
      </c>
      <c r="H747">
        <v>1513.92</v>
      </c>
      <c r="I747">
        <v>151.06</v>
      </c>
      <c r="J747">
        <v>1362.86</v>
      </c>
      <c r="K747">
        <v>15</v>
      </c>
      <c r="L747" s="11" t="s">
        <v>539</v>
      </c>
      <c r="M747">
        <f t="shared" si="56"/>
        <v>6</v>
      </c>
      <c r="N747">
        <f t="shared" si="57"/>
        <v>7</v>
      </c>
      <c r="O747">
        <f t="shared" si="58"/>
        <v>2024</v>
      </c>
      <c r="P747" s="4">
        <f t="shared" si="59"/>
        <v>45479</v>
      </c>
      <c r="Q747" t="s">
        <v>1139</v>
      </c>
      <c r="R747" t="s">
        <v>1137</v>
      </c>
      <c r="S747">
        <v>2</v>
      </c>
      <c r="T747" t="s">
        <v>1149</v>
      </c>
      <c r="U747" s="11" t="str">
        <f t="shared" si="60"/>
        <v>02:20:15 AM</v>
      </c>
      <c r="BL747" s="2" t="s">
        <v>1897</v>
      </c>
    </row>
    <row r="748" spans="1:64" x14ac:dyDescent="0.35">
      <c r="A748">
        <v>8398</v>
      </c>
      <c r="B748" t="s">
        <v>3</v>
      </c>
      <c r="C748" s="1">
        <v>45834</v>
      </c>
      <c r="D748" t="s">
        <v>23</v>
      </c>
      <c r="E748" t="s">
        <v>21</v>
      </c>
      <c r="F748">
        <v>2</v>
      </c>
      <c r="G748">
        <v>1514.75</v>
      </c>
      <c r="H748">
        <v>3029.5</v>
      </c>
      <c r="I748">
        <v>0</v>
      </c>
      <c r="J748">
        <v>3029.5</v>
      </c>
      <c r="K748">
        <v>442</v>
      </c>
      <c r="L748" s="11" t="s">
        <v>540</v>
      </c>
      <c r="M748">
        <f t="shared" si="56"/>
        <v>26</v>
      </c>
      <c r="N748">
        <f t="shared" si="57"/>
        <v>6</v>
      </c>
      <c r="O748">
        <f t="shared" si="58"/>
        <v>2025</v>
      </c>
      <c r="P748" s="4">
        <f t="shared" si="59"/>
        <v>45834</v>
      </c>
      <c r="Q748" t="s">
        <v>1134</v>
      </c>
      <c r="R748" t="s">
        <v>1137</v>
      </c>
      <c r="S748">
        <v>3</v>
      </c>
      <c r="T748" t="s">
        <v>1142</v>
      </c>
      <c r="U748" s="11" t="str">
        <f t="shared" si="60"/>
        <v>06:33:39 AM</v>
      </c>
      <c r="BL748" s="2" t="s">
        <v>1898</v>
      </c>
    </row>
    <row r="749" spans="1:64" x14ac:dyDescent="0.35">
      <c r="A749">
        <v>4743</v>
      </c>
      <c r="B749" t="s">
        <v>25</v>
      </c>
      <c r="C749" s="1">
        <v>45466</v>
      </c>
      <c r="D749" t="s">
        <v>1</v>
      </c>
      <c r="E749" t="s">
        <v>2</v>
      </c>
      <c r="F749">
        <v>4</v>
      </c>
      <c r="G749">
        <v>291.33</v>
      </c>
      <c r="H749">
        <v>1165.32</v>
      </c>
      <c r="I749">
        <v>175.13</v>
      </c>
      <c r="J749">
        <v>990.19</v>
      </c>
      <c r="K749">
        <v>449</v>
      </c>
      <c r="L749" s="11" t="s">
        <v>541</v>
      </c>
      <c r="M749">
        <f t="shared" si="56"/>
        <v>23</v>
      </c>
      <c r="N749">
        <f t="shared" si="57"/>
        <v>6</v>
      </c>
      <c r="O749">
        <f t="shared" si="58"/>
        <v>2024</v>
      </c>
      <c r="P749" s="4">
        <f t="shared" si="59"/>
        <v>45466</v>
      </c>
      <c r="Q749" t="s">
        <v>1134</v>
      </c>
      <c r="R749" t="s">
        <v>1135</v>
      </c>
      <c r="S749">
        <v>3</v>
      </c>
      <c r="T749" t="s">
        <v>1141</v>
      </c>
      <c r="U749" s="11" t="str">
        <f t="shared" si="60"/>
        <v>01:48:54 PM</v>
      </c>
      <c r="BL749" s="2" t="s">
        <v>1899</v>
      </c>
    </row>
    <row r="750" spans="1:64" x14ac:dyDescent="0.35">
      <c r="A750">
        <v>6553</v>
      </c>
      <c r="B750" t="s">
        <v>15</v>
      </c>
      <c r="C750" s="1">
        <v>45787</v>
      </c>
      <c r="D750" t="s">
        <v>24</v>
      </c>
      <c r="E750" t="s">
        <v>33</v>
      </c>
      <c r="F750">
        <v>5</v>
      </c>
      <c r="G750">
        <v>810.08</v>
      </c>
      <c r="H750">
        <v>4050.4</v>
      </c>
      <c r="I750">
        <v>341.13</v>
      </c>
      <c r="J750">
        <v>3709.27</v>
      </c>
      <c r="K750">
        <v>57</v>
      </c>
      <c r="L750" s="11" t="s">
        <v>542</v>
      </c>
      <c r="M750">
        <f t="shared" si="56"/>
        <v>10</v>
      </c>
      <c r="N750">
        <f t="shared" si="57"/>
        <v>5</v>
      </c>
      <c r="O750">
        <f t="shared" si="58"/>
        <v>2025</v>
      </c>
      <c r="P750" s="4">
        <f t="shared" si="59"/>
        <v>45787</v>
      </c>
      <c r="Q750" t="s">
        <v>1138</v>
      </c>
      <c r="R750" t="s">
        <v>1135</v>
      </c>
      <c r="S750">
        <v>5</v>
      </c>
      <c r="T750" t="s">
        <v>1143</v>
      </c>
      <c r="U750" s="11" t="str">
        <f t="shared" si="60"/>
        <v>02:00:13 AM</v>
      </c>
      <c r="BL750" s="2" t="s">
        <v>1900</v>
      </c>
    </row>
    <row r="751" spans="1:64" x14ac:dyDescent="0.35">
      <c r="A751">
        <v>8430</v>
      </c>
      <c r="B751" t="s">
        <v>0</v>
      </c>
      <c r="C751" s="1">
        <v>45454</v>
      </c>
      <c r="D751" t="s">
        <v>34</v>
      </c>
      <c r="E751" t="s">
        <v>36</v>
      </c>
      <c r="F751">
        <v>1</v>
      </c>
      <c r="G751">
        <v>2005.28</v>
      </c>
      <c r="H751">
        <v>2005.28</v>
      </c>
      <c r="I751">
        <v>400.89</v>
      </c>
      <c r="J751">
        <v>1604.39</v>
      </c>
      <c r="K751">
        <v>463</v>
      </c>
      <c r="L751" s="11" t="s">
        <v>543</v>
      </c>
      <c r="M751">
        <f t="shared" si="56"/>
        <v>11</v>
      </c>
      <c r="N751">
        <f t="shared" si="57"/>
        <v>6</v>
      </c>
      <c r="O751">
        <f t="shared" si="58"/>
        <v>2024</v>
      </c>
      <c r="P751" s="4">
        <f t="shared" si="59"/>
        <v>45454</v>
      </c>
      <c r="Q751" t="s">
        <v>1139</v>
      </c>
      <c r="R751" t="s">
        <v>1135</v>
      </c>
      <c r="S751">
        <v>5</v>
      </c>
      <c r="T751" t="s">
        <v>1144</v>
      </c>
      <c r="U751" s="11" t="str">
        <f t="shared" si="60"/>
        <v>09:13:00 PM</v>
      </c>
      <c r="BL751" s="2" t="s">
        <v>1901</v>
      </c>
    </row>
    <row r="752" spans="1:64" x14ac:dyDescent="0.35">
      <c r="A752">
        <v>7815</v>
      </c>
      <c r="B752" t="s">
        <v>25</v>
      </c>
      <c r="C752" s="1">
        <v>45711</v>
      </c>
      <c r="D752" t="s">
        <v>34</v>
      </c>
      <c r="E752" t="s">
        <v>36</v>
      </c>
      <c r="F752">
        <v>3</v>
      </c>
      <c r="G752">
        <v>1948.84</v>
      </c>
      <c r="H752">
        <v>5846.52</v>
      </c>
      <c r="I752">
        <v>307.93</v>
      </c>
      <c r="J752">
        <v>5538.59</v>
      </c>
      <c r="K752">
        <v>73</v>
      </c>
      <c r="L752" s="11" t="s">
        <v>544</v>
      </c>
      <c r="M752">
        <f t="shared" si="56"/>
        <v>23</v>
      </c>
      <c r="N752">
        <f t="shared" si="57"/>
        <v>2</v>
      </c>
      <c r="O752">
        <f t="shared" si="58"/>
        <v>2025</v>
      </c>
      <c r="P752" s="4">
        <f t="shared" si="59"/>
        <v>45711</v>
      </c>
      <c r="Q752" t="s">
        <v>1136</v>
      </c>
      <c r="R752" t="s">
        <v>1135</v>
      </c>
      <c r="S752">
        <v>1</v>
      </c>
      <c r="T752" t="s">
        <v>1148</v>
      </c>
      <c r="U752" s="11" t="str">
        <f t="shared" si="60"/>
        <v>07:16:28 PM</v>
      </c>
      <c r="BL752" s="2" t="s">
        <v>1902</v>
      </c>
    </row>
    <row r="753" spans="1:64" x14ac:dyDescent="0.35">
      <c r="A753">
        <v>2557</v>
      </c>
      <c r="B753" t="s">
        <v>8</v>
      </c>
      <c r="C753" s="1">
        <v>45387</v>
      </c>
      <c r="D753" t="s">
        <v>6</v>
      </c>
      <c r="E753" t="s">
        <v>29</v>
      </c>
      <c r="F753">
        <v>4</v>
      </c>
      <c r="G753">
        <v>1015.09</v>
      </c>
      <c r="H753">
        <v>4060.36</v>
      </c>
      <c r="I753">
        <v>185.92</v>
      </c>
      <c r="J753">
        <v>3874.44</v>
      </c>
      <c r="K753">
        <v>442</v>
      </c>
      <c r="L753" s="11" t="s">
        <v>545</v>
      </c>
      <c r="M753">
        <f t="shared" si="56"/>
        <v>5</v>
      </c>
      <c r="N753">
        <f t="shared" si="57"/>
        <v>4</v>
      </c>
      <c r="O753">
        <f t="shared" si="58"/>
        <v>2024</v>
      </c>
      <c r="P753" s="4">
        <f t="shared" si="59"/>
        <v>45387</v>
      </c>
      <c r="Q753" t="s">
        <v>1138</v>
      </c>
      <c r="R753" t="s">
        <v>1137</v>
      </c>
      <c r="S753">
        <v>1</v>
      </c>
      <c r="T753" t="s">
        <v>1144</v>
      </c>
      <c r="U753" s="11" t="str">
        <f t="shared" si="60"/>
        <v>10:33:43 AM</v>
      </c>
      <c r="BL753" s="2" t="s">
        <v>1903</v>
      </c>
    </row>
    <row r="754" spans="1:64" x14ac:dyDescent="0.35">
      <c r="A754">
        <v>7992</v>
      </c>
      <c r="B754" t="s">
        <v>20</v>
      </c>
      <c r="C754" s="1">
        <v>45387</v>
      </c>
      <c r="D754" t="s">
        <v>16</v>
      </c>
      <c r="E754" t="s">
        <v>32</v>
      </c>
      <c r="F754">
        <v>3</v>
      </c>
      <c r="G754">
        <v>1205.99</v>
      </c>
      <c r="H754">
        <v>3617.97</v>
      </c>
      <c r="I754">
        <v>336.98</v>
      </c>
      <c r="J754">
        <v>3280.99</v>
      </c>
      <c r="K754">
        <v>23</v>
      </c>
      <c r="L754" s="11" t="s">
        <v>546</v>
      </c>
      <c r="M754">
        <f t="shared" si="56"/>
        <v>5</v>
      </c>
      <c r="N754">
        <f t="shared" si="57"/>
        <v>4</v>
      </c>
      <c r="O754">
        <f t="shared" si="58"/>
        <v>2024</v>
      </c>
      <c r="P754" s="4">
        <f t="shared" si="59"/>
        <v>45387</v>
      </c>
      <c r="Q754" t="s">
        <v>1139</v>
      </c>
      <c r="R754" t="s">
        <v>1137</v>
      </c>
      <c r="S754">
        <v>1</v>
      </c>
      <c r="T754" t="s">
        <v>1143</v>
      </c>
      <c r="U754" s="11" t="str">
        <f t="shared" si="60"/>
        <v>01:15:45 AM</v>
      </c>
      <c r="BL754" s="2" t="s">
        <v>1904</v>
      </c>
    </row>
    <row r="755" spans="1:64" x14ac:dyDescent="0.35">
      <c r="A755">
        <v>5176</v>
      </c>
      <c r="B755" t="s">
        <v>19</v>
      </c>
      <c r="C755" s="1">
        <v>45435</v>
      </c>
      <c r="D755" t="s">
        <v>1</v>
      </c>
      <c r="E755" t="s">
        <v>26</v>
      </c>
      <c r="F755">
        <v>2</v>
      </c>
      <c r="G755">
        <v>854.9</v>
      </c>
      <c r="H755">
        <v>1709.8</v>
      </c>
      <c r="I755">
        <v>256.47000000000003</v>
      </c>
      <c r="J755">
        <v>1453.33</v>
      </c>
      <c r="K755">
        <v>98</v>
      </c>
      <c r="L755" s="11" t="s">
        <v>547</v>
      </c>
      <c r="M755">
        <f t="shared" si="56"/>
        <v>23</v>
      </c>
      <c r="N755">
        <f t="shared" si="57"/>
        <v>5</v>
      </c>
      <c r="O755">
        <f t="shared" si="58"/>
        <v>2024</v>
      </c>
      <c r="P755" s="4">
        <f t="shared" si="59"/>
        <v>45435</v>
      </c>
      <c r="Q755" t="s">
        <v>1139</v>
      </c>
      <c r="R755" t="s">
        <v>1137</v>
      </c>
      <c r="S755">
        <v>5</v>
      </c>
      <c r="T755" t="s">
        <v>1147</v>
      </c>
      <c r="U755" s="11" t="str">
        <f t="shared" si="60"/>
        <v>10:32:13 PM</v>
      </c>
      <c r="BL755" s="2" t="s">
        <v>1905</v>
      </c>
    </row>
    <row r="756" spans="1:64" x14ac:dyDescent="0.35">
      <c r="A756">
        <v>3500</v>
      </c>
      <c r="B756" t="s">
        <v>3</v>
      </c>
      <c r="C756" s="1">
        <v>45678</v>
      </c>
      <c r="D756" t="s">
        <v>11</v>
      </c>
      <c r="E756" t="s">
        <v>22</v>
      </c>
      <c r="F756">
        <v>1</v>
      </c>
      <c r="G756">
        <v>738.7</v>
      </c>
      <c r="H756">
        <v>738.7</v>
      </c>
      <c r="I756">
        <v>87.98</v>
      </c>
      <c r="J756">
        <v>650.72</v>
      </c>
      <c r="K756">
        <v>80</v>
      </c>
      <c r="L756" s="11" t="s">
        <v>548</v>
      </c>
      <c r="M756">
        <f t="shared" si="56"/>
        <v>21</v>
      </c>
      <c r="N756">
        <f t="shared" si="57"/>
        <v>1</v>
      </c>
      <c r="O756">
        <f t="shared" si="58"/>
        <v>2025</v>
      </c>
      <c r="P756" s="4">
        <f t="shared" si="59"/>
        <v>45678</v>
      </c>
      <c r="Q756" t="s">
        <v>1139</v>
      </c>
      <c r="R756" t="s">
        <v>1137</v>
      </c>
      <c r="S756">
        <v>5</v>
      </c>
      <c r="T756" t="s">
        <v>1150</v>
      </c>
      <c r="U756" s="11" t="str">
        <f t="shared" si="60"/>
        <v>07:38:08 AM</v>
      </c>
      <c r="BL756" s="2" t="s">
        <v>1906</v>
      </c>
    </row>
    <row r="757" spans="1:64" x14ac:dyDescent="0.35">
      <c r="A757">
        <v>8770</v>
      </c>
      <c r="B757" t="s">
        <v>3</v>
      </c>
      <c r="C757" s="1">
        <v>45197</v>
      </c>
      <c r="D757" t="s">
        <v>27</v>
      </c>
      <c r="E757" t="s">
        <v>38</v>
      </c>
      <c r="F757">
        <v>2</v>
      </c>
      <c r="G757">
        <v>1387.76</v>
      </c>
      <c r="H757">
        <v>2775.52</v>
      </c>
      <c r="I757">
        <v>416.66</v>
      </c>
      <c r="J757">
        <v>2358.86</v>
      </c>
      <c r="K757">
        <v>281</v>
      </c>
      <c r="L757" s="11" t="s">
        <v>549</v>
      </c>
      <c r="M757">
        <f t="shared" si="56"/>
        <v>28</v>
      </c>
      <c r="N757">
        <f t="shared" si="57"/>
        <v>9</v>
      </c>
      <c r="O757">
        <f t="shared" si="58"/>
        <v>2023</v>
      </c>
      <c r="P757" s="4">
        <f t="shared" si="59"/>
        <v>45197</v>
      </c>
      <c r="Q757" t="s">
        <v>1139</v>
      </c>
      <c r="R757" t="s">
        <v>1137</v>
      </c>
      <c r="S757">
        <v>5</v>
      </c>
      <c r="T757" t="s">
        <v>1149</v>
      </c>
      <c r="U757" s="11" t="str">
        <f t="shared" si="60"/>
        <v>07:25:03 PM</v>
      </c>
      <c r="BL757" s="2" t="s">
        <v>1907</v>
      </c>
    </row>
    <row r="758" spans="1:64" x14ac:dyDescent="0.35">
      <c r="A758">
        <v>2494</v>
      </c>
      <c r="B758" t="s">
        <v>8</v>
      </c>
      <c r="C758" s="1">
        <v>45791</v>
      </c>
      <c r="D758" t="s">
        <v>24</v>
      </c>
      <c r="E758" t="s">
        <v>14</v>
      </c>
      <c r="F758">
        <v>2</v>
      </c>
      <c r="G758">
        <v>253.98</v>
      </c>
      <c r="H758">
        <v>507.96</v>
      </c>
      <c r="I758">
        <v>229.91</v>
      </c>
      <c r="J758">
        <v>278.05</v>
      </c>
      <c r="K758">
        <v>313</v>
      </c>
      <c r="L758" s="11" t="s">
        <v>550</v>
      </c>
      <c r="M758">
        <f t="shared" si="56"/>
        <v>14</v>
      </c>
      <c r="N758">
        <f t="shared" si="57"/>
        <v>5</v>
      </c>
      <c r="O758">
        <f t="shared" si="58"/>
        <v>2025</v>
      </c>
      <c r="P758" s="4">
        <f t="shared" si="59"/>
        <v>45791</v>
      </c>
      <c r="Q758" t="s">
        <v>1139</v>
      </c>
      <c r="R758" t="s">
        <v>1135</v>
      </c>
      <c r="S758">
        <v>3</v>
      </c>
      <c r="T758" t="s">
        <v>1146</v>
      </c>
      <c r="U758" s="11" t="str">
        <f t="shared" si="60"/>
        <v>02:49:25 AM</v>
      </c>
      <c r="BL758" s="2" t="s">
        <v>1908</v>
      </c>
    </row>
    <row r="759" spans="1:64" x14ac:dyDescent="0.35">
      <c r="A759">
        <v>2398</v>
      </c>
      <c r="B759" t="s">
        <v>8</v>
      </c>
      <c r="C759" s="1">
        <v>45217</v>
      </c>
      <c r="D759" t="s">
        <v>1</v>
      </c>
      <c r="E759" t="s">
        <v>37</v>
      </c>
      <c r="F759">
        <v>1</v>
      </c>
      <c r="G759">
        <v>336.98</v>
      </c>
      <c r="H759">
        <v>336.98</v>
      </c>
      <c r="I759">
        <v>34.03</v>
      </c>
      <c r="J759">
        <v>302.95</v>
      </c>
      <c r="K759">
        <v>27</v>
      </c>
      <c r="L759" s="11" t="s">
        <v>551</v>
      </c>
      <c r="M759">
        <f t="shared" si="56"/>
        <v>18</v>
      </c>
      <c r="N759">
        <f t="shared" si="57"/>
        <v>10</v>
      </c>
      <c r="O759">
        <f t="shared" si="58"/>
        <v>2023</v>
      </c>
      <c r="P759" s="4">
        <f t="shared" si="59"/>
        <v>45217</v>
      </c>
      <c r="Q759" t="s">
        <v>1134</v>
      </c>
      <c r="R759" t="s">
        <v>1137</v>
      </c>
      <c r="S759">
        <v>5</v>
      </c>
      <c r="T759" t="s">
        <v>1146</v>
      </c>
      <c r="U759" s="11" t="str">
        <f t="shared" si="60"/>
        <v>11:55:23 AM</v>
      </c>
      <c r="BL759" s="2" t="s">
        <v>1909</v>
      </c>
    </row>
    <row r="760" spans="1:64" x14ac:dyDescent="0.35">
      <c r="A760">
        <v>8075</v>
      </c>
      <c r="B760" t="s">
        <v>13</v>
      </c>
      <c r="C760" s="1">
        <v>45220</v>
      </c>
      <c r="D760" t="s">
        <v>23</v>
      </c>
      <c r="E760" t="s">
        <v>22</v>
      </c>
      <c r="F760">
        <v>5</v>
      </c>
      <c r="G760">
        <v>937.9</v>
      </c>
      <c r="H760">
        <v>4689.5</v>
      </c>
      <c r="I760">
        <v>0</v>
      </c>
      <c r="J760">
        <v>4689.5</v>
      </c>
      <c r="K760">
        <v>170</v>
      </c>
      <c r="L760" s="11" t="s">
        <v>552</v>
      </c>
      <c r="M760">
        <f t="shared" si="56"/>
        <v>21</v>
      </c>
      <c r="N760">
        <f t="shared" si="57"/>
        <v>10</v>
      </c>
      <c r="O760">
        <f t="shared" si="58"/>
        <v>2023</v>
      </c>
      <c r="P760" s="4">
        <f t="shared" si="59"/>
        <v>45220</v>
      </c>
      <c r="Q760" t="s">
        <v>1138</v>
      </c>
      <c r="R760" t="s">
        <v>1137</v>
      </c>
      <c r="S760">
        <v>3</v>
      </c>
      <c r="T760" t="s">
        <v>1150</v>
      </c>
      <c r="U760" s="11" t="str">
        <f t="shared" si="60"/>
        <v>09:41:00 PM</v>
      </c>
      <c r="BL760" s="2" t="s">
        <v>1910</v>
      </c>
    </row>
    <row r="761" spans="1:64" x14ac:dyDescent="0.35">
      <c r="A761">
        <v>7105</v>
      </c>
      <c r="B761" t="s">
        <v>3</v>
      </c>
      <c r="C761" s="1">
        <v>45775</v>
      </c>
      <c r="D761" t="s">
        <v>4</v>
      </c>
      <c r="E761" t="s">
        <v>22</v>
      </c>
      <c r="F761">
        <v>5</v>
      </c>
      <c r="G761">
        <v>399.23</v>
      </c>
      <c r="H761">
        <v>1996.15</v>
      </c>
      <c r="I761">
        <v>234.06</v>
      </c>
      <c r="J761">
        <v>1762.09</v>
      </c>
      <c r="K761">
        <v>416</v>
      </c>
      <c r="L761" s="11" t="s">
        <v>553</v>
      </c>
      <c r="M761">
        <f t="shared" si="56"/>
        <v>28</v>
      </c>
      <c r="N761">
        <f t="shared" si="57"/>
        <v>4</v>
      </c>
      <c r="O761">
        <f t="shared" si="58"/>
        <v>2025</v>
      </c>
      <c r="P761" s="4">
        <f t="shared" si="59"/>
        <v>45775</v>
      </c>
      <c r="Q761" t="s">
        <v>1134</v>
      </c>
      <c r="R761" t="s">
        <v>1137</v>
      </c>
      <c r="S761">
        <v>1</v>
      </c>
      <c r="T761" t="s">
        <v>1148</v>
      </c>
      <c r="U761" s="11" t="str">
        <f t="shared" si="60"/>
        <v>09:57:53 PM</v>
      </c>
      <c r="BL761" s="2" t="s">
        <v>1911</v>
      </c>
    </row>
    <row r="762" spans="1:64" x14ac:dyDescent="0.35">
      <c r="A762">
        <v>3131</v>
      </c>
      <c r="B762" t="s">
        <v>15</v>
      </c>
      <c r="C762" s="1">
        <v>45577</v>
      </c>
      <c r="D762" t="s">
        <v>34</v>
      </c>
      <c r="E762" t="s">
        <v>14</v>
      </c>
      <c r="F762">
        <v>2</v>
      </c>
      <c r="G762">
        <v>428.28</v>
      </c>
      <c r="H762">
        <v>856.56</v>
      </c>
      <c r="I762">
        <v>128.65</v>
      </c>
      <c r="J762">
        <v>727.91</v>
      </c>
      <c r="K762">
        <v>458</v>
      </c>
      <c r="L762" s="11" t="s">
        <v>554</v>
      </c>
      <c r="M762">
        <f t="shared" si="56"/>
        <v>12</v>
      </c>
      <c r="N762">
        <f t="shared" si="57"/>
        <v>10</v>
      </c>
      <c r="O762">
        <f t="shared" si="58"/>
        <v>2024</v>
      </c>
      <c r="P762" s="4">
        <f t="shared" si="59"/>
        <v>45577</v>
      </c>
      <c r="Q762" t="s">
        <v>1136</v>
      </c>
      <c r="R762" t="s">
        <v>1137</v>
      </c>
      <c r="S762">
        <v>1</v>
      </c>
      <c r="T762" t="s">
        <v>1146</v>
      </c>
      <c r="U762" s="11" t="str">
        <f t="shared" si="60"/>
        <v>01:35:03 PM</v>
      </c>
      <c r="BL762" s="2" t="s">
        <v>1912</v>
      </c>
    </row>
    <row r="763" spans="1:64" x14ac:dyDescent="0.35">
      <c r="A763">
        <v>1982</v>
      </c>
      <c r="B763" t="s">
        <v>13</v>
      </c>
      <c r="C763" s="1">
        <v>45600</v>
      </c>
      <c r="D763" t="s">
        <v>23</v>
      </c>
      <c r="E763" t="s">
        <v>10</v>
      </c>
      <c r="F763">
        <v>3</v>
      </c>
      <c r="G763">
        <v>1173.6199999999999</v>
      </c>
      <c r="H763">
        <v>3520.86</v>
      </c>
      <c r="I763">
        <v>351.92</v>
      </c>
      <c r="J763">
        <v>3168.94</v>
      </c>
      <c r="K763">
        <v>15</v>
      </c>
      <c r="L763" s="11" t="s">
        <v>555</v>
      </c>
      <c r="M763">
        <f t="shared" si="56"/>
        <v>4</v>
      </c>
      <c r="N763">
        <f t="shared" si="57"/>
        <v>11</v>
      </c>
      <c r="O763">
        <f t="shared" si="58"/>
        <v>2024</v>
      </c>
      <c r="P763" s="4">
        <f t="shared" si="59"/>
        <v>45600</v>
      </c>
      <c r="Q763" t="s">
        <v>1139</v>
      </c>
      <c r="R763" t="s">
        <v>1137</v>
      </c>
      <c r="S763">
        <v>1</v>
      </c>
      <c r="T763" t="s">
        <v>1150</v>
      </c>
      <c r="U763" s="11" t="str">
        <f t="shared" si="60"/>
        <v>05:54:28 AM</v>
      </c>
      <c r="BL763" s="2" t="s">
        <v>1913</v>
      </c>
    </row>
    <row r="764" spans="1:64" x14ac:dyDescent="0.35">
      <c r="A764">
        <v>6400</v>
      </c>
      <c r="B764" t="s">
        <v>0</v>
      </c>
      <c r="C764" s="1">
        <v>45665</v>
      </c>
      <c r="D764" t="s">
        <v>11</v>
      </c>
      <c r="E764" t="s">
        <v>37</v>
      </c>
      <c r="F764">
        <v>4</v>
      </c>
      <c r="G764">
        <v>2118.16</v>
      </c>
      <c r="H764">
        <v>8472.64</v>
      </c>
      <c r="I764">
        <v>273.89999999999998</v>
      </c>
      <c r="J764">
        <v>8198.74</v>
      </c>
      <c r="K764">
        <v>144</v>
      </c>
      <c r="L764" s="11" t="s">
        <v>556</v>
      </c>
      <c r="M764">
        <f t="shared" si="56"/>
        <v>8</v>
      </c>
      <c r="N764">
        <f t="shared" si="57"/>
        <v>1</v>
      </c>
      <c r="O764">
        <f t="shared" si="58"/>
        <v>2025</v>
      </c>
      <c r="P764" s="4">
        <f t="shared" si="59"/>
        <v>45665</v>
      </c>
      <c r="Q764" t="s">
        <v>1138</v>
      </c>
      <c r="R764" t="s">
        <v>1135</v>
      </c>
      <c r="S764">
        <v>2</v>
      </c>
      <c r="T764" t="s">
        <v>1150</v>
      </c>
      <c r="U764" s="11" t="str">
        <f t="shared" si="60"/>
        <v>07:50:02 PM</v>
      </c>
      <c r="BL764" s="2" t="s">
        <v>1914</v>
      </c>
    </row>
    <row r="765" spans="1:64" x14ac:dyDescent="0.35">
      <c r="A765">
        <v>3002</v>
      </c>
      <c r="B765" t="s">
        <v>3</v>
      </c>
      <c r="C765" s="1">
        <v>45464</v>
      </c>
      <c r="D765" t="s">
        <v>4</v>
      </c>
      <c r="E765" t="s">
        <v>21</v>
      </c>
      <c r="F765">
        <v>1</v>
      </c>
      <c r="G765">
        <v>866.52</v>
      </c>
      <c r="H765">
        <v>866.52</v>
      </c>
      <c r="I765">
        <v>130.31</v>
      </c>
      <c r="J765">
        <v>736.21</v>
      </c>
      <c r="K765">
        <v>332</v>
      </c>
      <c r="L765" s="11" t="s">
        <v>557</v>
      </c>
      <c r="M765">
        <f t="shared" si="56"/>
        <v>21</v>
      </c>
      <c r="N765">
        <f t="shared" si="57"/>
        <v>6</v>
      </c>
      <c r="O765">
        <f t="shared" si="58"/>
        <v>2024</v>
      </c>
      <c r="P765" s="4">
        <f t="shared" si="59"/>
        <v>45464</v>
      </c>
      <c r="Q765" t="s">
        <v>1139</v>
      </c>
      <c r="R765" t="s">
        <v>1135</v>
      </c>
      <c r="S765">
        <v>2</v>
      </c>
      <c r="T765" t="s">
        <v>1149</v>
      </c>
      <c r="U765" s="11" t="str">
        <f t="shared" si="60"/>
        <v>06:59:18 PM</v>
      </c>
      <c r="BL765" s="2" t="s">
        <v>1915</v>
      </c>
    </row>
    <row r="766" spans="1:64" x14ac:dyDescent="0.35">
      <c r="A766">
        <v>6793</v>
      </c>
      <c r="B766" t="s">
        <v>3</v>
      </c>
      <c r="C766" s="1">
        <v>45823</v>
      </c>
      <c r="D766" t="s">
        <v>34</v>
      </c>
      <c r="E766" t="s">
        <v>21</v>
      </c>
      <c r="F766">
        <v>5</v>
      </c>
      <c r="G766">
        <v>1077.3399999999999</v>
      </c>
      <c r="H766">
        <v>5386.7</v>
      </c>
      <c r="I766">
        <v>136.12</v>
      </c>
      <c r="J766">
        <v>5250.58</v>
      </c>
      <c r="K766">
        <v>317</v>
      </c>
      <c r="L766" s="11" t="s">
        <v>558</v>
      </c>
      <c r="M766">
        <f t="shared" si="56"/>
        <v>15</v>
      </c>
      <c r="N766">
        <f t="shared" si="57"/>
        <v>6</v>
      </c>
      <c r="O766">
        <f t="shared" si="58"/>
        <v>2025</v>
      </c>
      <c r="P766" s="4">
        <f t="shared" si="59"/>
        <v>45823</v>
      </c>
      <c r="Q766" t="s">
        <v>1138</v>
      </c>
      <c r="R766" t="s">
        <v>1135</v>
      </c>
      <c r="S766">
        <v>4</v>
      </c>
      <c r="T766" t="s">
        <v>1143</v>
      </c>
      <c r="U766" s="11" t="str">
        <f t="shared" si="60"/>
        <v>10:24:44 AM</v>
      </c>
      <c r="BL766" s="2" t="s">
        <v>1916</v>
      </c>
    </row>
    <row r="767" spans="1:64" x14ac:dyDescent="0.35">
      <c r="A767">
        <v>7929</v>
      </c>
      <c r="B767" t="s">
        <v>15</v>
      </c>
      <c r="C767" s="1">
        <v>45819</v>
      </c>
      <c r="D767" t="s">
        <v>9</v>
      </c>
      <c r="E767" t="s">
        <v>32</v>
      </c>
      <c r="F767">
        <v>3</v>
      </c>
      <c r="G767">
        <v>583.49</v>
      </c>
      <c r="H767">
        <v>1750.47</v>
      </c>
      <c r="I767">
        <v>175.13</v>
      </c>
      <c r="J767">
        <v>1575.34</v>
      </c>
      <c r="K767">
        <v>355</v>
      </c>
      <c r="L767" s="11" t="s">
        <v>559</v>
      </c>
      <c r="M767">
        <f t="shared" si="56"/>
        <v>11</v>
      </c>
      <c r="N767">
        <f t="shared" si="57"/>
        <v>6</v>
      </c>
      <c r="O767">
        <f t="shared" si="58"/>
        <v>2025</v>
      </c>
      <c r="P767" s="4">
        <f t="shared" si="59"/>
        <v>45819</v>
      </c>
      <c r="Q767" t="s">
        <v>1134</v>
      </c>
      <c r="R767" t="s">
        <v>1137</v>
      </c>
      <c r="S767">
        <v>4</v>
      </c>
      <c r="T767" t="s">
        <v>1143</v>
      </c>
      <c r="U767" s="11" t="str">
        <f t="shared" si="60"/>
        <v>04:44:02 PM</v>
      </c>
      <c r="BL767" s="2" t="s">
        <v>1917</v>
      </c>
    </row>
    <row r="768" spans="1:64" x14ac:dyDescent="0.35">
      <c r="A768">
        <v>1842</v>
      </c>
      <c r="B768" t="s">
        <v>25</v>
      </c>
      <c r="C768" s="1">
        <v>45368</v>
      </c>
      <c r="D768" t="s">
        <v>27</v>
      </c>
      <c r="E768" t="s">
        <v>14</v>
      </c>
      <c r="F768">
        <v>2</v>
      </c>
      <c r="G768">
        <v>1677.43</v>
      </c>
      <c r="H768">
        <v>3354.86</v>
      </c>
      <c r="I768">
        <v>279.70999999999998</v>
      </c>
      <c r="J768">
        <v>3075.15</v>
      </c>
      <c r="K768">
        <v>39</v>
      </c>
      <c r="L768" s="11" t="s">
        <v>560</v>
      </c>
      <c r="M768">
        <f t="shared" si="56"/>
        <v>17</v>
      </c>
      <c r="N768">
        <f t="shared" si="57"/>
        <v>3</v>
      </c>
      <c r="O768">
        <f t="shared" si="58"/>
        <v>2024</v>
      </c>
      <c r="P768" s="4">
        <f t="shared" si="59"/>
        <v>45368</v>
      </c>
      <c r="Q768" t="s">
        <v>1138</v>
      </c>
      <c r="R768" t="s">
        <v>1135</v>
      </c>
      <c r="S768">
        <v>4</v>
      </c>
      <c r="T768" t="s">
        <v>1143</v>
      </c>
      <c r="U768" s="11" t="str">
        <f t="shared" si="60"/>
        <v>01:49:43 AM</v>
      </c>
      <c r="BL768" s="2" t="s">
        <v>1918</v>
      </c>
    </row>
    <row r="769" spans="1:64" x14ac:dyDescent="0.35">
      <c r="A769">
        <v>6119</v>
      </c>
      <c r="B769" t="s">
        <v>15</v>
      </c>
      <c r="C769" s="1">
        <v>45418</v>
      </c>
      <c r="D769" t="s">
        <v>11</v>
      </c>
      <c r="E769" t="s">
        <v>7</v>
      </c>
      <c r="F769">
        <v>1</v>
      </c>
      <c r="G769">
        <v>2060.89</v>
      </c>
      <c r="H769">
        <v>2060.89</v>
      </c>
      <c r="I769">
        <v>205.84</v>
      </c>
      <c r="J769">
        <v>1855.05</v>
      </c>
      <c r="K769">
        <v>90</v>
      </c>
      <c r="L769" s="11" t="s">
        <v>561</v>
      </c>
      <c r="M769">
        <f t="shared" si="56"/>
        <v>6</v>
      </c>
      <c r="N769">
        <f t="shared" si="57"/>
        <v>5</v>
      </c>
      <c r="O769">
        <f t="shared" si="58"/>
        <v>2024</v>
      </c>
      <c r="P769" s="4">
        <f t="shared" si="59"/>
        <v>45418</v>
      </c>
      <c r="Q769" t="s">
        <v>1136</v>
      </c>
      <c r="R769" t="s">
        <v>1135</v>
      </c>
      <c r="S769">
        <v>2</v>
      </c>
      <c r="T769" t="s">
        <v>1144</v>
      </c>
      <c r="U769" s="11" t="str">
        <f t="shared" si="60"/>
        <v>10:40:24 AM</v>
      </c>
      <c r="BL769" s="2" t="s">
        <v>1919</v>
      </c>
    </row>
    <row r="770" spans="1:64" x14ac:dyDescent="0.35">
      <c r="A770">
        <v>2697</v>
      </c>
      <c r="B770" t="s">
        <v>0</v>
      </c>
      <c r="C770" s="1">
        <v>45593</v>
      </c>
      <c r="D770" t="s">
        <v>17</v>
      </c>
      <c r="E770" t="s">
        <v>38</v>
      </c>
      <c r="F770">
        <v>5</v>
      </c>
      <c r="G770">
        <v>1938.88</v>
      </c>
      <c r="H770">
        <v>9694.4</v>
      </c>
      <c r="I770">
        <v>969.44</v>
      </c>
      <c r="J770">
        <v>8724.9599999999991</v>
      </c>
      <c r="K770">
        <v>194</v>
      </c>
      <c r="L770" s="11" t="s">
        <v>562</v>
      </c>
      <c r="M770">
        <f t="shared" ref="M770:M833" si="61">DAY(C770)</f>
        <v>28</v>
      </c>
      <c r="N770">
        <f t="shared" ref="N770:N833" si="62">MONTH(C770)</f>
        <v>10</v>
      </c>
      <c r="O770">
        <f t="shared" ref="O770:O833" si="63">YEAR(C770)</f>
        <v>2024</v>
      </c>
      <c r="P770" s="4">
        <f t="shared" si="59"/>
        <v>45593</v>
      </c>
      <c r="Q770" t="s">
        <v>1136</v>
      </c>
      <c r="R770" t="s">
        <v>1137</v>
      </c>
      <c r="S770">
        <v>2</v>
      </c>
      <c r="T770" t="s">
        <v>1141</v>
      </c>
      <c r="U770" s="11" t="str">
        <f t="shared" si="60"/>
        <v>07:06:34 PM</v>
      </c>
      <c r="BL770" s="2" t="s">
        <v>1920</v>
      </c>
    </row>
    <row r="771" spans="1:64" x14ac:dyDescent="0.35">
      <c r="A771">
        <v>9313</v>
      </c>
      <c r="B771" t="s">
        <v>20</v>
      </c>
      <c r="C771" s="1">
        <v>45310</v>
      </c>
      <c r="D771" t="s">
        <v>4</v>
      </c>
      <c r="E771" t="s">
        <v>33</v>
      </c>
      <c r="F771">
        <v>2</v>
      </c>
      <c r="G771">
        <v>2217.7600000000002</v>
      </c>
      <c r="H771">
        <v>4435.5200000000004</v>
      </c>
      <c r="I771">
        <v>887.27</v>
      </c>
      <c r="J771">
        <v>3548.25</v>
      </c>
      <c r="K771">
        <v>462</v>
      </c>
      <c r="L771" s="11" t="s">
        <v>563</v>
      </c>
      <c r="M771">
        <f t="shared" si="61"/>
        <v>19</v>
      </c>
      <c r="N771">
        <f t="shared" si="62"/>
        <v>1</v>
      </c>
      <c r="O771">
        <f t="shared" si="63"/>
        <v>2024</v>
      </c>
      <c r="P771" s="4">
        <f t="shared" ref="P771:P834" si="64">DATE(O771,N771,M771)</f>
        <v>45310</v>
      </c>
      <c r="Q771" t="s">
        <v>1138</v>
      </c>
      <c r="R771" t="s">
        <v>1137</v>
      </c>
      <c r="S771">
        <v>4</v>
      </c>
      <c r="T771" t="s">
        <v>1144</v>
      </c>
      <c r="U771" s="11" t="str">
        <f t="shared" si="60"/>
        <v>02:52:07 PM</v>
      </c>
      <c r="BL771" s="2" t="s">
        <v>1921</v>
      </c>
    </row>
    <row r="772" spans="1:64" x14ac:dyDescent="0.35">
      <c r="A772">
        <v>3535</v>
      </c>
      <c r="B772" t="s">
        <v>8</v>
      </c>
      <c r="C772" s="1">
        <v>45655</v>
      </c>
      <c r="D772" t="s">
        <v>34</v>
      </c>
      <c r="E772" t="s">
        <v>7</v>
      </c>
      <c r="F772">
        <v>3</v>
      </c>
      <c r="G772">
        <v>1020.9</v>
      </c>
      <c r="H772">
        <v>3062.7</v>
      </c>
      <c r="I772">
        <v>612.54</v>
      </c>
      <c r="J772">
        <v>2450.16</v>
      </c>
      <c r="K772">
        <v>295</v>
      </c>
      <c r="L772" s="11" t="s">
        <v>564</v>
      </c>
      <c r="M772">
        <f t="shared" si="61"/>
        <v>29</v>
      </c>
      <c r="N772">
        <f t="shared" si="62"/>
        <v>12</v>
      </c>
      <c r="O772">
        <f t="shared" si="63"/>
        <v>2024</v>
      </c>
      <c r="P772" s="4">
        <f t="shared" si="64"/>
        <v>45655</v>
      </c>
      <c r="Q772" t="s">
        <v>1138</v>
      </c>
      <c r="R772" t="s">
        <v>1137</v>
      </c>
      <c r="S772">
        <v>4</v>
      </c>
      <c r="T772" t="s">
        <v>1150</v>
      </c>
      <c r="U772" s="11" t="str">
        <f t="shared" si="60"/>
        <v>04:55:54 AM</v>
      </c>
      <c r="BL772" s="2" t="s">
        <v>1922</v>
      </c>
    </row>
    <row r="773" spans="1:64" x14ac:dyDescent="0.35">
      <c r="A773">
        <v>8900</v>
      </c>
      <c r="B773" t="s">
        <v>31</v>
      </c>
      <c r="C773" s="1">
        <v>45319</v>
      </c>
      <c r="D773" t="s">
        <v>16</v>
      </c>
      <c r="E773" t="s">
        <v>10</v>
      </c>
      <c r="F773">
        <v>3</v>
      </c>
      <c r="G773">
        <v>1454.99</v>
      </c>
      <c r="H773">
        <v>4364.97</v>
      </c>
      <c r="I773">
        <v>436.58</v>
      </c>
      <c r="J773">
        <v>3928.39</v>
      </c>
      <c r="K773">
        <v>467</v>
      </c>
      <c r="L773" s="11" t="s">
        <v>565</v>
      </c>
      <c r="M773">
        <f t="shared" si="61"/>
        <v>28</v>
      </c>
      <c r="N773">
        <f t="shared" si="62"/>
        <v>1</v>
      </c>
      <c r="O773">
        <f t="shared" si="63"/>
        <v>2024</v>
      </c>
      <c r="P773" s="4">
        <f t="shared" si="64"/>
        <v>45319</v>
      </c>
      <c r="Q773" t="s">
        <v>1138</v>
      </c>
      <c r="R773" t="s">
        <v>1135</v>
      </c>
      <c r="S773">
        <v>5</v>
      </c>
      <c r="T773" t="s">
        <v>1141</v>
      </c>
      <c r="U773" s="11" t="str">
        <f t="shared" si="60"/>
        <v>02:50:57 PM</v>
      </c>
      <c r="BL773" s="2" t="s">
        <v>1923</v>
      </c>
    </row>
    <row r="774" spans="1:64" x14ac:dyDescent="0.35">
      <c r="A774">
        <v>2773</v>
      </c>
      <c r="B774" t="s">
        <v>25</v>
      </c>
      <c r="C774" s="1">
        <v>45416</v>
      </c>
      <c r="D774" t="s">
        <v>4</v>
      </c>
      <c r="E774" t="s">
        <v>28</v>
      </c>
      <c r="F774">
        <v>5</v>
      </c>
      <c r="G774">
        <v>2456.8000000000002</v>
      </c>
      <c r="H774">
        <v>12284</v>
      </c>
      <c r="I774">
        <v>1842.6</v>
      </c>
      <c r="J774">
        <v>10441.4</v>
      </c>
      <c r="K774">
        <v>206</v>
      </c>
      <c r="L774" s="11" t="s">
        <v>566</v>
      </c>
      <c r="M774">
        <f t="shared" si="61"/>
        <v>4</v>
      </c>
      <c r="N774">
        <f t="shared" si="62"/>
        <v>5</v>
      </c>
      <c r="O774">
        <f t="shared" si="63"/>
        <v>2024</v>
      </c>
      <c r="P774" s="4">
        <f t="shared" si="64"/>
        <v>45416</v>
      </c>
      <c r="Q774" t="s">
        <v>1138</v>
      </c>
      <c r="R774" t="s">
        <v>1135</v>
      </c>
      <c r="S774">
        <v>4</v>
      </c>
      <c r="T774" t="s">
        <v>1146</v>
      </c>
      <c r="U774" s="11" t="str">
        <f t="shared" si="60"/>
        <v>12:06:40 AM</v>
      </c>
      <c r="BL774" s="2" t="s">
        <v>1924</v>
      </c>
    </row>
    <row r="775" spans="1:64" x14ac:dyDescent="0.35">
      <c r="A775">
        <v>7022</v>
      </c>
      <c r="B775" t="s">
        <v>20</v>
      </c>
      <c r="C775" s="1">
        <v>45234</v>
      </c>
      <c r="D775" t="s">
        <v>11</v>
      </c>
      <c r="E775" t="s">
        <v>7</v>
      </c>
      <c r="F775">
        <v>1</v>
      </c>
      <c r="G775">
        <v>83.83</v>
      </c>
      <c r="H775">
        <v>83.83</v>
      </c>
      <c r="I775">
        <v>368.52</v>
      </c>
      <c r="J775">
        <v>-284.69</v>
      </c>
      <c r="K775">
        <v>286</v>
      </c>
      <c r="L775" s="11" t="s">
        <v>567</v>
      </c>
      <c r="M775">
        <f t="shared" si="61"/>
        <v>4</v>
      </c>
      <c r="N775">
        <f t="shared" si="62"/>
        <v>11</v>
      </c>
      <c r="O775">
        <f t="shared" si="63"/>
        <v>2023</v>
      </c>
      <c r="P775" s="4">
        <f t="shared" si="64"/>
        <v>45234</v>
      </c>
      <c r="Q775" t="s">
        <v>1136</v>
      </c>
      <c r="R775" t="s">
        <v>1137</v>
      </c>
      <c r="S775">
        <v>5</v>
      </c>
      <c r="T775" t="s">
        <v>1145</v>
      </c>
      <c r="U775" s="11" t="str">
        <f t="shared" si="60"/>
        <v>05:55:50 PM</v>
      </c>
      <c r="BL775" s="2" t="s">
        <v>1925</v>
      </c>
    </row>
    <row r="776" spans="1:64" x14ac:dyDescent="0.35">
      <c r="A776">
        <v>5564</v>
      </c>
      <c r="B776" t="s">
        <v>20</v>
      </c>
      <c r="C776" s="1">
        <v>45590</v>
      </c>
      <c r="D776" t="s">
        <v>6</v>
      </c>
      <c r="E776" t="s">
        <v>5</v>
      </c>
      <c r="F776">
        <v>5</v>
      </c>
      <c r="G776">
        <v>1030.8599999999999</v>
      </c>
      <c r="H776">
        <v>5154.3</v>
      </c>
      <c r="I776">
        <v>515.42999999999995</v>
      </c>
      <c r="J776">
        <v>4638.87</v>
      </c>
      <c r="K776">
        <v>162</v>
      </c>
      <c r="L776" s="11" t="s">
        <v>568</v>
      </c>
      <c r="M776">
        <f t="shared" si="61"/>
        <v>25</v>
      </c>
      <c r="N776">
        <f t="shared" si="62"/>
        <v>10</v>
      </c>
      <c r="O776">
        <f t="shared" si="63"/>
        <v>2024</v>
      </c>
      <c r="P776" s="4">
        <f t="shared" si="64"/>
        <v>45590</v>
      </c>
      <c r="Q776" t="s">
        <v>1139</v>
      </c>
      <c r="R776" t="s">
        <v>1137</v>
      </c>
      <c r="S776">
        <v>3</v>
      </c>
      <c r="T776" t="s">
        <v>1144</v>
      </c>
      <c r="U776" s="11" t="str">
        <f t="shared" si="60"/>
        <v>09:08:16 AM</v>
      </c>
      <c r="BL776" s="2" t="s">
        <v>1926</v>
      </c>
    </row>
    <row r="777" spans="1:64" x14ac:dyDescent="0.35">
      <c r="A777">
        <v>4705</v>
      </c>
      <c r="B777" t="s">
        <v>13</v>
      </c>
      <c r="C777" s="1">
        <v>45771</v>
      </c>
      <c r="D777" t="s">
        <v>9</v>
      </c>
      <c r="E777" t="s">
        <v>7</v>
      </c>
      <c r="F777">
        <v>2</v>
      </c>
      <c r="G777">
        <v>1676.6</v>
      </c>
      <c r="H777">
        <v>3353.2</v>
      </c>
      <c r="I777">
        <v>670.64</v>
      </c>
      <c r="J777">
        <v>2682.56</v>
      </c>
      <c r="K777">
        <v>243</v>
      </c>
      <c r="L777" s="11" t="s">
        <v>569</v>
      </c>
      <c r="M777">
        <f t="shared" si="61"/>
        <v>24</v>
      </c>
      <c r="N777">
        <f t="shared" si="62"/>
        <v>4</v>
      </c>
      <c r="O777">
        <f t="shared" si="63"/>
        <v>2025</v>
      </c>
      <c r="P777" s="4">
        <f t="shared" si="64"/>
        <v>45771</v>
      </c>
      <c r="Q777" t="s">
        <v>1138</v>
      </c>
      <c r="R777" t="s">
        <v>1135</v>
      </c>
      <c r="S777">
        <v>2</v>
      </c>
      <c r="T777" t="s">
        <v>1144</v>
      </c>
      <c r="U777" s="11" t="str">
        <f t="shared" si="60"/>
        <v>03:09:33 AM</v>
      </c>
      <c r="BL777" s="2" t="s">
        <v>1927</v>
      </c>
    </row>
    <row r="778" spans="1:64" x14ac:dyDescent="0.35">
      <c r="A778">
        <v>8030</v>
      </c>
      <c r="B778" t="s">
        <v>3</v>
      </c>
      <c r="C778" s="1">
        <v>45801</v>
      </c>
      <c r="D778" t="s">
        <v>9</v>
      </c>
      <c r="E778" t="s">
        <v>12</v>
      </c>
      <c r="F778">
        <v>4</v>
      </c>
      <c r="G778">
        <v>453.18</v>
      </c>
      <c r="H778">
        <v>1812.72</v>
      </c>
      <c r="I778">
        <v>362.71</v>
      </c>
      <c r="J778">
        <v>1450.01</v>
      </c>
      <c r="K778">
        <v>446</v>
      </c>
      <c r="L778" s="11" t="s">
        <v>570</v>
      </c>
      <c r="M778">
        <f t="shared" si="61"/>
        <v>24</v>
      </c>
      <c r="N778">
        <f t="shared" si="62"/>
        <v>5</v>
      </c>
      <c r="O778">
        <f t="shared" si="63"/>
        <v>2025</v>
      </c>
      <c r="P778" s="4">
        <f t="shared" si="64"/>
        <v>45801</v>
      </c>
      <c r="Q778" t="s">
        <v>1138</v>
      </c>
      <c r="R778" t="s">
        <v>1135</v>
      </c>
      <c r="S778">
        <v>4</v>
      </c>
      <c r="T778" t="s">
        <v>1149</v>
      </c>
      <c r="U778" s="11" t="str">
        <f t="shared" si="60"/>
        <v>06:39:10 AM</v>
      </c>
      <c r="BL778" s="2" t="s">
        <v>1928</v>
      </c>
    </row>
    <row r="779" spans="1:64" x14ac:dyDescent="0.35">
      <c r="A779">
        <v>1430</v>
      </c>
      <c r="B779" t="s">
        <v>20</v>
      </c>
      <c r="C779" s="1">
        <v>45618</v>
      </c>
      <c r="D779" t="s">
        <v>4</v>
      </c>
      <c r="E779" t="s">
        <v>28</v>
      </c>
      <c r="F779">
        <v>2</v>
      </c>
      <c r="G779">
        <v>1818.53</v>
      </c>
      <c r="H779">
        <v>3637.06</v>
      </c>
      <c r="I779">
        <v>727.08</v>
      </c>
      <c r="J779">
        <v>2909.98</v>
      </c>
      <c r="K779">
        <v>249</v>
      </c>
      <c r="L779" s="11" t="s">
        <v>571</v>
      </c>
      <c r="M779">
        <f t="shared" si="61"/>
        <v>22</v>
      </c>
      <c r="N779">
        <f t="shared" si="62"/>
        <v>11</v>
      </c>
      <c r="O779">
        <f t="shared" si="63"/>
        <v>2024</v>
      </c>
      <c r="P779" s="4">
        <f t="shared" si="64"/>
        <v>45618</v>
      </c>
      <c r="Q779" t="s">
        <v>1136</v>
      </c>
      <c r="R779" t="s">
        <v>1137</v>
      </c>
      <c r="S779">
        <v>2</v>
      </c>
      <c r="T779" t="s">
        <v>1143</v>
      </c>
      <c r="U779" s="11" t="str">
        <f t="shared" si="60"/>
        <v>09:43:16 AM</v>
      </c>
      <c r="BL779" s="2" t="s">
        <v>1929</v>
      </c>
    </row>
    <row r="780" spans="1:64" x14ac:dyDescent="0.35">
      <c r="A780">
        <v>5381</v>
      </c>
      <c r="B780" t="s">
        <v>0</v>
      </c>
      <c r="C780" s="1">
        <v>45167</v>
      </c>
      <c r="D780" t="s">
        <v>23</v>
      </c>
      <c r="E780" t="s">
        <v>5</v>
      </c>
      <c r="F780">
        <v>4</v>
      </c>
      <c r="G780">
        <v>2232.6999999999998</v>
      </c>
      <c r="H780">
        <v>8930.7999999999993</v>
      </c>
      <c r="I780">
        <v>142.76</v>
      </c>
      <c r="J780">
        <v>8788.0400000000009</v>
      </c>
      <c r="K780">
        <v>356</v>
      </c>
      <c r="L780" s="11" t="s">
        <v>572</v>
      </c>
      <c r="M780">
        <f t="shared" si="61"/>
        <v>29</v>
      </c>
      <c r="N780">
        <f t="shared" si="62"/>
        <v>8</v>
      </c>
      <c r="O780">
        <f t="shared" si="63"/>
        <v>2023</v>
      </c>
      <c r="P780" s="4">
        <f t="shared" si="64"/>
        <v>45167</v>
      </c>
      <c r="Q780" t="s">
        <v>1136</v>
      </c>
      <c r="R780" t="s">
        <v>1137</v>
      </c>
      <c r="S780">
        <v>2</v>
      </c>
      <c r="T780" t="s">
        <v>1147</v>
      </c>
      <c r="U780" s="11" t="str">
        <f t="shared" si="60"/>
        <v>10:16:48 PM</v>
      </c>
      <c r="BL780" s="2" t="s">
        <v>1930</v>
      </c>
    </row>
    <row r="781" spans="1:64" x14ac:dyDescent="0.35">
      <c r="A781">
        <v>3955</v>
      </c>
      <c r="B781" t="s">
        <v>3</v>
      </c>
      <c r="C781" s="1">
        <v>45357</v>
      </c>
      <c r="D781" t="s">
        <v>9</v>
      </c>
      <c r="E781" t="s">
        <v>7</v>
      </c>
      <c r="F781">
        <v>4</v>
      </c>
      <c r="G781">
        <v>1008.45</v>
      </c>
      <c r="H781">
        <v>4033.8</v>
      </c>
      <c r="I781">
        <v>403.38</v>
      </c>
      <c r="J781">
        <v>3630.42</v>
      </c>
      <c r="K781">
        <v>115</v>
      </c>
      <c r="L781" s="11" t="s">
        <v>573</v>
      </c>
      <c r="M781">
        <f t="shared" si="61"/>
        <v>6</v>
      </c>
      <c r="N781">
        <f t="shared" si="62"/>
        <v>3</v>
      </c>
      <c r="O781">
        <f t="shared" si="63"/>
        <v>2024</v>
      </c>
      <c r="P781" s="4">
        <f t="shared" si="64"/>
        <v>45357</v>
      </c>
      <c r="Q781" t="s">
        <v>1134</v>
      </c>
      <c r="R781" t="s">
        <v>1135</v>
      </c>
      <c r="S781">
        <v>2</v>
      </c>
      <c r="T781" t="s">
        <v>1146</v>
      </c>
      <c r="U781" s="11" t="str">
        <f t="shared" si="60"/>
        <v>05:33:39 AM</v>
      </c>
      <c r="BL781" s="2" t="s">
        <v>1931</v>
      </c>
    </row>
    <row r="782" spans="1:64" x14ac:dyDescent="0.35">
      <c r="A782">
        <v>6062</v>
      </c>
      <c r="B782" t="s">
        <v>20</v>
      </c>
      <c r="C782" s="1">
        <v>45860</v>
      </c>
      <c r="D782" t="s">
        <v>17</v>
      </c>
      <c r="E782" t="s">
        <v>37</v>
      </c>
      <c r="F782">
        <v>2</v>
      </c>
      <c r="G782">
        <v>1796.12</v>
      </c>
      <c r="H782">
        <v>3592.24</v>
      </c>
      <c r="I782">
        <v>274.73</v>
      </c>
      <c r="J782">
        <v>3317.51</v>
      </c>
      <c r="K782">
        <v>137</v>
      </c>
      <c r="L782" s="11" t="s">
        <v>574</v>
      </c>
      <c r="M782">
        <f t="shared" si="61"/>
        <v>22</v>
      </c>
      <c r="N782">
        <f t="shared" si="62"/>
        <v>7</v>
      </c>
      <c r="O782">
        <f t="shared" si="63"/>
        <v>2025</v>
      </c>
      <c r="P782" s="4">
        <f t="shared" si="64"/>
        <v>45860</v>
      </c>
      <c r="Q782" t="s">
        <v>1138</v>
      </c>
      <c r="R782" t="s">
        <v>1137</v>
      </c>
      <c r="S782">
        <v>3</v>
      </c>
      <c r="T782" t="s">
        <v>1147</v>
      </c>
      <c r="U782" s="11" t="str">
        <f t="shared" si="60"/>
        <v>01:44:49 AM</v>
      </c>
      <c r="BL782" s="2" t="s">
        <v>1932</v>
      </c>
    </row>
    <row r="783" spans="1:64" x14ac:dyDescent="0.35">
      <c r="A783">
        <v>6567</v>
      </c>
      <c r="B783" t="s">
        <v>20</v>
      </c>
      <c r="C783" s="1">
        <v>45417</v>
      </c>
      <c r="D783" t="s">
        <v>1</v>
      </c>
      <c r="E783" t="s">
        <v>37</v>
      </c>
      <c r="F783">
        <v>3</v>
      </c>
      <c r="G783">
        <v>354.41</v>
      </c>
      <c r="H783">
        <v>1063.23</v>
      </c>
      <c r="I783">
        <v>212.48</v>
      </c>
      <c r="J783">
        <v>850.75</v>
      </c>
      <c r="K783">
        <v>246</v>
      </c>
      <c r="L783" s="11" t="s">
        <v>575</v>
      </c>
      <c r="M783">
        <f t="shared" si="61"/>
        <v>5</v>
      </c>
      <c r="N783">
        <f t="shared" si="62"/>
        <v>5</v>
      </c>
      <c r="O783">
        <f t="shared" si="63"/>
        <v>2024</v>
      </c>
      <c r="P783" s="4">
        <f t="shared" si="64"/>
        <v>45417</v>
      </c>
      <c r="Q783" t="s">
        <v>1134</v>
      </c>
      <c r="R783" t="s">
        <v>1135</v>
      </c>
      <c r="S783">
        <v>1</v>
      </c>
      <c r="T783" t="s">
        <v>1143</v>
      </c>
      <c r="U783" s="11" t="str">
        <f t="shared" si="60"/>
        <v>06:23:25 PM</v>
      </c>
      <c r="BL783" s="2" t="s">
        <v>1933</v>
      </c>
    </row>
    <row r="784" spans="1:64" x14ac:dyDescent="0.35">
      <c r="A784">
        <v>1100</v>
      </c>
      <c r="B784" t="s">
        <v>3</v>
      </c>
      <c r="C784" s="1">
        <v>45285</v>
      </c>
      <c r="D784" t="s">
        <v>24</v>
      </c>
      <c r="E784" t="s">
        <v>22</v>
      </c>
      <c r="F784">
        <v>5</v>
      </c>
      <c r="G784">
        <v>270.58</v>
      </c>
      <c r="H784">
        <v>1352.9</v>
      </c>
      <c r="I784">
        <v>270.58</v>
      </c>
      <c r="J784">
        <v>1082.32</v>
      </c>
      <c r="K784">
        <v>455</v>
      </c>
      <c r="L784" s="11" t="s">
        <v>576</v>
      </c>
      <c r="M784">
        <f t="shared" si="61"/>
        <v>25</v>
      </c>
      <c r="N784">
        <f t="shared" si="62"/>
        <v>12</v>
      </c>
      <c r="O784">
        <f t="shared" si="63"/>
        <v>2023</v>
      </c>
      <c r="P784" s="4">
        <f t="shared" si="64"/>
        <v>45285</v>
      </c>
      <c r="Q784" t="s">
        <v>1136</v>
      </c>
      <c r="R784" t="s">
        <v>1135</v>
      </c>
      <c r="S784">
        <v>4</v>
      </c>
      <c r="T784" t="s">
        <v>1141</v>
      </c>
      <c r="U784" s="11" t="str">
        <f t="shared" si="60"/>
        <v>12:13:25 AM</v>
      </c>
      <c r="BL784" s="2" t="s">
        <v>1934</v>
      </c>
    </row>
    <row r="785" spans="1:64" x14ac:dyDescent="0.35">
      <c r="A785">
        <v>3347</v>
      </c>
      <c r="B785" t="s">
        <v>15</v>
      </c>
      <c r="C785" s="1">
        <v>45584</v>
      </c>
      <c r="D785" t="s">
        <v>16</v>
      </c>
      <c r="E785" t="s">
        <v>32</v>
      </c>
      <c r="F785">
        <v>5</v>
      </c>
      <c r="G785">
        <v>2002.79</v>
      </c>
      <c r="H785">
        <v>10013.950000000001</v>
      </c>
      <c r="I785">
        <v>1502.3</v>
      </c>
      <c r="J785">
        <v>8511.65</v>
      </c>
      <c r="K785">
        <v>159</v>
      </c>
      <c r="L785" s="11" t="s">
        <v>577</v>
      </c>
      <c r="M785">
        <f t="shared" si="61"/>
        <v>19</v>
      </c>
      <c r="N785">
        <f t="shared" si="62"/>
        <v>10</v>
      </c>
      <c r="O785">
        <f t="shared" si="63"/>
        <v>2024</v>
      </c>
      <c r="P785" s="4">
        <f t="shared" si="64"/>
        <v>45584</v>
      </c>
      <c r="Q785" t="s">
        <v>1136</v>
      </c>
      <c r="R785" t="s">
        <v>1135</v>
      </c>
      <c r="S785">
        <v>1</v>
      </c>
      <c r="T785" t="s">
        <v>1144</v>
      </c>
      <c r="U785" s="11" t="str">
        <f t="shared" si="60"/>
        <v>10:51:20 AM</v>
      </c>
      <c r="BL785" s="2" t="s">
        <v>1935</v>
      </c>
    </row>
    <row r="786" spans="1:64" x14ac:dyDescent="0.35">
      <c r="A786">
        <v>7566</v>
      </c>
      <c r="B786" t="s">
        <v>3</v>
      </c>
      <c r="C786" s="1">
        <v>45199</v>
      </c>
      <c r="D786" t="s">
        <v>1</v>
      </c>
      <c r="E786" t="s">
        <v>37</v>
      </c>
      <c r="F786">
        <v>4</v>
      </c>
      <c r="G786">
        <v>1316.38</v>
      </c>
      <c r="H786">
        <v>5265.52</v>
      </c>
      <c r="I786">
        <v>526.22</v>
      </c>
      <c r="J786">
        <v>4739.3</v>
      </c>
      <c r="K786">
        <v>240</v>
      </c>
      <c r="L786" s="11" t="s">
        <v>578</v>
      </c>
      <c r="M786">
        <f t="shared" si="61"/>
        <v>30</v>
      </c>
      <c r="N786">
        <f t="shared" si="62"/>
        <v>9</v>
      </c>
      <c r="O786">
        <f t="shared" si="63"/>
        <v>2023</v>
      </c>
      <c r="P786" s="4">
        <f t="shared" si="64"/>
        <v>45199</v>
      </c>
      <c r="Q786" t="s">
        <v>1139</v>
      </c>
      <c r="R786" t="s">
        <v>1135</v>
      </c>
      <c r="S786">
        <v>1</v>
      </c>
      <c r="T786" t="s">
        <v>1143</v>
      </c>
      <c r="U786" s="11" t="str">
        <f t="shared" si="60"/>
        <v>05:39:04 AM</v>
      </c>
      <c r="BL786" s="2" t="s">
        <v>1936</v>
      </c>
    </row>
    <row r="787" spans="1:64" x14ac:dyDescent="0.35">
      <c r="A787">
        <v>3324</v>
      </c>
      <c r="B787" t="s">
        <v>25</v>
      </c>
      <c r="C787" s="1">
        <v>45720</v>
      </c>
      <c r="D787" t="s">
        <v>24</v>
      </c>
      <c r="E787" t="s">
        <v>26</v>
      </c>
      <c r="F787">
        <v>2</v>
      </c>
      <c r="G787">
        <v>166.83</v>
      </c>
      <c r="H787">
        <v>333.66</v>
      </c>
      <c r="I787">
        <v>0</v>
      </c>
      <c r="J787">
        <v>333.66</v>
      </c>
      <c r="K787">
        <v>472</v>
      </c>
      <c r="L787" s="11" t="s">
        <v>579</v>
      </c>
      <c r="M787">
        <f t="shared" si="61"/>
        <v>4</v>
      </c>
      <c r="N787">
        <f t="shared" si="62"/>
        <v>3</v>
      </c>
      <c r="O787">
        <f t="shared" si="63"/>
        <v>2025</v>
      </c>
      <c r="P787" s="4">
        <f t="shared" si="64"/>
        <v>45720</v>
      </c>
      <c r="Q787" t="s">
        <v>1138</v>
      </c>
      <c r="R787" t="s">
        <v>1137</v>
      </c>
      <c r="S787">
        <v>1</v>
      </c>
      <c r="T787" t="s">
        <v>1144</v>
      </c>
      <c r="U787" s="11" t="str">
        <f t="shared" si="60"/>
        <v>06:55:26 PM</v>
      </c>
      <c r="BL787" s="2" t="s">
        <v>1937</v>
      </c>
    </row>
    <row r="788" spans="1:64" x14ac:dyDescent="0.35">
      <c r="A788">
        <v>1502</v>
      </c>
      <c r="B788" t="s">
        <v>19</v>
      </c>
      <c r="C788" s="1">
        <v>45216</v>
      </c>
      <c r="D788" t="s">
        <v>1</v>
      </c>
      <c r="E788" t="s">
        <v>37</v>
      </c>
      <c r="F788">
        <v>5</v>
      </c>
      <c r="G788">
        <v>488.87</v>
      </c>
      <c r="H788">
        <v>2444.35</v>
      </c>
      <c r="I788">
        <v>0</v>
      </c>
      <c r="J788">
        <v>2444.35</v>
      </c>
      <c r="K788">
        <v>26</v>
      </c>
      <c r="L788" s="11" t="s">
        <v>425</v>
      </c>
      <c r="M788">
        <f t="shared" si="61"/>
        <v>17</v>
      </c>
      <c r="N788">
        <f t="shared" si="62"/>
        <v>10</v>
      </c>
      <c r="O788">
        <f t="shared" si="63"/>
        <v>2023</v>
      </c>
      <c r="P788" s="4">
        <f t="shared" si="64"/>
        <v>45216</v>
      </c>
      <c r="Q788" t="s">
        <v>1134</v>
      </c>
      <c r="R788" t="s">
        <v>1137</v>
      </c>
      <c r="S788">
        <v>2</v>
      </c>
      <c r="T788" t="s">
        <v>1150</v>
      </c>
      <c r="U788" s="11" t="str">
        <f t="shared" si="60"/>
        <v>06:55:37 AM</v>
      </c>
      <c r="BL788" s="2" t="s">
        <v>1938</v>
      </c>
    </row>
    <row r="789" spans="1:64" x14ac:dyDescent="0.35">
      <c r="A789">
        <v>9691</v>
      </c>
      <c r="B789" t="s">
        <v>20</v>
      </c>
      <c r="C789" s="1">
        <v>45312</v>
      </c>
      <c r="D789" t="s">
        <v>24</v>
      </c>
      <c r="E789" t="s">
        <v>37</v>
      </c>
      <c r="F789">
        <v>1</v>
      </c>
      <c r="G789">
        <v>387.61</v>
      </c>
      <c r="H789">
        <v>387.61</v>
      </c>
      <c r="I789">
        <v>58.1</v>
      </c>
      <c r="J789">
        <v>329.51</v>
      </c>
      <c r="K789">
        <v>39</v>
      </c>
      <c r="L789" s="11" t="s">
        <v>580</v>
      </c>
      <c r="M789">
        <f t="shared" si="61"/>
        <v>21</v>
      </c>
      <c r="N789">
        <f t="shared" si="62"/>
        <v>1</v>
      </c>
      <c r="O789">
        <f t="shared" si="63"/>
        <v>2024</v>
      </c>
      <c r="P789" s="4">
        <f t="shared" si="64"/>
        <v>45312</v>
      </c>
      <c r="Q789" t="s">
        <v>1136</v>
      </c>
      <c r="R789" t="s">
        <v>1135</v>
      </c>
      <c r="S789">
        <v>5</v>
      </c>
      <c r="T789" t="s">
        <v>1145</v>
      </c>
      <c r="U789" s="11" t="str">
        <f t="shared" si="60"/>
        <v>12:14:00 AM</v>
      </c>
      <c r="BL789" s="2" t="s">
        <v>1939</v>
      </c>
    </row>
    <row r="790" spans="1:64" x14ac:dyDescent="0.35">
      <c r="A790">
        <v>7163</v>
      </c>
      <c r="B790" t="s">
        <v>8</v>
      </c>
      <c r="C790" s="1">
        <v>45471</v>
      </c>
      <c r="D790" t="s">
        <v>17</v>
      </c>
      <c r="E790" t="s">
        <v>2</v>
      </c>
      <c r="F790">
        <v>3</v>
      </c>
      <c r="G790">
        <v>2147.21</v>
      </c>
      <c r="H790">
        <v>6441.63</v>
      </c>
      <c r="I790">
        <v>141.1</v>
      </c>
      <c r="J790">
        <v>6300.53</v>
      </c>
      <c r="K790">
        <v>7</v>
      </c>
      <c r="L790" s="11" t="s">
        <v>581</v>
      </c>
      <c r="M790">
        <f t="shared" si="61"/>
        <v>28</v>
      </c>
      <c r="N790">
        <f t="shared" si="62"/>
        <v>6</v>
      </c>
      <c r="O790">
        <f t="shared" si="63"/>
        <v>2024</v>
      </c>
      <c r="P790" s="4">
        <f t="shared" si="64"/>
        <v>45471</v>
      </c>
      <c r="Q790" t="s">
        <v>1136</v>
      </c>
      <c r="R790" t="s">
        <v>1135</v>
      </c>
      <c r="S790">
        <v>2</v>
      </c>
      <c r="T790" t="s">
        <v>1143</v>
      </c>
      <c r="U790" s="11" t="str">
        <f t="shared" si="60"/>
        <v>11:24:04 PM</v>
      </c>
      <c r="BL790" s="2" t="s">
        <v>1940</v>
      </c>
    </row>
    <row r="791" spans="1:64" x14ac:dyDescent="0.35">
      <c r="A791">
        <v>8432</v>
      </c>
      <c r="B791" t="s">
        <v>8</v>
      </c>
      <c r="C791" s="1">
        <v>45409</v>
      </c>
      <c r="D791" t="s">
        <v>16</v>
      </c>
      <c r="E791" t="s">
        <v>22</v>
      </c>
      <c r="F791">
        <v>3</v>
      </c>
      <c r="G791">
        <v>2026.86</v>
      </c>
      <c r="H791">
        <v>6080.58</v>
      </c>
      <c r="I791">
        <v>608.39</v>
      </c>
      <c r="J791">
        <v>5472.19</v>
      </c>
      <c r="K791">
        <v>133</v>
      </c>
      <c r="L791" s="11" t="s">
        <v>582</v>
      </c>
      <c r="M791">
        <f t="shared" si="61"/>
        <v>27</v>
      </c>
      <c r="N791">
        <f t="shared" si="62"/>
        <v>4</v>
      </c>
      <c r="O791">
        <f t="shared" si="63"/>
        <v>2024</v>
      </c>
      <c r="P791" s="4">
        <f t="shared" si="64"/>
        <v>45409</v>
      </c>
      <c r="Q791" t="s">
        <v>1134</v>
      </c>
      <c r="R791" t="s">
        <v>1135</v>
      </c>
      <c r="S791">
        <v>2</v>
      </c>
      <c r="T791" t="s">
        <v>1142</v>
      </c>
      <c r="U791" s="11" t="str">
        <f t="shared" si="60"/>
        <v>10:33:50 AM</v>
      </c>
      <c r="BL791" s="2" t="s">
        <v>1941</v>
      </c>
    </row>
    <row r="792" spans="1:64" x14ac:dyDescent="0.35">
      <c r="A792">
        <v>3578</v>
      </c>
      <c r="B792" t="s">
        <v>8</v>
      </c>
      <c r="C792" s="1">
        <v>45432</v>
      </c>
      <c r="D792" t="s">
        <v>27</v>
      </c>
      <c r="E792" t="s">
        <v>29</v>
      </c>
      <c r="F792">
        <v>3</v>
      </c>
      <c r="G792">
        <v>2450.9899999999998</v>
      </c>
      <c r="H792">
        <v>7352.97</v>
      </c>
      <c r="I792">
        <v>393.42</v>
      </c>
      <c r="J792">
        <v>6959.55</v>
      </c>
      <c r="K792">
        <v>495</v>
      </c>
      <c r="L792" s="11" t="s">
        <v>583</v>
      </c>
      <c r="M792">
        <f t="shared" si="61"/>
        <v>20</v>
      </c>
      <c r="N792">
        <f t="shared" si="62"/>
        <v>5</v>
      </c>
      <c r="O792">
        <f t="shared" si="63"/>
        <v>2024</v>
      </c>
      <c r="P792" s="4">
        <f t="shared" si="64"/>
        <v>45432</v>
      </c>
      <c r="Q792" t="s">
        <v>1139</v>
      </c>
      <c r="R792" t="s">
        <v>1135</v>
      </c>
      <c r="S792">
        <v>1</v>
      </c>
      <c r="T792" t="s">
        <v>1146</v>
      </c>
      <c r="U792" s="11" t="str">
        <f t="shared" si="60"/>
        <v>09:13:12 PM</v>
      </c>
      <c r="BL792" s="2" t="s">
        <v>1942</v>
      </c>
    </row>
    <row r="793" spans="1:64" x14ac:dyDescent="0.35">
      <c r="A793">
        <v>6105</v>
      </c>
      <c r="B793" t="s">
        <v>8</v>
      </c>
      <c r="C793" s="1">
        <v>45705</v>
      </c>
      <c r="D793" t="s">
        <v>34</v>
      </c>
      <c r="E793" t="s">
        <v>5</v>
      </c>
      <c r="F793">
        <v>4</v>
      </c>
      <c r="G793">
        <v>654.87</v>
      </c>
      <c r="H793">
        <v>2619.48</v>
      </c>
      <c r="I793">
        <v>523.73</v>
      </c>
      <c r="J793">
        <v>2095.75</v>
      </c>
      <c r="K793">
        <v>225</v>
      </c>
      <c r="L793" s="11" t="s">
        <v>584</v>
      </c>
      <c r="M793">
        <f t="shared" si="61"/>
        <v>17</v>
      </c>
      <c r="N793">
        <f t="shared" si="62"/>
        <v>2</v>
      </c>
      <c r="O793">
        <f t="shared" si="63"/>
        <v>2025</v>
      </c>
      <c r="P793" s="4">
        <f t="shared" si="64"/>
        <v>45705</v>
      </c>
      <c r="Q793" t="s">
        <v>1136</v>
      </c>
      <c r="R793" t="s">
        <v>1135</v>
      </c>
      <c r="S793">
        <v>2</v>
      </c>
      <c r="T793" t="s">
        <v>1145</v>
      </c>
      <c r="U793" s="11" t="str">
        <f t="shared" si="60"/>
        <v>08:27:00 PM</v>
      </c>
      <c r="BL793" s="2" t="s">
        <v>1943</v>
      </c>
    </row>
    <row r="794" spans="1:64" x14ac:dyDescent="0.35">
      <c r="A794">
        <v>6314</v>
      </c>
      <c r="B794" t="s">
        <v>25</v>
      </c>
      <c r="C794" s="1">
        <v>45748</v>
      </c>
      <c r="D794" t="s">
        <v>1</v>
      </c>
      <c r="E794" t="s">
        <v>2</v>
      </c>
      <c r="F794">
        <v>1</v>
      </c>
      <c r="G794">
        <v>208.33</v>
      </c>
      <c r="H794">
        <v>208.33</v>
      </c>
      <c r="I794">
        <v>20.75</v>
      </c>
      <c r="J794">
        <v>187.58</v>
      </c>
      <c r="K794">
        <v>237</v>
      </c>
      <c r="L794" s="11" t="s">
        <v>585</v>
      </c>
      <c r="M794">
        <f t="shared" si="61"/>
        <v>1</v>
      </c>
      <c r="N794">
        <f t="shared" si="62"/>
        <v>4</v>
      </c>
      <c r="O794">
        <f t="shared" si="63"/>
        <v>2025</v>
      </c>
      <c r="P794" s="4">
        <f t="shared" si="64"/>
        <v>45748</v>
      </c>
      <c r="Q794" t="s">
        <v>1138</v>
      </c>
      <c r="R794" t="s">
        <v>1137</v>
      </c>
      <c r="S794">
        <v>1</v>
      </c>
      <c r="T794" t="s">
        <v>1143</v>
      </c>
      <c r="U794" s="11" t="str">
        <f t="shared" si="60"/>
        <v>12:32:29 AM</v>
      </c>
      <c r="BL794" s="2" t="s">
        <v>1944</v>
      </c>
    </row>
    <row r="795" spans="1:64" x14ac:dyDescent="0.35">
      <c r="A795">
        <v>2391</v>
      </c>
      <c r="B795" t="s">
        <v>19</v>
      </c>
      <c r="C795" s="1">
        <v>45831</v>
      </c>
      <c r="D795" t="s">
        <v>34</v>
      </c>
      <c r="E795" t="s">
        <v>7</v>
      </c>
      <c r="F795">
        <v>2</v>
      </c>
      <c r="G795">
        <v>996</v>
      </c>
      <c r="H795">
        <v>1992</v>
      </c>
      <c r="I795">
        <v>199.2</v>
      </c>
      <c r="J795">
        <v>1792.8</v>
      </c>
      <c r="K795">
        <v>361</v>
      </c>
      <c r="L795" s="11" t="s">
        <v>586</v>
      </c>
      <c r="M795">
        <f t="shared" si="61"/>
        <v>23</v>
      </c>
      <c r="N795">
        <f t="shared" si="62"/>
        <v>6</v>
      </c>
      <c r="O795">
        <f t="shared" si="63"/>
        <v>2025</v>
      </c>
      <c r="P795" s="4">
        <f t="shared" si="64"/>
        <v>45831</v>
      </c>
      <c r="Q795" t="s">
        <v>1136</v>
      </c>
      <c r="R795" t="s">
        <v>1137</v>
      </c>
      <c r="S795">
        <v>5</v>
      </c>
      <c r="T795" t="s">
        <v>1142</v>
      </c>
      <c r="U795" s="11" t="str">
        <f t="shared" si="60"/>
        <v>08:38:55 PM</v>
      </c>
      <c r="BL795" s="2" t="s">
        <v>1945</v>
      </c>
    </row>
    <row r="796" spans="1:64" x14ac:dyDescent="0.35">
      <c r="A796">
        <v>1861</v>
      </c>
      <c r="B796" t="s">
        <v>19</v>
      </c>
      <c r="C796" s="1">
        <v>45265</v>
      </c>
      <c r="D796" t="s">
        <v>23</v>
      </c>
      <c r="E796" t="s">
        <v>36</v>
      </c>
      <c r="F796">
        <v>4</v>
      </c>
      <c r="G796">
        <v>110.39</v>
      </c>
      <c r="H796">
        <v>441.56</v>
      </c>
      <c r="I796">
        <v>43.99</v>
      </c>
      <c r="J796">
        <v>397.57</v>
      </c>
      <c r="K796">
        <v>474</v>
      </c>
      <c r="L796" s="11" t="s">
        <v>587</v>
      </c>
      <c r="M796">
        <f t="shared" si="61"/>
        <v>5</v>
      </c>
      <c r="N796">
        <f t="shared" si="62"/>
        <v>12</v>
      </c>
      <c r="O796">
        <f t="shared" si="63"/>
        <v>2023</v>
      </c>
      <c r="P796" s="4">
        <f t="shared" si="64"/>
        <v>45265</v>
      </c>
      <c r="Q796" t="s">
        <v>1138</v>
      </c>
      <c r="R796" t="s">
        <v>1137</v>
      </c>
      <c r="S796">
        <v>4</v>
      </c>
      <c r="T796" t="s">
        <v>1142</v>
      </c>
      <c r="U796" s="11" t="str">
        <f t="shared" si="60"/>
        <v>11:26:37 PM</v>
      </c>
      <c r="BL796" s="2" t="s">
        <v>1946</v>
      </c>
    </row>
    <row r="797" spans="1:64" x14ac:dyDescent="0.35">
      <c r="A797">
        <v>3579</v>
      </c>
      <c r="B797" t="s">
        <v>25</v>
      </c>
      <c r="C797" s="1">
        <v>45730</v>
      </c>
      <c r="D797" t="s">
        <v>27</v>
      </c>
      <c r="E797" t="s">
        <v>29</v>
      </c>
      <c r="F797">
        <v>1</v>
      </c>
      <c r="G797">
        <v>2290.8000000000002</v>
      </c>
      <c r="H797">
        <v>2290.8000000000002</v>
      </c>
      <c r="I797">
        <v>229.08</v>
      </c>
      <c r="J797">
        <v>2061.7199999999998</v>
      </c>
      <c r="K797">
        <v>326</v>
      </c>
      <c r="L797" s="11" t="s">
        <v>588</v>
      </c>
      <c r="M797">
        <f t="shared" si="61"/>
        <v>14</v>
      </c>
      <c r="N797">
        <f t="shared" si="62"/>
        <v>3</v>
      </c>
      <c r="O797">
        <f t="shared" si="63"/>
        <v>2025</v>
      </c>
      <c r="P797" s="4">
        <f t="shared" si="64"/>
        <v>45730</v>
      </c>
      <c r="Q797" t="s">
        <v>1134</v>
      </c>
      <c r="R797" t="s">
        <v>1137</v>
      </c>
      <c r="S797">
        <v>1</v>
      </c>
      <c r="T797" t="s">
        <v>1146</v>
      </c>
      <c r="U797" s="11" t="str">
        <f t="shared" si="60"/>
        <v>11:23:39 AM</v>
      </c>
      <c r="BL797" s="2" t="s">
        <v>1947</v>
      </c>
    </row>
    <row r="798" spans="1:64" x14ac:dyDescent="0.35">
      <c r="A798">
        <v>1815</v>
      </c>
      <c r="B798" t="s">
        <v>19</v>
      </c>
      <c r="C798" s="1">
        <v>45668</v>
      </c>
      <c r="D798" t="s">
        <v>11</v>
      </c>
      <c r="E798" t="s">
        <v>2</v>
      </c>
      <c r="F798">
        <v>3</v>
      </c>
      <c r="G798">
        <v>2013.58</v>
      </c>
      <c r="H798">
        <v>6040.74</v>
      </c>
      <c r="I798">
        <v>604.24</v>
      </c>
      <c r="J798">
        <v>5436.5</v>
      </c>
      <c r="K798">
        <v>130</v>
      </c>
      <c r="L798" s="11" t="s">
        <v>589</v>
      </c>
      <c r="M798">
        <f t="shared" si="61"/>
        <v>11</v>
      </c>
      <c r="N798">
        <f t="shared" si="62"/>
        <v>1</v>
      </c>
      <c r="O798">
        <f t="shared" si="63"/>
        <v>2025</v>
      </c>
      <c r="P798" s="4">
        <f t="shared" si="64"/>
        <v>45668</v>
      </c>
      <c r="Q798" t="s">
        <v>1138</v>
      </c>
      <c r="R798" t="s">
        <v>1135</v>
      </c>
      <c r="S798">
        <v>5</v>
      </c>
      <c r="T798" t="s">
        <v>1143</v>
      </c>
      <c r="U798" s="11" t="str">
        <f t="shared" si="60"/>
        <v>12:21:08 PM</v>
      </c>
      <c r="BL798" s="2" t="s">
        <v>1948</v>
      </c>
    </row>
    <row r="799" spans="1:64" x14ac:dyDescent="0.35">
      <c r="A799">
        <v>2336</v>
      </c>
      <c r="B799" t="s">
        <v>31</v>
      </c>
      <c r="C799" s="1">
        <v>45356</v>
      </c>
      <c r="D799" t="s">
        <v>16</v>
      </c>
      <c r="E799" t="s">
        <v>33</v>
      </c>
      <c r="F799">
        <v>5</v>
      </c>
      <c r="G799">
        <v>893.91</v>
      </c>
      <c r="H799">
        <v>4469.55</v>
      </c>
      <c r="I799">
        <v>670.64</v>
      </c>
      <c r="J799">
        <v>3798.91</v>
      </c>
      <c r="K799">
        <v>353</v>
      </c>
      <c r="L799" s="11" t="s">
        <v>590</v>
      </c>
      <c r="M799">
        <f t="shared" si="61"/>
        <v>5</v>
      </c>
      <c r="N799">
        <f t="shared" si="62"/>
        <v>3</v>
      </c>
      <c r="O799">
        <f t="shared" si="63"/>
        <v>2024</v>
      </c>
      <c r="P799" s="4">
        <f t="shared" si="64"/>
        <v>45356</v>
      </c>
      <c r="Q799" t="s">
        <v>1134</v>
      </c>
      <c r="R799" t="s">
        <v>1135</v>
      </c>
      <c r="S799">
        <v>4</v>
      </c>
      <c r="T799" t="s">
        <v>1145</v>
      </c>
      <c r="U799" s="11" t="str">
        <f t="shared" si="60"/>
        <v>10:22:52 AM</v>
      </c>
      <c r="BL799" s="2" t="s">
        <v>1949</v>
      </c>
    </row>
    <row r="800" spans="1:64" x14ac:dyDescent="0.35">
      <c r="A800">
        <v>8259</v>
      </c>
      <c r="B800" t="s">
        <v>3</v>
      </c>
      <c r="C800" s="1">
        <v>45659</v>
      </c>
      <c r="D800" t="s">
        <v>1</v>
      </c>
      <c r="E800" t="s">
        <v>28</v>
      </c>
      <c r="F800">
        <v>1</v>
      </c>
      <c r="G800">
        <v>111.22</v>
      </c>
      <c r="H800">
        <v>111.22</v>
      </c>
      <c r="I800">
        <v>0</v>
      </c>
      <c r="J800">
        <v>111.22</v>
      </c>
      <c r="K800">
        <v>50</v>
      </c>
      <c r="L800" s="11" t="s">
        <v>591</v>
      </c>
      <c r="M800">
        <f t="shared" si="61"/>
        <v>2</v>
      </c>
      <c r="N800">
        <f t="shared" si="62"/>
        <v>1</v>
      </c>
      <c r="O800">
        <f t="shared" si="63"/>
        <v>2025</v>
      </c>
      <c r="P800" s="4">
        <f t="shared" si="64"/>
        <v>45659</v>
      </c>
      <c r="Q800" t="s">
        <v>1138</v>
      </c>
      <c r="R800" t="s">
        <v>1135</v>
      </c>
      <c r="S800">
        <v>3</v>
      </c>
      <c r="T800" t="s">
        <v>1149</v>
      </c>
      <c r="U800" s="11" t="str">
        <f t="shared" si="60"/>
        <v>10:06:20 AM</v>
      </c>
      <c r="BL800" s="2" t="s">
        <v>1950</v>
      </c>
    </row>
    <row r="801" spans="1:64" x14ac:dyDescent="0.35">
      <c r="A801">
        <v>7947</v>
      </c>
      <c r="B801" t="s">
        <v>15</v>
      </c>
      <c r="C801" s="1">
        <v>45522</v>
      </c>
      <c r="D801" t="s">
        <v>11</v>
      </c>
      <c r="E801" t="s">
        <v>14</v>
      </c>
      <c r="F801">
        <v>3</v>
      </c>
      <c r="G801">
        <v>688.07</v>
      </c>
      <c r="H801">
        <v>2064.21</v>
      </c>
      <c r="I801">
        <v>113.71</v>
      </c>
      <c r="J801">
        <v>1950.5</v>
      </c>
      <c r="K801">
        <v>17</v>
      </c>
      <c r="L801" s="11" t="s">
        <v>592</v>
      </c>
      <c r="M801">
        <f t="shared" si="61"/>
        <v>18</v>
      </c>
      <c r="N801">
        <f t="shared" si="62"/>
        <v>8</v>
      </c>
      <c r="O801">
        <f t="shared" si="63"/>
        <v>2024</v>
      </c>
      <c r="P801" s="4">
        <f t="shared" si="64"/>
        <v>45522</v>
      </c>
      <c r="Q801" t="s">
        <v>1134</v>
      </c>
      <c r="R801" t="s">
        <v>1135</v>
      </c>
      <c r="S801">
        <v>1</v>
      </c>
      <c r="T801" t="s">
        <v>1141</v>
      </c>
      <c r="U801" s="11" t="str">
        <f t="shared" si="60"/>
        <v>12:54:56 AM</v>
      </c>
      <c r="BL801" s="2" t="s">
        <v>1951</v>
      </c>
    </row>
    <row r="802" spans="1:64" x14ac:dyDescent="0.35">
      <c r="A802">
        <v>8242</v>
      </c>
      <c r="B802" t="s">
        <v>31</v>
      </c>
      <c r="C802" s="1">
        <v>45466</v>
      </c>
      <c r="D802" t="s">
        <v>17</v>
      </c>
      <c r="E802" t="s">
        <v>38</v>
      </c>
      <c r="F802">
        <v>1</v>
      </c>
      <c r="G802">
        <v>290.5</v>
      </c>
      <c r="H802">
        <v>290.5</v>
      </c>
      <c r="I802">
        <v>29.05</v>
      </c>
      <c r="J802">
        <v>261.45</v>
      </c>
      <c r="K802">
        <v>309</v>
      </c>
      <c r="L802" s="11" t="s">
        <v>593</v>
      </c>
      <c r="M802">
        <f t="shared" si="61"/>
        <v>23</v>
      </c>
      <c r="N802">
        <f t="shared" si="62"/>
        <v>6</v>
      </c>
      <c r="O802">
        <f t="shared" si="63"/>
        <v>2024</v>
      </c>
      <c r="P802" s="4">
        <f t="shared" si="64"/>
        <v>45466</v>
      </c>
      <c r="Q802" t="s">
        <v>1138</v>
      </c>
      <c r="R802" t="s">
        <v>1135</v>
      </c>
      <c r="S802">
        <v>1</v>
      </c>
      <c r="T802" t="s">
        <v>1142</v>
      </c>
      <c r="U802" s="11" t="str">
        <f t="shared" si="60"/>
        <v>03:07:38 AM</v>
      </c>
      <c r="BL802" s="2" t="s">
        <v>1952</v>
      </c>
    </row>
    <row r="803" spans="1:64" x14ac:dyDescent="0.35">
      <c r="A803">
        <v>5475</v>
      </c>
      <c r="B803" t="s">
        <v>8</v>
      </c>
      <c r="C803" s="1">
        <v>45312</v>
      </c>
      <c r="D803" t="s">
        <v>4</v>
      </c>
      <c r="E803" t="s">
        <v>18</v>
      </c>
      <c r="F803">
        <v>3</v>
      </c>
      <c r="G803">
        <v>790.99</v>
      </c>
      <c r="H803">
        <v>2372.9699999999998</v>
      </c>
      <c r="I803">
        <v>0</v>
      </c>
      <c r="J803">
        <v>2372.9699999999998</v>
      </c>
      <c r="K803">
        <v>338</v>
      </c>
      <c r="L803" s="11" t="s">
        <v>594</v>
      </c>
      <c r="M803">
        <f t="shared" si="61"/>
        <v>21</v>
      </c>
      <c r="N803">
        <f t="shared" si="62"/>
        <v>1</v>
      </c>
      <c r="O803">
        <f t="shared" si="63"/>
        <v>2024</v>
      </c>
      <c r="P803" s="4">
        <f t="shared" si="64"/>
        <v>45312</v>
      </c>
      <c r="Q803" t="s">
        <v>1139</v>
      </c>
      <c r="R803" t="s">
        <v>1137</v>
      </c>
      <c r="S803">
        <v>3</v>
      </c>
      <c r="T803" t="s">
        <v>1147</v>
      </c>
      <c r="U803" s="11" t="str">
        <f t="shared" si="60"/>
        <v>09:03:44 AM</v>
      </c>
      <c r="BL803" s="2" t="s">
        <v>1953</v>
      </c>
    </row>
    <row r="804" spans="1:64" x14ac:dyDescent="0.35">
      <c r="A804">
        <v>9394</v>
      </c>
      <c r="B804" t="s">
        <v>15</v>
      </c>
      <c r="C804" s="1">
        <v>45233</v>
      </c>
      <c r="D804" t="s">
        <v>24</v>
      </c>
      <c r="E804" t="s">
        <v>5</v>
      </c>
      <c r="F804">
        <v>3</v>
      </c>
      <c r="G804">
        <v>701.35</v>
      </c>
      <c r="H804">
        <v>2104.0500000000002</v>
      </c>
      <c r="I804">
        <v>315.39999999999998</v>
      </c>
      <c r="J804">
        <v>1788.65</v>
      </c>
      <c r="K804">
        <v>399</v>
      </c>
      <c r="L804" s="11" t="s">
        <v>595</v>
      </c>
      <c r="M804">
        <f t="shared" si="61"/>
        <v>3</v>
      </c>
      <c r="N804">
        <f t="shared" si="62"/>
        <v>11</v>
      </c>
      <c r="O804">
        <f t="shared" si="63"/>
        <v>2023</v>
      </c>
      <c r="P804" s="4">
        <f t="shared" si="64"/>
        <v>45233</v>
      </c>
      <c r="Q804" t="s">
        <v>1138</v>
      </c>
      <c r="R804" t="s">
        <v>1135</v>
      </c>
      <c r="S804">
        <v>3</v>
      </c>
      <c r="T804" t="s">
        <v>1143</v>
      </c>
      <c r="U804" s="11" t="str">
        <f t="shared" si="60"/>
        <v>09:11:23 AM</v>
      </c>
      <c r="BL804" s="2" t="s">
        <v>1954</v>
      </c>
    </row>
    <row r="805" spans="1:64" x14ac:dyDescent="0.35">
      <c r="A805">
        <v>6655</v>
      </c>
      <c r="B805" t="s">
        <v>20</v>
      </c>
      <c r="C805" s="1">
        <v>45478</v>
      </c>
      <c r="D805" t="s">
        <v>9</v>
      </c>
      <c r="E805" t="s">
        <v>21</v>
      </c>
      <c r="F805">
        <v>3</v>
      </c>
      <c r="G805">
        <v>2479.21</v>
      </c>
      <c r="H805">
        <v>7437.63</v>
      </c>
      <c r="I805">
        <v>1487.36</v>
      </c>
      <c r="J805">
        <v>5950.27</v>
      </c>
      <c r="K805">
        <v>132</v>
      </c>
      <c r="L805" s="11" t="s">
        <v>596</v>
      </c>
      <c r="M805">
        <f t="shared" si="61"/>
        <v>5</v>
      </c>
      <c r="N805">
        <f t="shared" si="62"/>
        <v>7</v>
      </c>
      <c r="O805">
        <f t="shared" si="63"/>
        <v>2024</v>
      </c>
      <c r="P805" s="4">
        <f t="shared" si="64"/>
        <v>45478</v>
      </c>
      <c r="Q805" t="s">
        <v>1138</v>
      </c>
      <c r="R805" t="s">
        <v>1137</v>
      </c>
      <c r="S805">
        <v>1</v>
      </c>
      <c r="T805" t="s">
        <v>1149</v>
      </c>
      <c r="U805" s="11" t="str">
        <f t="shared" si="60"/>
        <v>05:52:52 AM</v>
      </c>
      <c r="BL805" s="2" t="s">
        <v>1955</v>
      </c>
    </row>
    <row r="806" spans="1:64" x14ac:dyDescent="0.35">
      <c r="A806">
        <v>2816</v>
      </c>
      <c r="B806" t="s">
        <v>15</v>
      </c>
      <c r="C806" s="1">
        <v>45365</v>
      </c>
      <c r="D806" t="s">
        <v>4</v>
      </c>
      <c r="E806" t="s">
        <v>37</v>
      </c>
      <c r="F806">
        <v>2</v>
      </c>
      <c r="G806">
        <v>1551.27</v>
      </c>
      <c r="H806">
        <v>3102.54</v>
      </c>
      <c r="I806">
        <v>131.13999999999999</v>
      </c>
      <c r="J806">
        <v>2971.4</v>
      </c>
      <c r="K806">
        <v>91</v>
      </c>
      <c r="L806" s="11" t="s">
        <v>597</v>
      </c>
      <c r="M806">
        <f t="shared" si="61"/>
        <v>14</v>
      </c>
      <c r="N806">
        <f t="shared" si="62"/>
        <v>3</v>
      </c>
      <c r="O806">
        <f t="shared" si="63"/>
        <v>2024</v>
      </c>
      <c r="P806" s="4">
        <f t="shared" si="64"/>
        <v>45365</v>
      </c>
      <c r="Q806" t="s">
        <v>1139</v>
      </c>
      <c r="R806" t="s">
        <v>1137</v>
      </c>
      <c r="S806">
        <v>3</v>
      </c>
      <c r="T806" t="s">
        <v>1149</v>
      </c>
      <c r="U806" s="11" t="str">
        <f t="shared" si="60"/>
        <v>10:57:01 PM</v>
      </c>
      <c r="BL806" s="2" t="s">
        <v>1956</v>
      </c>
    </row>
    <row r="807" spans="1:64" x14ac:dyDescent="0.35">
      <c r="A807">
        <v>8972</v>
      </c>
      <c r="B807" t="s">
        <v>13</v>
      </c>
      <c r="C807" s="1">
        <v>45554</v>
      </c>
      <c r="D807" t="s">
        <v>6</v>
      </c>
      <c r="E807" t="s">
        <v>38</v>
      </c>
      <c r="F807">
        <v>4</v>
      </c>
      <c r="G807">
        <v>1804.42</v>
      </c>
      <c r="H807">
        <v>7217.68</v>
      </c>
      <c r="I807">
        <v>106.24</v>
      </c>
      <c r="J807">
        <v>7111.44</v>
      </c>
      <c r="K807">
        <v>52</v>
      </c>
      <c r="L807" s="11" t="s">
        <v>598</v>
      </c>
      <c r="M807">
        <f t="shared" si="61"/>
        <v>19</v>
      </c>
      <c r="N807">
        <f t="shared" si="62"/>
        <v>9</v>
      </c>
      <c r="O807">
        <f t="shared" si="63"/>
        <v>2024</v>
      </c>
      <c r="P807" s="4">
        <f t="shared" si="64"/>
        <v>45554</v>
      </c>
      <c r="Q807" t="s">
        <v>1136</v>
      </c>
      <c r="R807" t="s">
        <v>1137</v>
      </c>
      <c r="S807">
        <v>2</v>
      </c>
      <c r="T807" t="s">
        <v>1149</v>
      </c>
      <c r="U807" s="11" t="str">
        <f t="shared" si="60"/>
        <v>02:23:52 AM</v>
      </c>
      <c r="BL807" s="2" t="s">
        <v>1957</v>
      </c>
    </row>
    <row r="808" spans="1:64" x14ac:dyDescent="0.35">
      <c r="A808">
        <v>6053</v>
      </c>
      <c r="B808" t="s">
        <v>19</v>
      </c>
      <c r="C808" s="1">
        <v>45180</v>
      </c>
      <c r="D808" t="s">
        <v>34</v>
      </c>
      <c r="E808" t="s">
        <v>28</v>
      </c>
      <c r="F808">
        <v>4</v>
      </c>
      <c r="G808">
        <v>440.73</v>
      </c>
      <c r="H808">
        <v>1762.92</v>
      </c>
      <c r="I808">
        <v>303.77999999999997</v>
      </c>
      <c r="J808">
        <v>1459.14</v>
      </c>
      <c r="K808">
        <v>327</v>
      </c>
      <c r="L808" s="11" t="s">
        <v>599</v>
      </c>
      <c r="M808">
        <f t="shared" si="61"/>
        <v>11</v>
      </c>
      <c r="N808">
        <f t="shared" si="62"/>
        <v>9</v>
      </c>
      <c r="O808">
        <f t="shared" si="63"/>
        <v>2023</v>
      </c>
      <c r="P808" s="4">
        <f t="shared" si="64"/>
        <v>45180</v>
      </c>
      <c r="Q808" t="s">
        <v>1136</v>
      </c>
      <c r="R808" t="s">
        <v>1137</v>
      </c>
      <c r="S808">
        <v>4</v>
      </c>
      <c r="T808" t="s">
        <v>1150</v>
      </c>
      <c r="U808" s="11" t="str">
        <f t="shared" si="60"/>
        <v>10:08:25 PM</v>
      </c>
      <c r="BL808" s="2" t="s">
        <v>1958</v>
      </c>
    </row>
    <row r="809" spans="1:64" x14ac:dyDescent="0.35">
      <c r="A809">
        <v>4612</v>
      </c>
      <c r="B809" t="s">
        <v>19</v>
      </c>
      <c r="C809" s="1">
        <v>45452</v>
      </c>
      <c r="D809" t="s">
        <v>23</v>
      </c>
      <c r="E809" t="s">
        <v>10</v>
      </c>
      <c r="F809">
        <v>4</v>
      </c>
      <c r="G809">
        <v>1464.95</v>
      </c>
      <c r="H809">
        <v>5859.8</v>
      </c>
      <c r="I809">
        <v>585.98</v>
      </c>
      <c r="J809">
        <v>5273.82</v>
      </c>
      <c r="K809">
        <v>263</v>
      </c>
      <c r="L809" s="11" t="s">
        <v>600</v>
      </c>
      <c r="M809">
        <f t="shared" si="61"/>
        <v>9</v>
      </c>
      <c r="N809">
        <f t="shared" si="62"/>
        <v>6</v>
      </c>
      <c r="O809">
        <f t="shared" si="63"/>
        <v>2024</v>
      </c>
      <c r="P809" s="4">
        <f t="shared" si="64"/>
        <v>45452</v>
      </c>
      <c r="Q809" t="s">
        <v>1138</v>
      </c>
      <c r="R809" t="s">
        <v>1135</v>
      </c>
      <c r="S809">
        <v>4</v>
      </c>
      <c r="T809" t="s">
        <v>1145</v>
      </c>
      <c r="U809" s="11" t="str">
        <f t="shared" si="60"/>
        <v>07:07:38 AM</v>
      </c>
      <c r="BL809" s="2" t="s">
        <v>1959</v>
      </c>
    </row>
    <row r="810" spans="1:64" x14ac:dyDescent="0.35">
      <c r="A810">
        <v>1897</v>
      </c>
      <c r="B810" t="s">
        <v>13</v>
      </c>
      <c r="C810" s="1">
        <v>45150</v>
      </c>
      <c r="D810" t="s">
        <v>9</v>
      </c>
      <c r="E810" t="s">
        <v>32</v>
      </c>
      <c r="F810">
        <v>5</v>
      </c>
      <c r="G810">
        <v>625.82000000000005</v>
      </c>
      <c r="H810">
        <v>3129.1</v>
      </c>
      <c r="I810">
        <v>271.41000000000003</v>
      </c>
      <c r="J810">
        <v>2857.69</v>
      </c>
      <c r="K810">
        <v>196</v>
      </c>
      <c r="L810" s="11" t="s">
        <v>601</v>
      </c>
      <c r="M810">
        <f t="shared" si="61"/>
        <v>12</v>
      </c>
      <c r="N810">
        <f t="shared" si="62"/>
        <v>8</v>
      </c>
      <c r="O810">
        <f t="shared" si="63"/>
        <v>2023</v>
      </c>
      <c r="P810" s="4">
        <f t="shared" si="64"/>
        <v>45150</v>
      </c>
      <c r="Q810" t="s">
        <v>1139</v>
      </c>
      <c r="R810" t="s">
        <v>1137</v>
      </c>
      <c r="S810">
        <v>4</v>
      </c>
      <c r="T810" t="s">
        <v>1142</v>
      </c>
      <c r="U810" s="11" t="str">
        <f t="shared" ref="U810:U873" si="65">TEXT(L810,"hh:mm:ss AM/PM")</f>
        <v>08:40:28 AM</v>
      </c>
      <c r="BL810" s="2" t="s">
        <v>1960</v>
      </c>
    </row>
    <row r="811" spans="1:64" x14ac:dyDescent="0.35">
      <c r="A811">
        <v>4349</v>
      </c>
      <c r="B811" t="s">
        <v>25</v>
      </c>
      <c r="C811" s="1">
        <v>45379</v>
      </c>
      <c r="D811" t="s">
        <v>11</v>
      </c>
      <c r="E811" t="s">
        <v>26</v>
      </c>
      <c r="F811">
        <v>4</v>
      </c>
      <c r="G811">
        <v>214.97</v>
      </c>
      <c r="H811">
        <v>859.88</v>
      </c>
      <c r="I811">
        <v>128.65</v>
      </c>
      <c r="J811">
        <v>731.23</v>
      </c>
      <c r="K811">
        <v>490</v>
      </c>
      <c r="L811" s="11" t="s">
        <v>602</v>
      </c>
      <c r="M811">
        <f t="shared" si="61"/>
        <v>28</v>
      </c>
      <c r="N811">
        <f t="shared" si="62"/>
        <v>3</v>
      </c>
      <c r="O811">
        <f t="shared" si="63"/>
        <v>2024</v>
      </c>
      <c r="P811" s="4">
        <f t="shared" si="64"/>
        <v>45379</v>
      </c>
      <c r="Q811" t="s">
        <v>1138</v>
      </c>
      <c r="R811" t="s">
        <v>1137</v>
      </c>
      <c r="S811">
        <v>2</v>
      </c>
      <c r="T811" t="s">
        <v>1143</v>
      </c>
      <c r="U811" s="11" t="str">
        <f t="shared" si="65"/>
        <v>08:15:41 AM</v>
      </c>
      <c r="BL811" s="2" t="s">
        <v>1961</v>
      </c>
    </row>
    <row r="812" spans="1:64" x14ac:dyDescent="0.35">
      <c r="A812">
        <v>4460</v>
      </c>
      <c r="B812" t="s">
        <v>3</v>
      </c>
      <c r="C812" s="1">
        <v>45741</v>
      </c>
      <c r="D812" t="s">
        <v>11</v>
      </c>
      <c r="E812" t="s">
        <v>32</v>
      </c>
      <c r="F812">
        <v>4</v>
      </c>
      <c r="G812">
        <v>1912.32</v>
      </c>
      <c r="H812">
        <v>7649.28</v>
      </c>
      <c r="I812">
        <v>1529.69</v>
      </c>
      <c r="J812">
        <v>6119.59</v>
      </c>
      <c r="K812">
        <v>148</v>
      </c>
      <c r="L812" s="11" t="s">
        <v>603</v>
      </c>
      <c r="M812">
        <f t="shared" si="61"/>
        <v>25</v>
      </c>
      <c r="N812">
        <f t="shared" si="62"/>
        <v>3</v>
      </c>
      <c r="O812">
        <f t="shared" si="63"/>
        <v>2025</v>
      </c>
      <c r="P812" s="4">
        <f t="shared" si="64"/>
        <v>45741</v>
      </c>
      <c r="Q812" t="s">
        <v>1134</v>
      </c>
      <c r="R812" t="s">
        <v>1137</v>
      </c>
      <c r="S812">
        <v>3</v>
      </c>
      <c r="T812" t="s">
        <v>1149</v>
      </c>
      <c r="U812" s="11" t="str">
        <f t="shared" si="65"/>
        <v>10:05:17 PM</v>
      </c>
      <c r="BL812" s="2" t="s">
        <v>1962</v>
      </c>
    </row>
    <row r="813" spans="1:64" x14ac:dyDescent="0.35">
      <c r="A813">
        <v>3248</v>
      </c>
      <c r="B813" t="s">
        <v>3</v>
      </c>
      <c r="C813" s="1">
        <v>45738</v>
      </c>
      <c r="D813" t="s">
        <v>1</v>
      </c>
      <c r="E813" t="s">
        <v>21</v>
      </c>
      <c r="F813">
        <v>2</v>
      </c>
      <c r="G813">
        <v>801.78</v>
      </c>
      <c r="H813">
        <v>1603.56</v>
      </c>
      <c r="I813">
        <v>0</v>
      </c>
      <c r="J813">
        <v>1603.56</v>
      </c>
      <c r="K813">
        <v>199</v>
      </c>
      <c r="L813" s="11" t="s">
        <v>604</v>
      </c>
      <c r="M813">
        <f t="shared" si="61"/>
        <v>22</v>
      </c>
      <c r="N813">
        <f t="shared" si="62"/>
        <v>3</v>
      </c>
      <c r="O813">
        <f t="shared" si="63"/>
        <v>2025</v>
      </c>
      <c r="P813" s="4">
        <f t="shared" si="64"/>
        <v>45738</v>
      </c>
      <c r="Q813" t="s">
        <v>1134</v>
      </c>
      <c r="R813" t="s">
        <v>1135</v>
      </c>
      <c r="S813">
        <v>5</v>
      </c>
      <c r="T813" t="s">
        <v>1141</v>
      </c>
      <c r="U813" s="11" t="str">
        <f t="shared" si="65"/>
        <v>06:49:34 AM</v>
      </c>
      <c r="BL813" s="2" t="s">
        <v>1963</v>
      </c>
    </row>
    <row r="814" spans="1:64" x14ac:dyDescent="0.35">
      <c r="A814">
        <v>5186</v>
      </c>
      <c r="B814" t="s">
        <v>25</v>
      </c>
      <c r="C814" s="1">
        <v>45369</v>
      </c>
      <c r="D814" t="s">
        <v>34</v>
      </c>
      <c r="E814" t="s">
        <v>32</v>
      </c>
      <c r="F814">
        <v>4</v>
      </c>
      <c r="G814">
        <v>1851.73</v>
      </c>
      <c r="H814">
        <v>7406.92</v>
      </c>
      <c r="I814">
        <v>1481.55</v>
      </c>
      <c r="J814">
        <v>5925.37</v>
      </c>
      <c r="K814">
        <v>71</v>
      </c>
      <c r="L814" s="11" t="s">
        <v>605</v>
      </c>
      <c r="M814">
        <f t="shared" si="61"/>
        <v>18</v>
      </c>
      <c r="N814">
        <f t="shared" si="62"/>
        <v>3</v>
      </c>
      <c r="O814">
        <f t="shared" si="63"/>
        <v>2024</v>
      </c>
      <c r="P814" s="4">
        <f t="shared" si="64"/>
        <v>45369</v>
      </c>
      <c r="Q814" t="s">
        <v>1138</v>
      </c>
      <c r="R814" t="s">
        <v>1135</v>
      </c>
      <c r="S814">
        <v>3</v>
      </c>
      <c r="T814" t="s">
        <v>1141</v>
      </c>
      <c r="U814" s="11" t="str">
        <f t="shared" si="65"/>
        <v>03:59:33 PM</v>
      </c>
      <c r="BL814" s="2" t="s">
        <v>1964</v>
      </c>
    </row>
    <row r="815" spans="1:64" x14ac:dyDescent="0.35">
      <c r="A815">
        <v>6375</v>
      </c>
      <c r="B815" t="s">
        <v>20</v>
      </c>
      <c r="C815" s="1">
        <v>45238</v>
      </c>
      <c r="D815" t="s">
        <v>17</v>
      </c>
      <c r="E815" t="s">
        <v>14</v>
      </c>
      <c r="F815">
        <v>4</v>
      </c>
      <c r="G815">
        <v>1017.58</v>
      </c>
      <c r="H815">
        <v>4070.32</v>
      </c>
      <c r="I815">
        <v>406.7</v>
      </c>
      <c r="J815">
        <v>3663.62</v>
      </c>
      <c r="K815">
        <v>405</v>
      </c>
      <c r="L815" s="11" t="s">
        <v>606</v>
      </c>
      <c r="M815">
        <f t="shared" si="61"/>
        <v>8</v>
      </c>
      <c r="N815">
        <f t="shared" si="62"/>
        <v>11</v>
      </c>
      <c r="O815">
        <f t="shared" si="63"/>
        <v>2023</v>
      </c>
      <c r="P815" s="4">
        <f t="shared" si="64"/>
        <v>45238</v>
      </c>
      <c r="Q815" t="s">
        <v>1136</v>
      </c>
      <c r="R815" t="s">
        <v>1135</v>
      </c>
      <c r="S815">
        <v>1</v>
      </c>
      <c r="T815" t="s">
        <v>1148</v>
      </c>
      <c r="U815" s="11" t="str">
        <f t="shared" si="65"/>
        <v>10:01:15 PM</v>
      </c>
      <c r="BL815" s="2" t="s">
        <v>1965</v>
      </c>
    </row>
    <row r="816" spans="1:64" x14ac:dyDescent="0.35">
      <c r="A816">
        <v>1126</v>
      </c>
      <c r="B816" t="s">
        <v>3</v>
      </c>
      <c r="C816" s="1">
        <v>45531</v>
      </c>
      <c r="D816" t="s">
        <v>34</v>
      </c>
      <c r="E816" t="s">
        <v>28</v>
      </c>
      <c r="F816">
        <v>1</v>
      </c>
      <c r="G816">
        <v>898.89</v>
      </c>
      <c r="H816">
        <v>898.89</v>
      </c>
      <c r="I816">
        <v>89.64</v>
      </c>
      <c r="J816">
        <v>809.25</v>
      </c>
      <c r="K816">
        <v>172</v>
      </c>
      <c r="L816" s="11" t="s">
        <v>607</v>
      </c>
      <c r="M816">
        <f t="shared" si="61"/>
        <v>27</v>
      </c>
      <c r="N816">
        <f t="shared" si="62"/>
        <v>8</v>
      </c>
      <c r="O816">
        <f t="shared" si="63"/>
        <v>2024</v>
      </c>
      <c r="P816" s="4">
        <f t="shared" si="64"/>
        <v>45531</v>
      </c>
      <c r="Q816" t="s">
        <v>1136</v>
      </c>
      <c r="R816" t="s">
        <v>1137</v>
      </c>
      <c r="S816">
        <v>4</v>
      </c>
      <c r="T816" t="s">
        <v>1149</v>
      </c>
      <c r="U816" s="11" t="str">
        <f t="shared" si="65"/>
        <v>11:33:36 PM</v>
      </c>
      <c r="BL816" s="2" t="s">
        <v>1966</v>
      </c>
    </row>
    <row r="817" spans="1:64" x14ac:dyDescent="0.35">
      <c r="A817">
        <v>8055</v>
      </c>
      <c r="B817" t="s">
        <v>0</v>
      </c>
      <c r="C817" s="1">
        <v>45281</v>
      </c>
      <c r="D817" t="s">
        <v>6</v>
      </c>
      <c r="E817" t="s">
        <v>36</v>
      </c>
      <c r="F817">
        <v>4</v>
      </c>
      <c r="G817">
        <v>2344.75</v>
      </c>
      <c r="H817">
        <v>9379</v>
      </c>
      <c r="I817">
        <v>0</v>
      </c>
      <c r="J817">
        <v>9379</v>
      </c>
      <c r="K817">
        <v>445</v>
      </c>
      <c r="L817" s="11" t="s">
        <v>608</v>
      </c>
      <c r="M817">
        <f t="shared" si="61"/>
        <v>21</v>
      </c>
      <c r="N817">
        <f t="shared" si="62"/>
        <v>12</v>
      </c>
      <c r="O817">
        <f t="shared" si="63"/>
        <v>2023</v>
      </c>
      <c r="P817" s="4">
        <f t="shared" si="64"/>
        <v>45281</v>
      </c>
      <c r="Q817" t="s">
        <v>1138</v>
      </c>
      <c r="R817" t="s">
        <v>1137</v>
      </c>
      <c r="S817">
        <v>3</v>
      </c>
      <c r="T817" t="s">
        <v>1141</v>
      </c>
      <c r="U817" s="11" t="str">
        <f t="shared" si="65"/>
        <v>10:36:38 PM</v>
      </c>
      <c r="BL817" s="2" t="s">
        <v>1967</v>
      </c>
    </row>
    <row r="818" spans="1:64" x14ac:dyDescent="0.35">
      <c r="A818">
        <v>3116</v>
      </c>
      <c r="B818" t="s">
        <v>31</v>
      </c>
      <c r="C818" s="1">
        <v>45440</v>
      </c>
      <c r="D818" t="s">
        <v>4</v>
      </c>
      <c r="E818" t="s">
        <v>29</v>
      </c>
      <c r="F818">
        <v>2</v>
      </c>
      <c r="G818">
        <v>1259.1099999999999</v>
      </c>
      <c r="H818">
        <v>2518.2199999999998</v>
      </c>
      <c r="I818">
        <v>97.94</v>
      </c>
      <c r="J818">
        <v>2420.2800000000002</v>
      </c>
      <c r="K818">
        <v>9</v>
      </c>
      <c r="L818" s="11" t="s">
        <v>609</v>
      </c>
      <c r="M818">
        <f t="shared" si="61"/>
        <v>28</v>
      </c>
      <c r="N818">
        <f t="shared" si="62"/>
        <v>5</v>
      </c>
      <c r="O818">
        <f t="shared" si="63"/>
        <v>2024</v>
      </c>
      <c r="P818" s="4">
        <f t="shared" si="64"/>
        <v>45440</v>
      </c>
      <c r="Q818" t="s">
        <v>1138</v>
      </c>
      <c r="R818" t="s">
        <v>1135</v>
      </c>
      <c r="S818">
        <v>5</v>
      </c>
      <c r="T818" t="s">
        <v>1147</v>
      </c>
      <c r="U818" s="11" t="str">
        <f t="shared" si="65"/>
        <v>05:04:06 PM</v>
      </c>
      <c r="BL818" s="2" t="s">
        <v>1968</v>
      </c>
    </row>
    <row r="819" spans="1:64" x14ac:dyDescent="0.35">
      <c r="A819">
        <v>9725</v>
      </c>
      <c r="B819" t="s">
        <v>8</v>
      </c>
      <c r="C819" s="1">
        <v>45691</v>
      </c>
      <c r="D819" t="s">
        <v>1</v>
      </c>
      <c r="E819" t="s">
        <v>18</v>
      </c>
      <c r="F819">
        <v>1</v>
      </c>
      <c r="G819">
        <v>2260.09</v>
      </c>
      <c r="H819">
        <v>2260.09</v>
      </c>
      <c r="I819">
        <v>225.76</v>
      </c>
      <c r="J819">
        <v>2034.33</v>
      </c>
      <c r="K819">
        <v>420</v>
      </c>
      <c r="L819" s="11" t="s">
        <v>610</v>
      </c>
      <c r="M819">
        <f t="shared" si="61"/>
        <v>3</v>
      </c>
      <c r="N819">
        <f t="shared" si="62"/>
        <v>2</v>
      </c>
      <c r="O819">
        <f t="shared" si="63"/>
        <v>2025</v>
      </c>
      <c r="P819" s="4">
        <f t="shared" si="64"/>
        <v>45691</v>
      </c>
      <c r="Q819" t="s">
        <v>1134</v>
      </c>
      <c r="R819" t="s">
        <v>1137</v>
      </c>
      <c r="S819">
        <v>1</v>
      </c>
      <c r="T819" t="s">
        <v>1142</v>
      </c>
      <c r="U819" s="11" t="str">
        <f t="shared" si="65"/>
        <v>09:12:18 AM</v>
      </c>
      <c r="BL819" s="2" t="s">
        <v>1969</v>
      </c>
    </row>
    <row r="820" spans="1:64" x14ac:dyDescent="0.35">
      <c r="A820">
        <v>4770</v>
      </c>
      <c r="B820" t="s">
        <v>8</v>
      </c>
      <c r="C820" s="1">
        <v>45533</v>
      </c>
      <c r="D820" t="s">
        <v>17</v>
      </c>
      <c r="E820" t="s">
        <v>32</v>
      </c>
      <c r="F820">
        <v>1</v>
      </c>
      <c r="G820">
        <v>356.9</v>
      </c>
      <c r="H820">
        <v>356.9</v>
      </c>
      <c r="I820">
        <v>350.26</v>
      </c>
      <c r="J820">
        <v>6.64</v>
      </c>
      <c r="K820">
        <v>304</v>
      </c>
      <c r="L820" s="11" t="s">
        <v>611</v>
      </c>
      <c r="M820">
        <f t="shared" si="61"/>
        <v>29</v>
      </c>
      <c r="N820">
        <f t="shared" si="62"/>
        <v>8</v>
      </c>
      <c r="O820">
        <f t="shared" si="63"/>
        <v>2024</v>
      </c>
      <c r="P820" s="4">
        <f t="shared" si="64"/>
        <v>45533</v>
      </c>
      <c r="Q820" t="s">
        <v>1136</v>
      </c>
      <c r="R820" t="s">
        <v>1135</v>
      </c>
      <c r="S820">
        <v>2</v>
      </c>
      <c r="T820" t="s">
        <v>1145</v>
      </c>
      <c r="U820" s="11" t="str">
        <f t="shared" si="65"/>
        <v>12:21:12 PM</v>
      </c>
      <c r="BL820" s="2" t="s">
        <v>1970</v>
      </c>
    </row>
    <row r="821" spans="1:64" x14ac:dyDescent="0.35">
      <c r="A821">
        <v>6802</v>
      </c>
      <c r="B821" t="s">
        <v>13</v>
      </c>
      <c r="C821" s="1">
        <v>45200</v>
      </c>
      <c r="D821" t="s">
        <v>11</v>
      </c>
      <c r="E821" t="s">
        <v>21</v>
      </c>
      <c r="F821">
        <v>3</v>
      </c>
      <c r="G821">
        <v>372.67</v>
      </c>
      <c r="H821">
        <v>1118.01</v>
      </c>
      <c r="I821">
        <v>167.66</v>
      </c>
      <c r="J821">
        <v>950.35</v>
      </c>
      <c r="K821">
        <v>350</v>
      </c>
      <c r="L821" s="11" t="s">
        <v>612</v>
      </c>
      <c r="M821">
        <f t="shared" si="61"/>
        <v>1</v>
      </c>
      <c r="N821">
        <f t="shared" si="62"/>
        <v>10</v>
      </c>
      <c r="O821">
        <f t="shared" si="63"/>
        <v>2023</v>
      </c>
      <c r="P821" s="4">
        <f t="shared" si="64"/>
        <v>45200</v>
      </c>
      <c r="Q821" t="s">
        <v>1138</v>
      </c>
      <c r="R821" t="s">
        <v>1135</v>
      </c>
      <c r="S821">
        <v>2</v>
      </c>
      <c r="T821" t="s">
        <v>1145</v>
      </c>
      <c r="U821" s="11" t="str">
        <f t="shared" si="65"/>
        <v>04:05:47 PM</v>
      </c>
      <c r="BL821" s="2" t="s">
        <v>1971</v>
      </c>
    </row>
    <row r="822" spans="1:64" x14ac:dyDescent="0.35">
      <c r="A822">
        <v>7505</v>
      </c>
      <c r="B822" t="s">
        <v>31</v>
      </c>
      <c r="C822" s="1">
        <v>45814</v>
      </c>
      <c r="D822" t="s">
        <v>1</v>
      </c>
      <c r="E822" t="s">
        <v>18</v>
      </c>
      <c r="F822">
        <v>3</v>
      </c>
      <c r="G822">
        <v>234.06</v>
      </c>
      <c r="H822">
        <v>702.18</v>
      </c>
      <c r="I822">
        <v>70.55</v>
      </c>
      <c r="J822">
        <v>631.63</v>
      </c>
      <c r="K822">
        <v>140</v>
      </c>
      <c r="L822" s="11" t="s">
        <v>613</v>
      </c>
      <c r="M822">
        <f t="shared" si="61"/>
        <v>6</v>
      </c>
      <c r="N822">
        <f t="shared" si="62"/>
        <v>6</v>
      </c>
      <c r="O822">
        <f t="shared" si="63"/>
        <v>2025</v>
      </c>
      <c r="P822" s="4">
        <f t="shared" si="64"/>
        <v>45814</v>
      </c>
      <c r="Q822" t="s">
        <v>1134</v>
      </c>
      <c r="R822" t="s">
        <v>1137</v>
      </c>
      <c r="S822">
        <v>5</v>
      </c>
      <c r="T822" t="s">
        <v>1147</v>
      </c>
      <c r="U822" s="11" t="str">
        <f t="shared" si="65"/>
        <v>04:08:45 AM</v>
      </c>
      <c r="BL822" s="2" t="s">
        <v>1972</v>
      </c>
    </row>
    <row r="823" spans="1:64" x14ac:dyDescent="0.35">
      <c r="A823">
        <v>1693</v>
      </c>
      <c r="B823" t="s">
        <v>8</v>
      </c>
      <c r="C823" s="1">
        <v>45483</v>
      </c>
      <c r="D823" t="s">
        <v>11</v>
      </c>
      <c r="E823" t="s">
        <v>7</v>
      </c>
      <c r="F823">
        <v>2</v>
      </c>
      <c r="G823">
        <v>1137.93</v>
      </c>
      <c r="H823">
        <v>2275.86</v>
      </c>
      <c r="I823">
        <v>454.84</v>
      </c>
      <c r="J823">
        <v>1821.02</v>
      </c>
      <c r="K823">
        <v>473</v>
      </c>
      <c r="L823" s="11" t="s">
        <v>614</v>
      </c>
      <c r="M823">
        <f t="shared" si="61"/>
        <v>10</v>
      </c>
      <c r="N823">
        <f t="shared" si="62"/>
        <v>7</v>
      </c>
      <c r="O823">
        <f t="shared" si="63"/>
        <v>2024</v>
      </c>
      <c r="P823" s="4">
        <f t="shared" si="64"/>
        <v>45483</v>
      </c>
      <c r="Q823" t="s">
        <v>1136</v>
      </c>
      <c r="R823" t="s">
        <v>1137</v>
      </c>
      <c r="S823">
        <v>1</v>
      </c>
      <c r="T823" t="s">
        <v>1143</v>
      </c>
      <c r="U823" s="11" t="str">
        <f t="shared" si="65"/>
        <v>03:49:44 AM</v>
      </c>
      <c r="BL823" s="2" t="s">
        <v>1973</v>
      </c>
    </row>
    <row r="824" spans="1:64" x14ac:dyDescent="0.35">
      <c r="A824">
        <v>1307</v>
      </c>
      <c r="B824" t="s">
        <v>0</v>
      </c>
      <c r="C824" s="1">
        <v>45502</v>
      </c>
      <c r="D824" t="s">
        <v>16</v>
      </c>
      <c r="E824" t="s">
        <v>21</v>
      </c>
      <c r="F824">
        <v>2</v>
      </c>
      <c r="G824">
        <v>119.52</v>
      </c>
      <c r="H824">
        <v>239.04</v>
      </c>
      <c r="I824">
        <v>85.49</v>
      </c>
      <c r="J824">
        <v>153.55000000000001</v>
      </c>
      <c r="K824">
        <v>249</v>
      </c>
      <c r="L824" s="11" t="s">
        <v>615</v>
      </c>
      <c r="M824">
        <f t="shared" si="61"/>
        <v>29</v>
      </c>
      <c r="N824">
        <f t="shared" si="62"/>
        <v>7</v>
      </c>
      <c r="O824">
        <f t="shared" si="63"/>
        <v>2024</v>
      </c>
      <c r="P824" s="4">
        <f t="shared" si="64"/>
        <v>45502</v>
      </c>
      <c r="Q824" t="s">
        <v>1139</v>
      </c>
      <c r="R824" t="s">
        <v>1137</v>
      </c>
      <c r="S824">
        <v>4</v>
      </c>
      <c r="T824" t="s">
        <v>1141</v>
      </c>
      <c r="U824" s="11" t="str">
        <f t="shared" si="65"/>
        <v>08:07:40 PM</v>
      </c>
      <c r="BL824" s="2" t="s">
        <v>1974</v>
      </c>
    </row>
    <row r="825" spans="1:64" x14ac:dyDescent="0.35">
      <c r="A825">
        <v>2275</v>
      </c>
      <c r="B825" t="s">
        <v>0</v>
      </c>
      <c r="C825" s="1">
        <v>45814</v>
      </c>
      <c r="D825" t="s">
        <v>16</v>
      </c>
      <c r="E825" t="s">
        <v>26</v>
      </c>
      <c r="F825">
        <v>4</v>
      </c>
      <c r="G825">
        <v>1751.3</v>
      </c>
      <c r="H825">
        <v>7005.2</v>
      </c>
      <c r="I825">
        <v>0</v>
      </c>
      <c r="J825">
        <v>7005.2</v>
      </c>
      <c r="K825">
        <v>405</v>
      </c>
      <c r="L825" s="11" t="s">
        <v>616</v>
      </c>
      <c r="M825">
        <f t="shared" si="61"/>
        <v>6</v>
      </c>
      <c r="N825">
        <f t="shared" si="62"/>
        <v>6</v>
      </c>
      <c r="O825">
        <f t="shared" si="63"/>
        <v>2025</v>
      </c>
      <c r="P825" s="4">
        <f t="shared" si="64"/>
        <v>45814</v>
      </c>
      <c r="Q825" t="s">
        <v>1134</v>
      </c>
      <c r="R825" t="s">
        <v>1137</v>
      </c>
      <c r="S825">
        <v>3</v>
      </c>
      <c r="T825" t="s">
        <v>1144</v>
      </c>
      <c r="U825" s="11" t="str">
        <f t="shared" si="65"/>
        <v>07:56:01 PM</v>
      </c>
      <c r="BL825" s="2" t="s">
        <v>1975</v>
      </c>
    </row>
    <row r="826" spans="1:64" x14ac:dyDescent="0.35">
      <c r="A826">
        <v>6129</v>
      </c>
      <c r="B826" t="s">
        <v>8</v>
      </c>
      <c r="C826" s="1">
        <v>45592</v>
      </c>
      <c r="D826" t="s">
        <v>6</v>
      </c>
      <c r="E826" t="s">
        <v>30</v>
      </c>
      <c r="F826">
        <v>3</v>
      </c>
      <c r="G826">
        <v>1341.28</v>
      </c>
      <c r="H826">
        <v>4023.84</v>
      </c>
      <c r="I826">
        <v>805.1</v>
      </c>
      <c r="J826">
        <v>3218.74</v>
      </c>
      <c r="K826">
        <v>210</v>
      </c>
      <c r="L826" s="11" t="s">
        <v>617</v>
      </c>
      <c r="M826">
        <f t="shared" si="61"/>
        <v>27</v>
      </c>
      <c r="N826">
        <f t="shared" si="62"/>
        <v>10</v>
      </c>
      <c r="O826">
        <f t="shared" si="63"/>
        <v>2024</v>
      </c>
      <c r="P826" s="4">
        <f t="shared" si="64"/>
        <v>45592</v>
      </c>
      <c r="Q826" t="s">
        <v>1136</v>
      </c>
      <c r="R826" t="s">
        <v>1135</v>
      </c>
      <c r="S826">
        <v>1</v>
      </c>
      <c r="T826" t="s">
        <v>1141</v>
      </c>
      <c r="U826" s="11" t="str">
        <f t="shared" si="65"/>
        <v>02:20:08 AM</v>
      </c>
      <c r="BL826" s="2" t="s">
        <v>1976</v>
      </c>
    </row>
    <row r="827" spans="1:64" x14ac:dyDescent="0.35">
      <c r="A827">
        <v>8033</v>
      </c>
      <c r="B827" t="s">
        <v>20</v>
      </c>
      <c r="C827" s="1">
        <v>45590</v>
      </c>
      <c r="D827" t="s">
        <v>17</v>
      </c>
      <c r="E827" t="s">
        <v>18</v>
      </c>
      <c r="F827">
        <v>4</v>
      </c>
      <c r="G827">
        <v>1555.42</v>
      </c>
      <c r="H827">
        <v>6221.68</v>
      </c>
      <c r="I827">
        <v>932.92</v>
      </c>
      <c r="J827">
        <v>5288.76</v>
      </c>
      <c r="K827">
        <v>45</v>
      </c>
      <c r="L827" s="11" t="s">
        <v>618</v>
      </c>
      <c r="M827">
        <f t="shared" si="61"/>
        <v>25</v>
      </c>
      <c r="N827">
        <f t="shared" si="62"/>
        <v>10</v>
      </c>
      <c r="O827">
        <f t="shared" si="63"/>
        <v>2024</v>
      </c>
      <c r="P827" s="4">
        <f t="shared" si="64"/>
        <v>45590</v>
      </c>
      <c r="Q827" t="s">
        <v>1136</v>
      </c>
      <c r="R827" t="s">
        <v>1135</v>
      </c>
      <c r="S827">
        <v>2</v>
      </c>
      <c r="T827" t="s">
        <v>1146</v>
      </c>
      <c r="U827" s="11" t="str">
        <f t="shared" si="65"/>
        <v>01:47:51 PM</v>
      </c>
      <c r="BL827" s="2" t="s">
        <v>1977</v>
      </c>
    </row>
    <row r="828" spans="1:64" x14ac:dyDescent="0.35">
      <c r="A828">
        <v>7626</v>
      </c>
      <c r="B828" t="s">
        <v>13</v>
      </c>
      <c r="C828" s="1">
        <v>45696</v>
      </c>
      <c r="D828" t="s">
        <v>1</v>
      </c>
      <c r="E828" t="s">
        <v>7</v>
      </c>
      <c r="F828">
        <v>2</v>
      </c>
      <c r="G828">
        <v>544.48</v>
      </c>
      <c r="H828">
        <v>1088.96</v>
      </c>
      <c r="I828">
        <v>203.35</v>
      </c>
      <c r="J828">
        <v>885.61</v>
      </c>
      <c r="K828">
        <v>271</v>
      </c>
      <c r="L828" s="11" t="s">
        <v>619</v>
      </c>
      <c r="M828">
        <f t="shared" si="61"/>
        <v>8</v>
      </c>
      <c r="N828">
        <f t="shared" si="62"/>
        <v>2</v>
      </c>
      <c r="O828">
        <f t="shared" si="63"/>
        <v>2025</v>
      </c>
      <c r="P828" s="4">
        <f t="shared" si="64"/>
        <v>45696</v>
      </c>
      <c r="Q828" t="s">
        <v>1134</v>
      </c>
      <c r="R828" t="s">
        <v>1135</v>
      </c>
      <c r="S828">
        <v>5</v>
      </c>
      <c r="T828" t="s">
        <v>1148</v>
      </c>
      <c r="U828" s="11" t="str">
        <f t="shared" si="65"/>
        <v>07:29:56 AM</v>
      </c>
      <c r="BL828" s="2" t="s">
        <v>1978</v>
      </c>
    </row>
    <row r="829" spans="1:64" x14ac:dyDescent="0.35">
      <c r="A829">
        <v>7843</v>
      </c>
      <c r="B829" t="s">
        <v>3</v>
      </c>
      <c r="C829" s="1">
        <v>45369</v>
      </c>
      <c r="D829" t="s">
        <v>27</v>
      </c>
      <c r="E829" t="s">
        <v>14</v>
      </c>
      <c r="F829">
        <v>4</v>
      </c>
      <c r="G829">
        <v>1936.39</v>
      </c>
      <c r="H829">
        <v>7745.56</v>
      </c>
      <c r="I829">
        <v>1162</v>
      </c>
      <c r="J829">
        <v>6583.56</v>
      </c>
      <c r="K829">
        <v>337</v>
      </c>
      <c r="L829" s="11" t="s">
        <v>620</v>
      </c>
      <c r="M829">
        <f t="shared" si="61"/>
        <v>18</v>
      </c>
      <c r="N829">
        <f t="shared" si="62"/>
        <v>3</v>
      </c>
      <c r="O829">
        <f t="shared" si="63"/>
        <v>2024</v>
      </c>
      <c r="P829" s="4">
        <f t="shared" si="64"/>
        <v>45369</v>
      </c>
      <c r="Q829" t="s">
        <v>1139</v>
      </c>
      <c r="R829" t="s">
        <v>1135</v>
      </c>
      <c r="S829">
        <v>5</v>
      </c>
      <c r="T829" t="s">
        <v>1147</v>
      </c>
      <c r="U829" s="11" t="str">
        <f t="shared" si="65"/>
        <v>06:54:29 PM</v>
      </c>
      <c r="BL829" s="2" t="s">
        <v>1979</v>
      </c>
    </row>
    <row r="830" spans="1:64" x14ac:dyDescent="0.35">
      <c r="A830">
        <v>2887</v>
      </c>
      <c r="B830" t="s">
        <v>20</v>
      </c>
      <c r="C830" s="1">
        <v>45459</v>
      </c>
      <c r="D830" t="s">
        <v>6</v>
      </c>
      <c r="E830" t="s">
        <v>38</v>
      </c>
      <c r="F830">
        <v>2</v>
      </c>
      <c r="G830">
        <v>1731.38</v>
      </c>
      <c r="H830">
        <v>3462.76</v>
      </c>
      <c r="I830">
        <v>346.11</v>
      </c>
      <c r="J830">
        <v>3116.65</v>
      </c>
      <c r="K830">
        <v>495</v>
      </c>
      <c r="L830" s="11" t="s">
        <v>621</v>
      </c>
      <c r="M830">
        <f t="shared" si="61"/>
        <v>16</v>
      </c>
      <c r="N830">
        <f t="shared" si="62"/>
        <v>6</v>
      </c>
      <c r="O830">
        <f t="shared" si="63"/>
        <v>2024</v>
      </c>
      <c r="P830" s="4">
        <f t="shared" si="64"/>
        <v>45459</v>
      </c>
      <c r="Q830" t="s">
        <v>1134</v>
      </c>
      <c r="R830" t="s">
        <v>1135</v>
      </c>
      <c r="S830">
        <v>3</v>
      </c>
      <c r="T830" t="s">
        <v>1147</v>
      </c>
      <c r="U830" s="11" t="str">
        <f t="shared" si="65"/>
        <v>07:07:39 AM</v>
      </c>
      <c r="BL830" s="2" t="s">
        <v>1980</v>
      </c>
    </row>
    <row r="831" spans="1:64" x14ac:dyDescent="0.35">
      <c r="A831">
        <v>1341</v>
      </c>
      <c r="B831" t="s">
        <v>8</v>
      </c>
      <c r="C831" s="1">
        <v>45397</v>
      </c>
      <c r="D831" t="s">
        <v>23</v>
      </c>
      <c r="E831" t="s">
        <v>29</v>
      </c>
      <c r="F831">
        <v>1</v>
      </c>
      <c r="G831">
        <v>1634.27</v>
      </c>
      <c r="H831">
        <v>1634.27</v>
      </c>
      <c r="I831">
        <v>163.51</v>
      </c>
      <c r="J831">
        <v>1470.76</v>
      </c>
      <c r="K831">
        <v>145</v>
      </c>
      <c r="L831" s="11" t="s">
        <v>622</v>
      </c>
      <c r="M831">
        <f t="shared" si="61"/>
        <v>15</v>
      </c>
      <c r="N831">
        <f t="shared" si="62"/>
        <v>4</v>
      </c>
      <c r="O831">
        <f t="shared" si="63"/>
        <v>2024</v>
      </c>
      <c r="P831" s="4">
        <f t="shared" si="64"/>
        <v>45397</v>
      </c>
      <c r="Q831" t="s">
        <v>1136</v>
      </c>
      <c r="R831" t="s">
        <v>1137</v>
      </c>
      <c r="S831">
        <v>5</v>
      </c>
      <c r="T831" t="s">
        <v>1147</v>
      </c>
      <c r="U831" s="11" t="str">
        <f t="shared" si="65"/>
        <v>06:54:52 PM</v>
      </c>
      <c r="BL831" s="2" t="s">
        <v>1981</v>
      </c>
    </row>
    <row r="832" spans="1:64" x14ac:dyDescent="0.35">
      <c r="A832">
        <v>3815</v>
      </c>
      <c r="B832" t="s">
        <v>19</v>
      </c>
      <c r="C832" s="1">
        <v>45767</v>
      </c>
      <c r="D832" t="s">
        <v>11</v>
      </c>
      <c r="E832" t="s">
        <v>22</v>
      </c>
      <c r="F832">
        <v>1</v>
      </c>
      <c r="G832">
        <v>333.66</v>
      </c>
      <c r="H832">
        <v>333.66</v>
      </c>
      <c r="I832">
        <v>66.400000000000006</v>
      </c>
      <c r="J832">
        <v>267.26</v>
      </c>
      <c r="K832">
        <v>26</v>
      </c>
      <c r="L832" s="11" t="s">
        <v>623</v>
      </c>
      <c r="M832">
        <f t="shared" si="61"/>
        <v>20</v>
      </c>
      <c r="N832">
        <f t="shared" si="62"/>
        <v>4</v>
      </c>
      <c r="O832">
        <f t="shared" si="63"/>
        <v>2025</v>
      </c>
      <c r="P832" s="4">
        <f t="shared" si="64"/>
        <v>45767</v>
      </c>
      <c r="Q832" t="s">
        <v>1138</v>
      </c>
      <c r="R832" t="s">
        <v>1135</v>
      </c>
      <c r="S832">
        <v>5</v>
      </c>
      <c r="T832" t="s">
        <v>1144</v>
      </c>
      <c r="U832" s="11" t="str">
        <f t="shared" si="65"/>
        <v>01:27:21 AM</v>
      </c>
      <c r="BL832" s="2" t="s">
        <v>1982</v>
      </c>
    </row>
    <row r="833" spans="1:64" x14ac:dyDescent="0.35">
      <c r="A833">
        <v>8538</v>
      </c>
      <c r="B833" t="s">
        <v>20</v>
      </c>
      <c r="C833" s="1">
        <v>45791</v>
      </c>
      <c r="D833" t="s">
        <v>34</v>
      </c>
      <c r="E833" t="s">
        <v>36</v>
      </c>
      <c r="F833">
        <v>1</v>
      </c>
      <c r="G833">
        <v>252.32</v>
      </c>
      <c r="H833">
        <v>252.32</v>
      </c>
      <c r="I833">
        <v>275.56</v>
      </c>
      <c r="J833">
        <v>-23.24</v>
      </c>
      <c r="K833">
        <v>120</v>
      </c>
      <c r="L833" s="11" t="s">
        <v>624</v>
      </c>
      <c r="M833">
        <f t="shared" si="61"/>
        <v>14</v>
      </c>
      <c r="N833">
        <f t="shared" si="62"/>
        <v>5</v>
      </c>
      <c r="O833">
        <f t="shared" si="63"/>
        <v>2025</v>
      </c>
      <c r="P833" s="4">
        <f t="shared" si="64"/>
        <v>45791</v>
      </c>
      <c r="Q833" t="s">
        <v>1138</v>
      </c>
      <c r="R833" t="s">
        <v>1135</v>
      </c>
      <c r="S833">
        <v>1</v>
      </c>
      <c r="T833" t="s">
        <v>1146</v>
      </c>
      <c r="U833" s="11" t="str">
        <f t="shared" si="65"/>
        <v>08:03:54 AM</v>
      </c>
      <c r="BL833" s="2" t="s">
        <v>1983</v>
      </c>
    </row>
    <row r="834" spans="1:64" x14ac:dyDescent="0.35">
      <c r="A834">
        <v>6928</v>
      </c>
      <c r="B834" t="s">
        <v>13</v>
      </c>
      <c r="C834" s="1">
        <v>45213</v>
      </c>
      <c r="D834" t="s">
        <v>6</v>
      </c>
      <c r="E834" t="s">
        <v>10</v>
      </c>
      <c r="F834">
        <v>2</v>
      </c>
      <c r="G834">
        <v>1957.14</v>
      </c>
      <c r="H834">
        <v>3914.28</v>
      </c>
      <c r="I834">
        <v>161.85</v>
      </c>
      <c r="J834">
        <v>3752.43</v>
      </c>
      <c r="K834">
        <v>166</v>
      </c>
      <c r="L834" s="11" t="s">
        <v>625</v>
      </c>
      <c r="M834">
        <f t="shared" ref="M834:M897" si="66">DAY(C834)</f>
        <v>14</v>
      </c>
      <c r="N834">
        <f t="shared" ref="N834:N897" si="67">MONTH(C834)</f>
        <v>10</v>
      </c>
      <c r="O834">
        <f t="shared" ref="O834:O897" si="68">YEAR(C834)</f>
        <v>2023</v>
      </c>
      <c r="P834" s="4">
        <f t="shared" si="64"/>
        <v>45213</v>
      </c>
      <c r="Q834" t="s">
        <v>1134</v>
      </c>
      <c r="R834" t="s">
        <v>1135</v>
      </c>
      <c r="S834">
        <v>4</v>
      </c>
      <c r="T834" t="s">
        <v>1148</v>
      </c>
      <c r="U834" s="11" t="str">
        <f t="shared" si="65"/>
        <v>06:28:49 PM</v>
      </c>
      <c r="BL834" s="2" t="s">
        <v>1984</v>
      </c>
    </row>
    <row r="835" spans="1:64" x14ac:dyDescent="0.35">
      <c r="A835">
        <v>8155</v>
      </c>
      <c r="B835" t="s">
        <v>13</v>
      </c>
      <c r="C835" s="1">
        <v>45800</v>
      </c>
      <c r="D835" t="s">
        <v>6</v>
      </c>
      <c r="E835" t="s">
        <v>21</v>
      </c>
      <c r="F835">
        <v>2</v>
      </c>
      <c r="G835">
        <v>258.95999999999998</v>
      </c>
      <c r="H835">
        <v>517.91999999999996</v>
      </c>
      <c r="I835">
        <v>378.48</v>
      </c>
      <c r="J835">
        <v>139.44</v>
      </c>
      <c r="K835">
        <v>299</v>
      </c>
      <c r="L835" s="11" t="s">
        <v>626</v>
      </c>
      <c r="M835">
        <f t="shared" si="66"/>
        <v>23</v>
      </c>
      <c r="N835">
        <f t="shared" si="67"/>
        <v>5</v>
      </c>
      <c r="O835">
        <f t="shared" si="68"/>
        <v>2025</v>
      </c>
      <c r="P835" s="4">
        <f t="shared" ref="P835:P898" si="69">DATE(O835,N835,M835)</f>
        <v>45800</v>
      </c>
      <c r="Q835" t="s">
        <v>1136</v>
      </c>
      <c r="R835" t="s">
        <v>1137</v>
      </c>
      <c r="S835">
        <v>3</v>
      </c>
      <c r="T835" t="s">
        <v>1149</v>
      </c>
      <c r="U835" s="11" t="str">
        <f t="shared" si="65"/>
        <v>03:38:57 PM</v>
      </c>
      <c r="BL835" s="2" t="s">
        <v>1985</v>
      </c>
    </row>
    <row r="836" spans="1:64" x14ac:dyDescent="0.35">
      <c r="A836">
        <v>2734</v>
      </c>
      <c r="B836" t="s">
        <v>8</v>
      </c>
      <c r="C836" s="1">
        <v>45333</v>
      </c>
      <c r="D836" t="s">
        <v>6</v>
      </c>
      <c r="E836" t="s">
        <v>22</v>
      </c>
      <c r="F836">
        <v>2</v>
      </c>
      <c r="G836">
        <v>1014.26</v>
      </c>
      <c r="H836">
        <v>2028.52</v>
      </c>
      <c r="I836">
        <v>0</v>
      </c>
      <c r="J836">
        <v>2028.52</v>
      </c>
      <c r="K836">
        <v>69</v>
      </c>
      <c r="L836" s="11" t="s">
        <v>627</v>
      </c>
      <c r="M836">
        <f t="shared" si="66"/>
        <v>11</v>
      </c>
      <c r="N836">
        <f t="shared" si="67"/>
        <v>2</v>
      </c>
      <c r="O836">
        <f t="shared" si="68"/>
        <v>2024</v>
      </c>
      <c r="P836" s="4">
        <f t="shared" si="69"/>
        <v>45333</v>
      </c>
      <c r="Q836" t="s">
        <v>1138</v>
      </c>
      <c r="R836" t="s">
        <v>1137</v>
      </c>
      <c r="S836">
        <v>1</v>
      </c>
      <c r="T836" t="s">
        <v>1149</v>
      </c>
      <c r="U836" s="11" t="str">
        <f t="shared" si="65"/>
        <v>01:25:35 PM</v>
      </c>
      <c r="BL836" s="2" t="s">
        <v>1986</v>
      </c>
    </row>
    <row r="837" spans="1:64" x14ac:dyDescent="0.35">
      <c r="A837">
        <v>8138</v>
      </c>
      <c r="B837" t="s">
        <v>31</v>
      </c>
      <c r="C837" s="1">
        <v>45602</v>
      </c>
      <c r="D837" t="s">
        <v>16</v>
      </c>
      <c r="E837" t="s">
        <v>12</v>
      </c>
      <c r="F837">
        <v>3</v>
      </c>
      <c r="G837">
        <v>568.54999999999995</v>
      </c>
      <c r="H837">
        <v>1705.65</v>
      </c>
      <c r="I837">
        <v>0</v>
      </c>
      <c r="J837">
        <v>1705.65</v>
      </c>
      <c r="K837">
        <v>65</v>
      </c>
      <c r="L837" s="11" t="s">
        <v>628</v>
      </c>
      <c r="M837">
        <f t="shared" si="66"/>
        <v>6</v>
      </c>
      <c r="N837">
        <f t="shared" si="67"/>
        <v>11</v>
      </c>
      <c r="O837">
        <f t="shared" si="68"/>
        <v>2024</v>
      </c>
      <c r="P837" s="4">
        <f t="shared" si="69"/>
        <v>45602</v>
      </c>
      <c r="Q837" t="s">
        <v>1136</v>
      </c>
      <c r="R837" t="s">
        <v>1137</v>
      </c>
      <c r="S837">
        <v>4</v>
      </c>
      <c r="T837" t="s">
        <v>1143</v>
      </c>
      <c r="U837" s="11" t="str">
        <f t="shared" si="65"/>
        <v>05:39:19 PM</v>
      </c>
      <c r="BL837" s="2" t="s">
        <v>1987</v>
      </c>
    </row>
    <row r="838" spans="1:64" x14ac:dyDescent="0.35">
      <c r="A838">
        <v>7560</v>
      </c>
      <c r="B838" t="s">
        <v>20</v>
      </c>
      <c r="C838" s="1">
        <v>45551</v>
      </c>
      <c r="D838" t="s">
        <v>24</v>
      </c>
      <c r="E838" t="s">
        <v>30</v>
      </c>
      <c r="F838">
        <v>1</v>
      </c>
      <c r="G838">
        <v>2132.27</v>
      </c>
      <c r="H838">
        <v>2132.27</v>
      </c>
      <c r="I838">
        <v>426.62</v>
      </c>
      <c r="J838">
        <v>1705.65</v>
      </c>
      <c r="K838">
        <v>234</v>
      </c>
      <c r="L838" s="11" t="s">
        <v>629</v>
      </c>
      <c r="M838">
        <f t="shared" si="66"/>
        <v>16</v>
      </c>
      <c r="N838">
        <f t="shared" si="67"/>
        <v>9</v>
      </c>
      <c r="O838">
        <f t="shared" si="68"/>
        <v>2024</v>
      </c>
      <c r="P838" s="4">
        <f t="shared" si="69"/>
        <v>45551</v>
      </c>
      <c r="Q838" t="s">
        <v>1134</v>
      </c>
      <c r="R838" t="s">
        <v>1137</v>
      </c>
      <c r="S838">
        <v>1</v>
      </c>
      <c r="T838" t="s">
        <v>1147</v>
      </c>
      <c r="U838" s="11" t="str">
        <f t="shared" si="65"/>
        <v>01:39:11 PM</v>
      </c>
      <c r="BL838" s="2" t="s">
        <v>1988</v>
      </c>
    </row>
    <row r="839" spans="1:64" x14ac:dyDescent="0.35">
      <c r="A839">
        <v>2288</v>
      </c>
      <c r="B839" t="s">
        <v>25</v>
      </c>
      <c r="C839" s="1">
        <v>45452</v>
      </c>
      <c r="D839" t="s">
        <v>6</v>
      </c>
      <c r="E839" t="s">
        <v>26</v>
      </c>
      <c r="F839">
        <v>5</v>
      </c>
      <c r="G839">
        <v>459.82</v>
      </c>
      <c r="H839">
        <v>2299.1</v>
      </c>
      <c r="I839">
        <v>405.04</v>
      </c>
      <c r="J839">
        <v>1894.06</v>
      </c>
      <c r="K839">
        <v>406</v>
      </c>
      <c r="L839" s="11" t="s">
        <v>630</v>
      </c>
      <c r="M839">
        <f t="shared" si="66"/>
        <v>9</v>
      </c>
      <c r="N839">
        <f t="shared" si="67"/>
        <v>6</v>
      </c>
      <c r="O839">
        <f t="shared" si="68"/>
        <v>2024</v>
      </c>
      <c r="P839" s="4">
        <f t="shared" si="69"/>
        <v>45452</v>
      </c>
      <c r="Q839" t="s">
        <v>1138</v>
      </c>
      <c r="R839" t="s">
        <v>1135</v>
      </c>
      <c r="S839">
        <v>1</v>
      </c>
      <c r="T839" t="s">
        <v>1148</v>
      </c>
      <c r="U839" s="11" t="str">
        <f t="shared" si="65"/>
        <v>02:29:22 PM</v>
      </c>
      <c r="BL839" s="2" t="s">
        <v>1989</v>
      </c>
    </row>
    <row r="840" spans="1:64" x14ac:dyDescent="0.35">
      <c r="A840">
        <v>6083</v>
      </c>
      <c r="B840" t="s">
        <v>31</v>
      </c>
      <c r="C840" s="1">
        <v>45724</v>
      </c>
      <c r="D840" t="s">
        <v>4</v>
      </c>
      <c r="E840" t="s">
        <v>5</v>
      </c>
      <c r="F840">
        <v>5</v>
      </c>
      <c r="G840">
        <v>1259.94</v>
      </c>
      <c r="H840">
        <v>6299.7</v>
      </c>
      <c r="I840">
        <v>629.97</v>
      </c>
      <c r="J840">
        <v>5669.73</v>
      </c>
      <c r="K840">
        <v>110</v>
      </c>
      <c r="L840" s="11" t="s">
        <v>631</v>
      </c>
      <c r="M840">
        <f t="shared" si="66"/>
        <v>8</v>
      </c>
      <c r="N840">
        <f t="shared" si="67"/>
        <v>3</v>
      </c>
      <c r="O840">
        <f t="shared" si="68"/>
        <v>2025</v>
      </c>
      <c r="P840" s="4">
        <f t="shared" si="69"/>
        <v>45724</v>
      </c>
      <c r="Q840" t="s">
        <v>1136</v>
      </c>
      <c r="R840" t="s">
        <v>1135</v>
      </c>
      <c r="S840">
        <v>5</v>
      </c>
      <c r="T840" t="s">
        <v>1143</v>
      </c>
      <c r="U840" s="11" t="str">
        <f t="shared" si="65"/>
        <v>04:11:59 AM</v>
      </c>
      <c r="BL840" s="2" t="s">
        <v>1990</v>
      </c>
    </row>
    <row r="841" spans="1:64" x14ac:dyDescent="0.35">
      <c r="A841">
        <v>6562</v>
      </c>
      <c r="B841" t="s">
        <v>19</v>
      </c>
      <c r="C841" s="1">
        <v>45317</v>
      </c>
      <c r="D841" t="s">
        <v>1</v>
      </c>
      <c r="E841" t="s">
        <v>5</v>
      </c>
      <c r="F841">
        <v>2</v>
      </c>
      <c r="G841">
        <v>678.94</v>
      </c>
      <c r="H841">
        <v>1357.88</v>
      </c>
      <c r="I841">
        <v>397.57</v>
      </c>
      <c r="J841">
        <v>960.31</v>
      </c>
      <c r="K841">
        <v>222</v>
      </c>
      <c r="L841" s="11" t="s">
        <v>632</v>
      </c>
      <c r="M841">
        <f t="shared" si="66"/>
        <v>26</v>
      </c>
      <c r="N841">
        <f t="shared" si="67"/>
        <v>1</v>
      </c>
      <c r="O841">
        <f t="shared" si="68"/>
        <v>2024</v>
      </c>
      <c r="P841" s="4">
        <f t="shared" si="69"/>
        <v>45317</v>
      </c>
      <c r="Q841" t="s">
        <v>1138</v>
      </c>
      <c r="R841" t="s">
        <v>1137</v>
      </c>
      <c r="S841">
        <v>4</v>
      </c>
      <c r="T841" t="s">
        <v>1147</v>
      </c>
      <c r="U841" s="11" t="str">
        <f t="shared" si="65"/>
        <v>12:44:15 PM</v>
      </c>
      <c r="BL841" s="2" t="s">
        <v>1991</v>
      </c>
    </row>
    <row r="842" spans="1:64" x14ac:dyDescent="0.35">
      <c r="A842">
        <v>6456</v>
      </c>
      <c r="B842" t="s">
        <v>20</v>
      </c>
      <c r="C842" s="1">
        <v>45750</v>
      </c>
      <c r="D842" t="s">
        <v>9</v>
      </c>
      <c r="E842" t="s">
        <v>29</v>
      </c>
      <c r="F842">
        <v>1</v>
      </c>
      <c r="G842">
        <v>2468.42</v>
      </c>
      <c r="H842">
        <v>2468.42</v>
      </c>
      <c r="I842">
        <v>246.51</v>
      </c>
      <c r="J842">
        <v>2221.91</v>
      </c>
      <c r="K842">
        <v>375</v>
      </c>
      <c r="L842" s="11" t="s">
        <v>633</v>
      </c>
      <c r="M842">
        <f t="shared" si="66"/>
        <v>3</v>
      </c>
      <c r="N842">
        <f t="shared" si="67"/>
        <v>4</v>
      </c>
      <c r="O842">
        <f t="shared" si="68"/>
        <v>2025</v>
      </c>
      <c r="P842" s="4">
        <f t="shared" si="69"/>
        <v>45750</v>
      </c>
      <c r="Q842" t="s">
        <v>1134</v>
      </c>
      <c r="R842" t="s">
        <v>1137</v>
      </c>
      <c r="S842">
        <v>3</v>
      </c>
      <c r="T842" t="s">
        <v>1147</v>
      </c>
      <c r="U842" s="11" t="str">
        <f t="shared" si="65"/>
        <v>05:36:05 AM</v>
      </c>
      <c r="BL842" s="2" t="s">
        <v>1992</v>
      </c>
    </row>
    <row r="843" spans="1:64" x14ac:dyDescent="0.35">
      <c r="A843">
        <v>3754</v>
      </c>
      <c r="B843" t="s">
        <v>3</v>
      </c>
      <c r="C843" s="1">
        <v>45204</v>
      </c>
      <c r="D843" t="s">
        <v>9</v>
      </c>
      <c r="E843" t="s">
        <v>37</v>
      </c>
      <c r="F843">
        <v>1</v>
      </c>
      <c r="G843">
        <v>1171.1300000000001</v>
      </c>
      <c r="H843">
        <v>1171.1300000000001</v>
      </c>
      <c r="I843">
        <v>332.83</v>
      </c>
      <c r="J843">
        <v>838.3</v>
      </c>
      <c r="K843">
        <v>123</v>
      </c>
      <c r="L843" s="11" t="s">
        <v>634</v>
      </c>
      <c r="M843">
        <f t="shared" si="66"/>
        <v>5</v>
      </c>
      <c r="N843">
        <f t="shared" si="67"/>
        <v>10</v>
      </c>
      <c r="O843">
        <f t="shared" si="68"/>
        <v>2023</v>
      </c>
      <c r="P843" s="4">
        <f t="shared" si="69"/>
        <v>45204</v>
      </c>
      <c r="Q843" t="s">
        <v>1136</v>
      </c>
      <c r="R843" t="s">
        <v>1135</v>
      </c>
      <c r="S843">
        <v>3</v>
      </c>
      <c r="T843" t="s">
        <v>1142</v>
      </c>
      <c r="U843" s="11" t="str">
        <f t="shared" si="65"/>
        <v>07:33:38 PM</v>
      </c>
      <c r="BL843" s="2" t="s">
        <v>1993</v>
      </c>
    </row>
    <row r="844" spans="1:64" x14ac:dyDescent="0.35">
      <c r="A844">
        <v>9363</v>
      </c>
      <c r="B844" t="s">
        <v>13</v>
      </c>
      <c r="C844" s="1">
        <v>45636</v>
      </c>
      <c r="D844" t="s">
        <v>6</v>
      </c>
      <c r="E844" t="s">
        <v>30</v>
      </c>
      <c r="F844">
        <v>3</v>
      </c>
      <c r="G844">
        <v>794.31</v>
      </c>
      <c r="H844">
        <v>2382.9299999999998</v>
      </c>
      <c r="I844">
        <v>242.36</v>
      </c>
      <c r="J844">
        <v>2140.5700000000002</v>
      </c>
      <c r="K844">
        <v>331</v>
      </c>
      <c r="L844" s="11" t="s">
        <v>635</v>
      </c>
      <c r="M844">
        <f t="shared" si="66"/>
        <v>10</v>
      </c>
      <c r="N844">
        <f t="shared" si="67"/>
        <v>12</v>
      </c>
      <c r="O844">
        <f t="shared" si="68"/>
        <v>2024</v>
      </c>
      <c r="P844" s="4">
        <f t="shared" si="69"/>
        <v>45636</v>
      </c>
      <c r="Q844" t="s">
        <v>1138</v>
      </c>
      <c r="R844" t="s">
        <v>1135</v>
      </c>
      <c r="S844">
        <v>4</v>
      </c>
      <c r="T844" t="s">
        <v>1147</v>
      </c>
      <c r="U844" s="11" t="str">
        <f t="shared" si="65"/>
        <v>11:05:43 AM</v>
      </c>
      <c r="BL844" s="2" t="s">
        <v>1994</v>
      </c>
    </row>
    <row r="845" spans="1:64" x14ac:dyDescent="0.35">
      <c r="A845">
        <v>2868</v>
      </c>
      <c r="B845" t="s">
        <v>19</v>
      </c>
      <c r="C845" s="1">
        <v>45557</v>
      </c>
      <c r="D845" t="s">
        <v>23</v>
      </c>
      <c r="E845" t="s">
        <v>22</v>
      </c>
      <c r="F845">
        <v>5</v>
      </c>
      <c r="G845">
        <v>1880.78</v>
      </c>
      <c r="H845">
        <v>9403.9</v>
      </c>
      <c r="I845">
        <v>940.39</v>
      </c>
      <c r="J845">
        <v>8463.51</v>
      </c>
      <c r="K845">
        <v>12</v>
      </c>
      <c r="L845" s="11" t="s">
        <v>636</v>
      </c>
      <c r="M845">
        <f t="shared" si="66"/>
        <v>22</v>
      </c>
      <c r="N845">
        <f t="shared" si="67"/>
        <v>9</v>
      </c>
      <c r="O845">
        <f t="shared" si="68"/>
        <v>2024</v>
      </c>
      <c r="P845" s="4">
        <f t="shared" si="69"/>
        <v>45557</v>
      </c>
      <c r="Q845" t="s">
        <v>1134</v>
      </c>
      <c r="R845" t="s">
        <v>1137</v>
      </c>
      <c r="S845">
        <v>5</v>
      </c>
      <c r="T845" t="s">
        <v>1141</v>
      </c>
      <c r="U845" s="11" t="str">
        <f t="shared" si="65"/>
        <v>05:35:31 PM</v>
      </c>
      <c r="BL845" s="2" t="s">
        <v>1995</v>
      </c>
    </row>
    <row r="846" spans="1:64" x14ac:dyDescent="0.35">
      <c r="A846">
        <v>9355</v>
      </c>
      <c r="B846" t="s">
        <v>8</v>
      </c>
      <c r="C846" s="1">
        <v>45295</v>
      </c>
      <c r="D846" t="s">
        <v>9</v>
      </c>
      <c r="E846" t="s">
        <v>18</v>
      </c>
      <c r="F846">
        <v>3</v>
      </c>
      <c r="G846">
        <v>1591.11</v>
      </c>
      <c r="H846">
        <v>4773.33</v>
      </c>
      <c r="I846">
        <v>0</v>
      </c>
      <c r="J846">
        <v>4773.33</v>
      </c>
      <c r="K846">
        <v>360</v>
      </c>
      <c r="L846" s="11" t="s">
        <v>637</v>
      </c>
      <c r="M846">
        <f t="shared" si="66"/>
        <v>4</v>
      </c>
      <c r="N846">
        <f t="shared" si="67"/>
        <v>1</v>
      </c>
      <c r="O846">
        <f t="shared" si="68"/>
        <v>2024</v>
      </c>
      <c r="P846" s="4">
        <f t="shared" si="69"/>
        <v>45295</v>
      </c>
      <c r="Q846" t="s">
        <v>1138</v>
      </c>
      <c r="R846" t="s">
        <v>1137</v>
      </c>
      <c r="S846">
        <v>2</v>
      </c>
      <c r="T846" t="s">
        <v>1144</v>
      </c>
      <c r="U846" s="11" t="str">
        <f t="shared" si="65"/>
        <v>01:06:39 PM</v>
      </c>
      <c r="BL846" s="2" t="s">
        <v>1996</v>
      </c>
    </row>
    <row r="847" spans="1:64" x14ac:dyDescent="0.35">
      <c r="A847">
        <v>6724</v>
      </c>
      <c r="B847" t="s">
        <v>0</v>
      </c>
      <c r="C847" s="1">
        <v>45417</v>
      </c>
      <c r="D847" t="s">
        <v>9</v>
      </c>
      <c r="E847" t="s">
        <v>10</v>
      </c>
      <c r="F847">
        <v>5</v>
      </c>
      <c r="G847">
        <v>161.02000000000001</v>
      </c>
      <c r="H847">
        <v>805.1</v>
      </c>
      <c r="I847">
        <v>0</v>
      </c>
      <c r="J847">
        <v>805.1</v>
      </c>
      <c r="K847">
        <v>218</v>
      </c>
      <c r="L847" s="11" t="s">
        <v>638</v>
      </c>
      <c r="M847">
        <f t="shared" si="66"/>
        <v>5</v>
      </c>
      <c r="N847">
        <f t="shared" si="67"/>
        <v>5</v>
      </c>
      <c r="O847">
        <f t="shared" si="68"/>
        <v>2024</v>
      </c>
      <c r="P847" s="4">
        <f t="shared" si="69"/>
        <v>45417</v>
      </c>
      <c r="Q847" t="s">
        <v>1138</v>
      </c>
      <c r="R847" t="s">
        <v>1137</v>
      </c>
      <c r="S847">
        <v>1</v>
      </c>
      <c r="T847" t="s">
        <v>1144</v>
      </c>
      <c r="U847" s="11" t="str">
        <f t="shared" si="65"/>
        <v>07:29:49 AM</v>
      </c>
      <c r="BL847" s="2" t="s">
        <v>1997</v>
      </c>
    </row>
    <row r="848" spans="1:64" x14ac:dyDescent="0.35">
      <c r="A848">
        <v>3419</v>
      </c>
      <c r="B848" t="s">
        <v>3</v>
      </c>
      <c r="C848" s="1">
        <v>45328</v>
      </c>
      <c r="D848" t="s">
        <v>17</v>
      </c>
      <c r="E848" t="s">
        <v>33</v>
      </c>
      <c r="F848">
        <v>1</v>
      </c>
      <c r="G848">
        <v>1575.34</v>
      </c>
      <c r="H848">
        <v>1575.34</v>
      </c>
      <c r="I848">
        <v>396.74</v>
      </c>
      <c r="J848">
        <v>1178.5999999999999</v>
      </c>
      <c r="K848">
        <v>171</v>
      </c>
      <c r="L848" s="11" t="s">
        <v>217</v>
      </c>
      <c r="M848">
        <f t="shared" si="66"/>
        <v>6</v>
      </c>
      <c r="N848">
        <f t="shared" si="67"/>
        <v>2</v>
      </c>
      <c r="O848">
        <f t="shared" si="68"/>
        <v>2024</v>
      </c>
      <c r="P848" s="4">
        <f t="shared" si="69"/>
        <v>45328</v>
      </c>
      <c r="Q848" t="s">
        <v>1139</v>
      </c>
      <c r="R848" t="s">
        <v>1137</v>
      </c>
      <c r="S848">
        <v>5</v>
      </c>
      <c r="T848" t="s">
        <v>1143</v>
      </c>
      <c r="U848" s="11" t="str">
        <f t="shared" si="65"/>
        <v>02:49:38 PM</v>
      </c>
      <c r="BL848" s="2" t="s">
        <v>1998</v>
      </c>
    </row>
    <row r="849" spans="1:64" x14ac:dyDescent="0.35">
      <c r="A849">
        <v>2684</v>
      </c>
      <c r="B849" t="s">
        <v>25</v>
      </c>
      <c r="C849" s="1">
        <v>45258</v>
      </c>
      <c r="D849" t="s">
        <v>1</v>
      </c>
      <c r="E849" t="s">
        <v>38</v>
      </c>
      <c r="F849">
        <v>4</v>
      </c>
      <c r="G849">
        <v>961.97</v>
      </c>
      <c r="H849">
        <v>3847.88</v>
      </c>
      <c r="I849">
        <v>576.85</v>
      </c>
      <c r="J849">
        <v>3271.03</v>
      </c>
      <c r="K849">
        <v>316</v>
      </c>
      <c r="L849" s="11" t="s">
        <v>639</v>
      </c>
      <c r="M849">
        <f t="shared" si="66"/>
        <v>28</v>
      </c>
      <c r="N849">
        <f t="shared" si="67"/>
        <v>11</v>
      </c>
      <c r="O849">
        <f t="shared" si="68"/>
        <v>2023</v>
      </c>
      <c r="P849" s="4">
        <f t="shared" si="69"/>
        <v>45258</v>
      </c>
      <c r="Q849" t="s">
        <v>1139</v>
      </c>
      <c r="R849" t="s">
        <v>1135</v>
      </c>
      <c r="S849">
        <v>4</v>
      </c>
      <c r="T849" t="s">
        <v>1141</v>
      </c>
      <c r="U849" s="11" t="str">
        <f t="shared" si="65"/>
        <v>01:12:43 AM</v>
      </c>
      <c r="BL849" s="2" t="s">
        <v>1999</v>
      </c>
    </row>
    <row r="850" spans="1:64" x14ac:dyDescent="0.35">
      <c r="A850">
        <v>5193</v>
      </c>
      <c r="B850" t="s">
        <v>25</v>
      </c>
      <c r="C850" s="1">
        <v>45298</v>
      </c>
      <c r="D850" t="s">
        <v>23</v>
      </c>
      <c r="E850" t="s">
        <v>7</v>
      </c>
      <c r="F850">
        <v>1</v>
      </c>
      <c r="G850">
        <v>1431.75</v>
      </c>
      <c r="H850">
        <v>1431.75</v>
      </c>
      <c r="I850">
        <v>286.35000000000002</v>
      </c>
      <c r="J850">
        <v>1145.4000000000001</v>
      </c>
      <c r="K850">
        <v>396</v>
      </c>
      <c r="L850" s="11" t="s">
        <v>640</v>
      </c>
      <c r="M850">
        <f t="shared" si="66"/>
        <v>7</v>
      </c>
      <c r="N850">
        <f t="shared" si="67"/>
        <v>1</v>
      </c>
      <c r="O850">
        <f t="shared" si="68"/>
        <v>2024</v>
      </c>
      <c r="P850" s="4">
        <f t="shared" si="69"/>
        <v>45298</v>
      </c>
      <c r="Q850" t="s">
        <v>1134</v>
      </c>
      <c r="R850" t="s">
        <v>1135</v>
      </c>
      <c r="S850">
        <v>1</v>
      </c>
      <c r="T850" t="s">
        <v>1145</v>
      </c>
      <c r="U850" s="11" t="str">
        <f t="shared" si="65"/>
        <v>11:29:59 AM</v>
      </c>
      <c r="BL850" s="2" t="s">
        <v>2000</v>
      </c>
    </row>
    <row r="851" spans="1:64" x14ac:dyDescent="0.35">
      <c r="A851">
        <v>3842</v>
      </c>
      <c r="B851" t="s">
        <v>25</v>
      </c>
      <c r="C851" s="1">
        <v>45612</v>
      </c>
      <c r="D851" t="s">
        <v>6</v>
      </c>
      <c r="E851" t="s">
        <v>7</v>
      </c>
      <c r="F851">
        <v>1</v>
      </c>
      <c r="G851">
        <v>1644.23</v>
      </c>
      <c r="H851">
        <v>1644.23</v>
      </c>
      <c r="I851">
        <v>0</v>
      </c>
      <c r="J851">
        <v>1644.23</v>
      </c>
      <c r="K851">
        <v>377</v>
      </c>
      <c r="L851" s="11" t="s">
        <v>641</v>
      </c>
      <c r="M851">
        <f t="shared" si="66"/>
        <v>16</v>
      </c>
      <c r="N851">
        <f t="shared" si="67"/>
        <v>11</v>
      </c>
      <c r="O851">
        <f t="shared" si="68"/>
        <v>2024</v>
      </c>
      <c r="P851" s="4">
        <f t="shared" si="69"/>
        <v>45612</v>
      </c>
      <c r="Q851" t="s">
        <v>1139</v>
      </c>
      <c r="R851" t="s">
        <v>1135</v>
      </c>
      <c r="S851">
        <v>3</v>
      </c>
      <c r="T851" t="s">
        <v>1144</v>
      </c>
      <c r="U851" s="11" t="str">
        <f t="shared" si="65"/>
        <v>07:29:48 AM</v>
      </c>
      <c r="BL851" s="2" t="s">
        <v>2001</v>
      </c>
    </row>
    <row r="852" spans="1:64" x14ac:dyDescent="0.35">
      <c r="A852">
        <v>3504</v>
      </c>
      <c r="B852" t="s">
        <v>31</v>
      </c>
      <c r="C852" s="1">
        <v>45735</v>
      </c>
      <c r="D852" t="s">
        <v>11</v>
      </c>
      <c r="E852" t="s">
        <v>12</v>
      </c>
      <c r="F852">
        <v>3</v>
      </c>
      <c r="G852">
        <v>1293.97</v>
      </c>
      <c r="H852">
        <v>3881.91</v>
      </c>
      <c r="I852">
        <v>103.75</v>
      </c>
      <c r="J852">
        <v>3778.16</v>
      </c>
      <c r="K852">
        <v>216</v>
      </c>
      <c r="L852" s="11" t="s">
        <v>642</v>
      </c>
      <c r="M852">
        <f t="shared" si="66"/>
        <v>19</v>
      </c>
      <c r="N852">
        <f t="shared" si="67"/>
        <v>3</v>
      </c>
      <c r="O852">
        <f t="shared" si="68"/>
        <v>2025</v>
      </c>
      <c r="P852" s="4">
        <f t="shared" si="69"/>
        <v>45735</v>
      </c>
      <c r="Q852" t="s">
        <v>1134</v>
      </c>
      <c r="R852" t="s">
        <v>1137</v>
      </c>
      <c r="S852">
        <v>2</v>
      </c>
      <c r="T852" t="s">
        <v>1145</v>
      </c>
      <c r="U852" s="11" t="str">
        <f t="shared" si="65"/>
        <v>10:35:03 PM</v>
      </c>
      <c r="BL852" s="2" t="s">
        <v>2002</v>
      </c>
    </row>
    <row r="853" spans="1:64" x14ac:dyDescent="0.35">
      <c r="A853">
        <v>2234</v>
      </c>
      <c r="B853" t="s">
        <v>25</v>
      </c>
      <c r="C853" s="1">
        <v>45282</v>
      </c>
      <c r="D853" t="s">
        <v>34</v>
      </c>
      <c r="E853" t="s">
        <v>37</v>
      </c>
      <c r="F853">
        <v>5</v>
      </c>
      <c r="G853">
        <v>1349.58</v>
      </c>
      <c r="H853">
        <v>6747.9</v>
      </c>
      <c r="I853">
        <v>0</v>
      </c>
      <c r="J853">
        <v>6747.9</v>
      </c>
      <c r="K853">
        <v>62</v>
      </c>
      <c r="L853" s="11" t="s">
        <v>643</v>
      </c>
      <c r="M853">
        <f t="shared" si="66"/>
        <v>22</v>
      </c>
      <c r="N853">
        <f t="shared" si="67"/>
        <v>12</v>
      </c>
      <c r="O853">
        <f t="shared" si="68"/>
        <v>2023</v>
      </c>
      <c r="P853" s="4">
        <f t="shared" si="69"/>
        <v>45282</v>
      </c>
      <c r="Q853" t="s">
        <v>1139</v>
      </c>
      <c r="R853" t="s">
        <v>1137</v>
      </c>
      <c r="S853">
        <v>3</v>
      </c>
      <c r="T853" t="s">
        <v>1146</v>
      </c>
      <c r="U853" s="11" t="str">
        <f t="shared" si="65"/>
        <v>03:31:31 PM</v>
      </c>
      <c r="BL853" s="2" t="s">
        <v>2003</v>
      </c>
    </row>
    <row r="854" spans="1:64" x14ac:dyDescent="0.35">
      <c r="A854">
        <v>9095</v>
      </c>
      <c r="B854" t="s">
        <v>3</v>
      </c>
      <c r="C854" s="1">
        <v>45505</v>
      </c>
      <c r="D854" t="s">
        <v>16</v>
      </c>
      <c r="E854" t="s">
        <v>7</v>
      </c>
      <c r="F854">
        <v>3</v>
      </c>
      <c r="G854">
        <v>1170.3</v>
      </c>
      <c r="H854">
        <v>3510.9</v>
      </c>
      <c r="I854">
        <v>702.18</v>
      </c>
      <c r="J854">
        <v>2808.72</v>
      </c>
      <c r="K854">
        <v>188</v>
      </c>
      <c r="L854" s="11" t="s">
        <v>644</v>
      </c>
      <c r="M854">
        <f t="shared" si="66"/>
        <v>1</v>
      </c>
      <c r="N854">
        <f t="shared" si="67"/>
        <v>8</v>
      </c>
      <c r="O854">
        <f t="shared" si="68"/>
        <v>2024</v>
      </c>
      <c r="P854" s="4">
        <f t="shared" si="69"/>
        <v>45505</v>
      </c>
      <c r="Q854" t="s">
        <v>1138</v>
      </c>
      <c r="R854" t="s">
        <v>1135</v>
      </c>
      <c r="S854">
        <v>4</v>
      </c>
      <c r="T854" t="s">
        <v>1141</v>
      </c>
      <c r="U854" s="11" t="str">
        <f t="shared" si="65"/>
        <v>10:31:40 AM</v>
      </c>
      <c r="BL854" s="2" t="s">
        <v>2004</v>
      </c>
    </row>
    <row r="855" spans="1:64" x14ac:dyDescent="0.35">
      <c r="A855">
        <v>8354</v>
      </c>
      <c r="B855" t="s">
        <v>15</v>
      </c>
      <c r="C855" s="1">
        <v>45674</v>
      </c>
      <c r="D855" t="s">
        <v>4</v>
      </c>
      <c r="E855" t="s">
        <v>32</v>
      </c>
      <c r="F855">
        <v>4</v>
      </c>
      <c r="G855">
        <v>2243.4899999999998</v>
      </c>
      <c r="H855">
        <v>8973.9599999999991</v>
      </c>
      <c r="I855">
        <v>137.78</v>
      </c>
      <c r="J855">
        <v>8836.18</v>
      </c>
      <c r="K855">
        <v>147</v>
      </c>
      <c r="L855" s="11" t="s">
        <v>645</v>
      </c>
      <c r="M855">
        <f t="shared" si="66"/>
        <v>17</v>
      </c>
      <c r="N855">
        <f t="shared" si="67"/>
        <v>1</v>
      </c>
      <c r="O855">
        <f t="shared" si="68"/>
        <v>2025</v>
      </c>
      <c r="P855" s="4">
        <f t="shared" si="69"/>
        <v>45674</v>
      </c>
      <c r="Q855" t="s">
        <v>1134</v>
      </c>
      <c r="R855" t="s">
        <v>1135</v>
      </c>
      <c r="S855">
        <v>1</v>
      </c>
      <c r="T855" t="s">
        <v>1145</v>
      </c>
      <c r="U855" s="11" t="str">
        <f t="shared" si="65"/>
        <v>12:21:43 AM</v>
      </c>
      <c r="BL855" s="2" t="s">
        <v>2005</v>
      </c>
    </row>
    <row r="856" spans="1:64" x14ac:dyDescent="0.35">
      <c r="A856">
        <v>6295</v>
      </c>
      <c r="B856" t="s">
        <v>0</v>
      </c>
      <c r="C856" s="1">
        <v>45816</v>
      </c>
      <c r="D856" t="s">
        <v>23</v>
      </c>
      <c r="E856" t="s">
        <v>37</v>
      </c>
      <c r="F856">
        <v>2</v>
      </c>
      <c r="G856">
        <v>2187.88</v>
      </c>
      <c r="H856">
        <v>4375.76</v>
      </c>
      <c r="I856">
        <v>656.53</v>
      </c>
      <c r="J856">
        <v>3719.23</v>
      </c>
      <c r="K856">
        <v>266</v>
      </c>
      <c r="L856" s="11" t="s">
        <v>646</v>
      </c>
      <c r="M856">
        <f t="shared" si="66"/>
        <v>8</v>
      </c>
      <c r="N856">
        <f t="shared" si="67"/>
        <v>6</v>
      </c>
      <c r="O856">
        <f t="shared" si="68"/>
        <v>2025</v>
      </c>
      <c r="P856" s="4">
        <f t="shared" si="69"/>
        <v>45816</v>
      </c>
      <c r="Q856" t="s">
        <v>1134</v>
      </c>
      <c r="R856" t="s">
        <v>1135</v>
      </c>
      <c r="S856">
        <v>4</v>
      </c>
      <c r="T856" t="s">
        <v>1142</v>
      </c>
      <c r="U856" s="11" t="str">
        <f t="shared" si="65"/>
        <v>04:03:13 AM</v>
      </c>
      <c r="BL856" s="2" t="s">
        <v>2006</v>
      </c>
    </row>
    <row r="857" spans="1:64" x14ac:dyDescent="0.35">
      <c r="A857">
        <v>6179</v>
      </c>
      <c r="B857" t="s">
        <v>13</v>
      </c>
      <c r="C857" s="1">
        <v>45262</v>
      </c>
      <c r="D857" t="s">
        <v>16</v>
      </c>
      <c r="E857" t="s">
        <v>7</v>
      </c>
      <c r="F857">
        <v>2</v>
      </c>
      <c r="G857">
        <v>1222.5899999999999</v>
      </c>
      <c r="H857">
        <v>2445.1799999999998</v>
      </c>
      <c r="I857">
        <v>0</v>
      </c>
      <c r="J857">
        <v>2445.1799999999998</v>
      </c>
      <c r="K857">
        <v>215</v>
      </c>
      <c r="L857" s="11" t="s">
        <v>647</v>
      </c>
      <c r="M857">
        <f t="shared" si="66"/>
        <v>2</v>
      </c>
      <c r="N857">
        <f t="shared" si="67"/>
        <v>12</v>
      </c>
      <c r="O857">
        <f t="shared" si="68"/>
        <v>2023</v>
      </c>
      <c r="P857" s="4">
        <f t="shared" si="69"/>
        <v>45262</v>
      </c>
      <c r="Q857" t="s">
        <v>1138</v>
      </c>
      <c r="R857" t="s">
        <v>1135</v>
      </c>
      <c r="S857">
        <v>1</v>
      </c>
      <c r="T857" t="s">
        <v>1148</v>
      </c>
      <c r="U857" s="11" t="str">
        <f t="shared" si="65"/>
        <v>09:10:27 AM</v>
      </c>
      <c r="BL857" s="2" t="s">
        <v>2007</v>
      </c>
    </row>
    <row r="858" spans="1:64" x14ac:dyDescent="0.35">
      <c r="A858">
        <v>8205</v>
      </c>
      <c r="B858" t="s">
        <v>20</v>
      </c>
      <c r="C858" s="1">
        <v>45198</v>
      </c>
      <c r="D858" t="s">
        <v>24</v>
      </c>
      <c r="E858" t="s">
        <v>33</v>
      </c>
      <c r="F858">
        <v>1</v>
      </c>
      <c r="G858">
        <v>135.29</v>
      </c>
      <c r="H858">
        <v>135.29</v>
      </c>
      <c r="I858">
        <v>297.14</v>
      </c>
      <c r="J858">
        <v>-161.85</v>
      </c>
      <c r="K858">
        <v>410</v>
      </c>
      <c r="L858" s="11" t="s">
        <v>648</v>
      </c>
      <c r="M858">
        <f t="shared" si="66"/>
        <v>29</v>
      </c>
      <c r="N858">
        <f t="shared" si="67"/>
        <v>9</v>
      </c>
      <c r="O858">
        <f t="shared" si="68"/>
        <v>2023</v>
      </c>
      <c r="P858" s="4">
        <f t="shared" si="69"/>
        <v>45198</v>
      </c>
      <c r="Q858" t="s">
        <v>1134</v>
      </c>
      <c r="R858" t="s">
        <v>1137</v>
      </c>
      <c r="S858">
        <v>5</v>
      </c>
      <c r="T858" t="s">
        <v>1149</v>
      </c>
      <c r="U858" s="11" t="str">
        <f t="shared" si="65"/>
        <v>08:21:28 AM</v>
      </c>
      <c r="BL858" s="2" t="s">
        <v>2008</v>
      </c>
    </row>
    <row r="859" spans="1:64" x14ac:dyDescent="0.35">
      <c r="A859">
        <v>8682</v>
      </c>
      <c r="B859" t="s">
        <v>13</v>
      </c>
      <c r="C859" s="1">
        <v>45488</v>
      </c>
      <c r="D859" t="s">
        <v>17</v>
      </c>
      <c r="E859" t="s">
        <v>10</v>
      </c>
      <c r="F859">
        <v>3</v>
      </c>
      <c r="G859">
        <v>1252.47</v>
      </c>
      <c r="H859">
        <v>3757.41</v>
      </c>
      <c r="I859">
        <v>375.99</v>
      </c>
      <c r="J859">
        <v>3381.42</v>
      </c>
      <c r="K859">
        <v>340</v>
      </c>
      <c r="L859" s="11" t="s">
        <v>649</v>
      </c>
      <c r="M859">
        <f t="shared" si="66"/>
        <v>15</v>
      </c>
      <c r="N859">
        <f t="shared" si="67"/>
        <v>7</v>
      </c>
      <c r="O859">
        <f t="shared" si="68"/>
        <v>2024</v>
      </c>
      <c r="P859" s="4">
        <f t="shared" si="69"/>
        <v>45488</v>
      </c>
      <c r="Q859" t="s">
        <v>1134</v>
      </c>
      <c r="R859" t="s">
        <v>1135</v>
      </c>
      <c r="S859">
        <v>2</v>
      </c>
      <c r="T859" t="s">
        <v>1147</v>
      </c>
      <c r="U859" s="11" t="str">
        <f t="shared" si="65"/>
        <v>06:55:05 AM</v>
      </c>
      <c r="BL859" s="2" t="s">
        <v>2009</v>
      </c>
    </row>
    <row r="860" spans="1:64" x14ac:dyDescent="0.35">
      <c r="A860">
        <v>5961</v>
      </c>
      <c r="B860" t="s">
        <v>19</v>
      </c>
      <c r="C860" s="1">
        <v>45763</v>
      </c>
      <c r="D860" t="s">
        <v>17</v>
      </c>
      <c r="E860" t="s">
        <v>30</v>
      </c>
      <c r="F860">
        <v>3</v>
      </c>
      <c r="G860">
        <v>495.51</v>
      </c>
      <c r="H860">
        <v>1486.53</v>
      </c>
      <c r="I860">
        <v>148.57</v>
      </c>
      <c r="J860">
        <v>1337.96</v>
      </c>
      <c r="K860">
        <v>133</v>
      </c>
      <c r="L860" s="11" t="s">
        <v>650</v>
      </c>
      <c r="M860">
        <f t="shared" si="66"/>
        <v>16</v>
      </c>
      <c r="N860">
        <f t="shared" si="67"/>
        <v>4</v>
      </c>
      <c r="O860">
        <f t="shared" si="68"/>
        <v>2025</v>
      </c>
      <c r="P860" s="4">
        <f t="shared" si="69"/>
        <v>45763</v>
      </c>
      <c r="Q860" t="s">
        <v>1139</v>
      </c>
      <c r="R860" t="s">
        <v>1135</v>
      </c>
      <c r="S860">
        <v>5</v>
      </c>
      <c r="T860" t="s">
        <v>1149</v>
      </c>
      <c r="U860" s="11" t="str">
        <f t="shared" si="65"/>
        <v>02:18:40 PM</v>
      </c>
      <c r="BL860" s="2" t="s">
        <v>2010</v>
      </c>
    </row>
    <row r="861" spans="1:64" x14ac:dyDescent="0.35">
      <c r="A861">
        <v>5500</v>
      </c>
      <c r="B861" t="s">
        <v>25</v>
      </c>
      <c r="C861" s="1">
        <v>45604</v>
      </c>
      <c r="D861" t="s">
        <v>24</v>
      </c>
      <c r="E861" t="s">
        <v>29</v>
      </c>
      <c r="F861">
        <v>2</v>
      </c>
      <c r="G861">
        <v>932.09</v>
      </c>
      <c r="H861">
        <v>1864.18</v>
      </c>
      <c r="I861">
        <v>390.1</v>
      </c>
      <c r="J861">
        <v>1474.08</v>
      </c>
      <c r="K861">
        <v>233</v>
      </c>
      <c r="L861" s="11" t="s">
        <v>651</v>
      </c>
      <c r="M861">
        <f t="shared" si="66"/>
        <v>8</v>
      </c>
      <c r="N861">
        <f t="shared" si="67"/>
        <v>11</v>
      </c>
      <c r="O861">
        <f t="shared" si="68"/>
        <v>2024</v>
      </c>
      <c r="P861" s="4">
        <f t="shared" si="69"/>
        <v>45604</v>
      </c>
      <c r="Q861" t="s">
        <v>1134</v>
      </c>
      <c r="R861" t="s">
        <v>1135</v>
      </c>
      <c r="S861">
        <v>5</v>
      </c>
      <c r="T861" t="s">
        <v>1143</v>
      </c>
      <c r="U861" s="11" t="str">
        <f t="shared" si="65"/>
        <v>02:10:56 PM</v>
      </c>
      <c r="BL861" s="2" t="s">
        <v>2011</v>
      </c>
    </row>
    <row r="862" spans="1:64" x14ac:dyDescent="0.35">
      <c r="A862">
        <v>1920</v>
      </c>
      <c r="B862" t="s">
        <v>3</v>
      </c>
      <c r="C862" s="1">
        <v>45418</v>
      </c>
      <c r="D862" t="s">
        <v>24</v>
      </c>
      <c r="E862" t="s">
        <v>18</v>
      </c>
      <c r="F862">
        <v>2</v>
      </c>
      <c r="G862">
        <v>2102.39</v>
      </c>
      <c r="H862">
        <v>4204.78</v>
      </c>
      <c r="I862">
        <v>840.79</v>
      </c>
      <c r="J862">
        <v>3363.99</v>
      </c>
      <c r="K862">
        <v>354</v>
      </c>
      <c r="L862" s="11" t="s">
        <v>652</v>
      </c>
      <c r="M862">
        <f t="shared" si="66"/>
        <v>6</v>
      </c>
      <c r="N862">
        <f t="shared" si="67"/>
        <v>5</v>
      </c>
      <c r="O862">
        <f t="shared" si="68"/>
        <v>2024</v>
      </c>
      <c r="P862" s="4">
        <f t="shared" si="69"/>
        <v>45418</v>
      </c>
      <c r="Q862" t="s">
        <v>1136</v>
      </c>
      <c r="R862" t="s">
        <v>1135</v>
      </c>
      <c r="S862">
        <v>4</v>
      </c>
      <c r="T862" t="s">
        <v>1142</v>
      </c>
      <c r="U862" s="11" t="str">
        <f t="shared" si="65"/>
        <v>12:21:14 PM</v>
      </c>
      <c r="BL862" s="2" t="s">
        <v>2012</v>
      </c>
    </row>
    <row r="863" spans="1:64" x14ac:dyDescent="0.35">
      <c r="A863">
        <v>9312</v>
      </c>
      <c r="B863" t="s">
        <v>31</v>
      </c>
      <c r="C863" s="1">
        <v>45202</v>
      </c>
      <c r="D863" t="s">
        <v>4</v>
      </c>
      <c r="E863" t="s">
        <v>29</v>
      </c>
      <c r="F863">
        <v>3</v>
      </c>
      <c r="G863">
        <v>1464.95</v>
      </c>
      <c r="H863">
        <v>4394.8500000000004</v>
      </c>
      <c r="I863">
        <v>659.02</v>
      </c>
      <c r="J863">
        <v>3735.83</v>
      </c>
      <c r="K863">
        <v>225</v>
      </c>
      <c r="L863" s="11" t="s">
        <v>653</v>
      </c>
      <c r="M863">
        <f t="shared" si="66"/>
        <v>3</v>
      </c>
      <c r="N863">
        <f t="shared" si="67"/>
        <v>10</v>
      </c>
      <c r="O863">
        <f t="shared" si="68"/>
        <v>2023</v>
      </c>
      <c r="P863" s="4">
        <f t="shared" si="69"/>
        <v>45202</v>
      </c>
      <c r="Q863" t="s">
        <v>1138</v>
      </c>
      <c r="R863" t="s">
        <v>1135</v>
      </c>
      <c r="S863">
        <v>2</v>
      </c>
      <c r="T863" t="s">
        <v>1144</v>
      </c>
      <c r="U863" s="11" t="str">
        <f t="shared" si="65"/>
        <v>12:17:30 AM</v>
      </c>
      <c r="BL863" s="2" t="s">
        <v>2013</v>
      </c>
    </row>
    <row r="864" spans="1:64" x14ac:dyDescent="0.35">
      <c r="A864">
        <v>6085</v>
      </c>
      <c r="B864" t="s">
        <v>8</v>
      </c>
      <c r="C864" s="1">
        <v>45503</v>
      </c>
      <c r="D864" t="s">
        <v>6</v>
      </c>
      <c r="E864" t="s">
        <v>7</v>
      </c>
      <c r="F864">
        <v>1</v>
      </c>
      <c r="G864">
        <v>1684.07</v>
      </c>
      <c r="H864">
        <v>1684.07</v>
      </c>
      <c r="I864">
        <v>336.98</v>
      </c>
      <c r="J864">
        <v>1347.09</v>
      </c>
      <c r="K864">
        <v>500</v>
      </c>
      <c r="L864" s="11" t="s">
        <v>654</v>
      </c>
      <c r="M864">
        <f t="shared" si="66"/>
        <v>30</v>
      </c>
      <c r="N864">
        <f t="shared" si="67"/>
        <v>7</v>
      </c>
      <c r="O864">
        <f t="shared" si="68"/>
        <v>2024</v>
      </c>
      <c r="P864" s="4">
        <f t="shared" si="69"/>
        <v>45503</v>
      </c>
      <c r="Q864" t="s">
        <v>1139</v>
      </c>
      <c r="R864" t="s">
        <v>1135</v>
      </c>
      <c r="S864">
        <v>1</v>
      </c>
      <c r="T864" t="s">
        <v>1143</v>
      </c>
      <c r="U864" s="11" t="str">
        <f t="shared" si="65"/>
        <v>05:18:59 PM</v>
      </c>
      <c r="BL864" s="2" t="s">
        <v>2014</v>
      </c>
    </row>
    <row r="865" spans="1:64" x14ac:dyDescent="0.35">
      <c r="A865">
        <v>8404</v>
      </c>
      <c r="B865" t="s">
        <v>25</v>
      </c>
      <c r="C865" s="1">
        <v>45174</v>
      </c>
      <c r="D865" t="s">
        <v>34</v>
      </c>
      <c r="E865" t="s">
        <v>7</v>
      </c>
      <c r="F865">
        <v>2</v>
      </c>
      <c r="G865">
        <v>1367.01</v>
      </c>
      <c r="H865">
        <v>2734.02</v>
      </c>
      <c r="I865">
        <v>273.07</v>
      </c>
      <c r="J865">
        <v>2460.9499999999998</v>
      </c>
      <c r="K865">
        <v>62</v>
      </c>
      <c r="L865" s="11" t="s">
        <v>655</v>
      </c>
      <c r="M865">
        <f t="shared" si="66"/>
        <v>5</v>
      </c>
      <c r="N865">
        <f t="shared" si="67"/>
        <v>9</v>
      </c>
      <c r="O865">
        <f t="shared" si="68"/>
        <v>2023</v>
      </c>
      <c r="P865" s="4">
        <f t="shared" si="69"/>
        <v>45174</v>
      </c>
      <c r="Q865" t="s">
        <v>1139</v>
      </c>
      <c r="R865" t="s">
        <v>1135</v>
      </c>
      <c r="S865">
        <v>1</v>
      </c>
      <c r="T865" t="s">
        <v>1143</v>
      </c>
      <c r="U865" s="11" t="str">
        <f t="shared" si="65"/>
        <v>07:53:51 AM</v>
      </c>
      <c r="BL865" s="2" t="s">
        <v>2015</v>
      </c>
    </row>
    <row r="866" spans="1:64" x14ac:dyDescent="0.35">
      <c r="A866">
        <v>1932</v>
      </c>
      <c r="B866" t="s">
        <v>15</v>
      </c>
      <c r="C866" s="1">
        <v>45431</v>
      </c>
      <c r="D866" t="s">
        <v>23</v>
      </c>
      <c r="E866" t="s">
        <v>22</v>
      </c>
      <c r="F866">
        <v>3</v>
      </c>
      <c r="G866">
        <v>458.16</v>
      </c>
      <c r="H866">
        <v>1374.48</v>
      </c>
      <c r="I866">
        <v>0</v>
      </c>
      <c r="J866">
        <v>1374.48</v>
      </c>
      <c r="K866">
        <v>496</v>
      </c>
      <c r="L866" s="11" t="s">
        <v>656</v>
      </c>
      <c r="M866">
        <f t="shared" si="66"/>
        <v>19</v>
      </c>
      <c r="N866">
        <f t="shared" si="67"/>
        <v>5</v>
      </c>
      <c r="O866">
        <f t="shared" si="68"/>
        <v>2024</v>
      </c>
      <c r="P866" s="4">
        <f t="shared" si="69"/>
        <v>45431</v>
      </c>
      <c r="Q866" t="s">
        <v>1136</v>
      </c>
      <c r="R866" t="s">
        <v>1137</v>
      </c>
      <c r="S866">
        <v>3</v>
      </c>
      <c r="T866" t="s">
        <v>1149</v>
      </c>
      <c r="U866" s="11" t="str">
        <f t="shared" si="65"/>
        <v>12:50:55 PM</v>
      </c>
      <c r="BL866" s="2" t="s">
        <v>2016</v>
      </c>
    </row>
    <row r="867" spans="1:64" x14ac:dyDescent="0.35">
      <c r="A867">
        <v>5703</v>
      </c>
      <c r="B867" t="s">
        <v>19</v>
      </c>
      <c r="C867" s="1">
        <v>45204</v>
      </c>
      <c r="D867" t="s">
        <v>34</v>
      </c>
      <c r="E867" t="s">
        <v>26</v>
      </c>
      <c r="F867">
        <v>5</v>
      </c>
      <c r="G867">
        <v>1687.39</v>
      </c>
      <c r="H867">
        <v>8436.9500000000007</v>
      </c>
      <c r="I867">
        <v>1265.75</v>
      </c>
      <c r="J867">
        <v>7171.2</v>
      </c>
      <c r="K867">
        <v>409</v>
      </c>
      <c r="L867" s="11" t="s">
        <v>657</v>
      </c>
      <c r="M867">
        <f t="shared" si="66"/>
        <v>5</v>
      </c>
      <c r="N867">
        <f t="shared" si="67"/>
        <v>10</v>
      </c>
      <c r="O867">
        <f t="shared" si="68"/>
        <v>2023</v>
      </c>
      <c r="P867" s="4">
        <f t="shared" si="69"/>
        <v>45204</v>
      </c>
      <c r="Q867" t="s">
        <v>1138</v>
      </c>
      <c r="R867" t="s">
        <v>1137</v>
      </c>
      <c r="S867">
        <v>1</v>
      </c>
      <c r="T867" t="s">
        <v>1141</v>
      </c>
      <c r="U867" s="11" t="str">
        <f t="shared" si="65"/>
        <v>06:52:42 AM</v>
      </c>
      <c r="BL867" s="2" t="s">
        <v>2017</v>
      </c>
    </row>
    <row r="868" spans="1:64" x14ac:dyDescent="0.35">
      <c r="A868">
        <v>2479</v>
      </c>
      <c r="B868" t="s">
        <v>0</v>
      </c>
      <c r="C868" s="1">
        <v>45622</v>
      </c>
      <c r="D868" t="s">
        <v>34</v>
      </c>
      <c r="E868" t="s">
        <v>29</v>
      </c>
      <c r="F868">
        <v>2</v>
      </c>
      <c r="G868">
        <v>1713.95</v>
      </c>
      <c r="H868">
        <v>3427.9</v>
      </c>
      <c r="I868">
        <v>216.63</v>
      </c>
      <c r="J868">
        <v>3211.27</v>
      </c>
      <c r="K868">
        <v>59</v>
      </c>
      <c r="L868" s="11" t="s">
        <v>658</v>
      </c>
      <c r="M868">
        <f t="shared" si="66"/>
        <v>26</v>
      </c>
      <c r="N868">
        <f t="shared" si="67"/>
        <v>11</v>
      </c>
      <c r="O868">
        <f t="shared" si="68"/>
        <v>2024</v>
      </c>
      <c r="P868" s="4">
        <f t="shared" si="69"/>
        <v>45622</v>
      </c>
      <c r="Q868" t="s">
        <v>1138</v>
      </c>
      <c r="R868" t="s">
        <v>1137</v>
      </c>
      <c r="S868">
        <v>4</v>
      </c>
      <c r="T868" t="s">
        <v>1144</v>
      </c>
      <c r="U868" s="11" t="str">
        <f t="shared" si="65"/>
        <v>01:00:13 PM</v>
      </c>
      <c r="BL868" s="2" t="s">
        <v>2018</v>
      </c>
    </row>
    <row r="869" spans="1:64" x14ac:dyDescent="0.35">
      <c r="A869">
        <v>9307</v>
      </c>
      <c r="B869" t="s">
        <v>31</v>
      </c>
      <c r="C869" s="1">
        <v>45443</v>
      </c>
      <c r="D869" t="s">
        <v>34</v>
      </c>
      <c r="E869" t="s">
        <v>12</v>
      </c>
      <c r="F869">
        <v>1</v>
      </c>
      <c r="G869">
        <v>867.35</v>
      </c>
      <c r="H869">
        <v>867.35</v>
      </c>
      <c r="I869">
        <v>258.13</v>
      </c>
      <c r="J869">
        <v>609.22</v>
      </c>
      <c r="K869">
        <v>311</v>
      </c>
      <c r="L869" s="11" t="s">
        <v>659</v>
      </c>
      <c r="M869">
        <f t="shared" si="66"/>
        <v>31</v>
      </c>
      <c r="N869">
        <f t="shared" si="67"/>
        <v>5</v>
      </c>
      <c r="O869">
        <f t="shared" si="68"/>
        <v>2024</v>
      </c>
      <c r="P869" s="4">
        <f t="shared" si="69"/>
        <v>45443</v>
      </c>
      <c r="Q869" t="s">
        <v>1139</v>
      </c>
      <c r="R869" t="s">
        <v>1137</v>
      </c>
      <c r="S869">
        <v>5</v>
      </c>
      <c r="T869" t="s">
        <v>1143</v>
      </c>
      <c r="U869" s="11" t="str">
        <f t="shared" si="65"/>
        <v>03:09:20 AM</v>
      </c>
      <c r="BL869" s="2" t="s">
        <v>2019</v>
      </c>
    </row>
    <row r="870" spans="1:64" x14ac:dyDescent="0.35">
      <c r="A870">
        <v>8581</v>
      </c>
      <c r="B870" t="s">
        <v>20</v>
      </c>
      <c r="C870" s="1">
        <v>45595</v>
      </c>
      <c r="D870" t="s">
        <v>6</v>
      </c>
      <c r="E870" t="s">
        <v>28</v>
      </c>
      <c r="F870">
        <v>1</v>
      </c>
      <c r="G870">
        <v>1377.8</v>
      </c>
      <c r="H870">
        <v>1377.8</v>
      </c>
      <c r="I870">
        <v>214.14</v>
      </c>
      <c r="J870">
        <v>1163.6600000000001</v>
      </c>
      <c r="K870">
        <v>228</v>
      </c>
      <c r="L870" s="11" t="s">
        <v>660</v>
      </c>
      <c r="M870">
        <f t="shared" si="66"/>
        <v>30</v>
      </c>
      <c r="N870">
        <f t="shared" si="67"/>
        <v>10</v>
      </c>
      <c r="O870">
        <f t="shared" si="68"/>
        <v>2024</v>
      </c>
      <c r="P870" s="4">
        <f t="shared" si="69"/>
        <v>45595</v>
      </c>
      <c r="Q870" t="s">
        <v>1134</v>
      </c>
      <c r="R870" t="s">
        <v>1135</v>
      </c>
      <c r="S870">
        <v>5</v>
      </c>
      <c r="T870" t="s">
        <v>1147</v>
      </c>
      <c r="U870" s="11" t="str">
        <f t="shared" si="65"/>
        <v>12:27:35 PM</v>
      </c>
      <c r="BL870" s="2" t="s">
        <v>2020</v>
      </c>
    </row>
    <row r="871" spans="1:64" x14ac:dyDescent="0.35">
      <c r="A871">
        <v>1672</v>
      </c>
      <c r="B871" t="s">
        <v>15</v>
      </c>
      <c r="C871" s="1">
        <v>45494</v>
      </c>
      <c r="D871" t="s">
        <v>11</v>
      </c>
      <c r="E871" t="s">
        <v>36</v>
      </c>
      <c r="F871">
        <v>1</v>
      </c>
      <c r="G871">
        <v>2268.39</v>
      </c>
      <c r="H871">
        <v>2268.39</v>
      </c>
      <c r="I871">
        <v>454.01</v>
      </c>
      <c r="J871">
        <v>1814.38</v>
      </c>
      <c r="K871">
        <v>184</v>
      </c>
      <c r="L871" s="11" t="s">
        <v>661</v>
      </c>
      <c r="M871">
        <f t="shared" si="66"/>
        <v>21</v>
      </c>
      <c r="N871">
        <f t="shared" si="67"/>
        <v>7</v>
      </c>
      <c r="O871">
        <f t="shared" si="68"/>
        <v>2024</v>
      </c>
      <c r="P871" s="4">
        <f t="shared" si="69"/>
        <v>45494</v>
      </c>
      <c r="Q871" t="s">
        <v>1139</v>
      </c>
      <c r="R871" t="s">
        <v>1137</v>
      </c>
      <c r="S871">
        <v>5</v>
      </c>
      <c r="T871" t="s">
        <v>1144</v>
      </c>
      <c r="U871" s="11" t="str">
        <f t="shared" si="65"/>
        <v>08:41:23 AM</v>
      </c>
      <c r="BL871" s="2" t="s">
        <v>2021</v>
      </c>
    </row>
    <row r="872" spans="1:64" x14ac:dyDescent="0.35">
      <c r="A872">
        <v>4084</v>
      </c>
      <c r="B872" t="s">
        <v>13</v>
      </c>
      <c r="C872" s="1">
        <v>45394</v>
      </c>
      <c r="D872" t="s">
        <v>11</v>
      </c>
      <c r="E872" t="s">
        <v>21</v>
      </c>
      <c r="F872">
        <v>3</v>
      </c>
      <c r="G872">
        <v>111.22</v>
      </c>
      <c r="H872">
        <v>333.66</v>
      </c>
      <c r="I872">
        <v>49.8</v>
      </c>
      <c r="J872">
        <v>283.86</v>
      </c>
      <c r="K872">
        <v>176</v>
      </c>
      <c r="L872" s="11" t="s">
        <v>662</v>
      </c>
      <c r="M872">
        <f t="shared" si="66"/>
        <v>12</v>
      </c>
      <c r="N872">
        <f t="shared" si="67"/>
        <v>4</v>
      </c>
      <c r="O872">
        <f t="shared" si="68"/>
        <v>2024</v>
      </c>
      <c r="P872" s="4">
        <f t="shared" si="69"/>
        <v>45394</v>
      </c>
      <c r="Q872" t="s">
        <v>1138</v>
      </c>
      <c r="R872" t="s">
        <v>1137</v>
      </c>
      <c r="S872">
        <v>2</v>
      </c>
      <c r="T872" t="s">
        <v>1148</v>
      </c>
      <c r="U872" s="11" t="str">
        <f t="shared" si="65"/>
        <v>06:03:08 PM</v>
      </c>
      <c r="BL872" s="2" t="s">
        <v>2022</v>
      </c>
    </row>
    <row r="873" spans="1:64" x14ac:dyDescent="0.35">
      <c r="A873">
        <v>8792</v>
      </c>
      <c r="B873" t="s">
        <v>15</v>
      </c>
      <c r="C873" s="1">
        <v>45534</v>
      </c>
      <c r="D873" t="s">
        <v>27</v>
      </c>
      <c r="E873" t="s">
        <v>32</v>
      </c>
      <c r="F873">
        <v>2</v>
      </c>
      <c r="G873">
        <v>1834.3</v>
      </c>
      <c r="H873">
        <v>3668.6</v>
      </c>
      <c r="I873">
        <v>366.86</v>
      </c>
      <c r="J873">
        <v>3301.74</v>
      </c>
      <c r="K873">
        <v>227</v>
      </c>
      <c r="L873" s="11" t="s">
        <v>663</v>
      </c>
      <c r="M873">
        <f t="shared" si="66"/>
        <v>30</v>
      </c>
      <c r="N873">
        <f t="shared" si="67"/>
        <v>8</v>
      </c>
      <c r="O873">
        <f t="shared" si="68"/>
        <v>2024</v>
      </c>
      <c r="P873" s="4">
        <f t="shared" si="69"/>
        <v>45534</v>
      </c>
      <c r="Q873" t="s">
        <v>1136</v>
      </c>
      <c r="R873" t="s">
        <v>1135</v>
      </c>
      <c r="S873">
        <v>1</v>
      </c>
      <c r="T873" t="s">
        <v>1141</v>
      </c>
      <c r="U873" s="11" t="str">
        <f t="shared" si="65"/>
        <v>01:06:03 PM</v>
      </c>
      <c r="BL873" s="2" t="s">
        <v>2023</v>
      </c>
    </row>
    <row r="874" spans="1:64" x14ac:dyDescent="0.35">
      <c r="A874">
        <v>3471</v>
      </c>
      <c r="B874" t="s">
        <v>19</v>
      </c>
      <c r="C874" s="1">
        <v>45193</v>
      </c>
      <c r="D874" t="s">
        <v>23</v>
      </c>
      <c r="E874" t="s">
        <v>5</v>
      </c>
      <c r="F874">
        <v>4</v>
      </c>
      <c r="G874">
        <v>418.32</v>
      </c>
      <c r="H874">
        <v>1673.28</v>
      </c>
      <c r="I874">
        <v>334.49</v>
      </c>
      <c r="J874">
        <v>1338.79</v>
      </c>
      <c r="K874">
        <v>300</v>
      </c>
      <c r="L874" s="11" t="s">
        <v>664</v>
      </c>
      <c r="M874">
        <f t="shared" si="66"/>
        <v>24</v>
      </c>
      <c r="N874">
        <f t="shared" si="67"/>
        <v>9</v>
      </c>
      <c r="O874">
        <f t="shared" si="68"/>
        <v>2023</v>
      </c>
      <c r="P874" s="4">
        <f t="shared" si="69"/>
        <v>45193</v>
      </c>
      <c r="Q874" t="s">
        <v>1139</v>
      </c>
      <c r="R874" t="s">
        <v>1135</v>
      </c>
      <c r="S874">
        <v>4</v>
      </c>
      <c r="T874" t="s">
        <v>1146</v>
      </c>
      <c r="U874" s="11" t="str">
        <f t="shared" ref="U874:U937" si="70">TEXT(L874,"hh:mm:ss AM/PM")</f>
        <v>03:55:04 AM</v>
      </c>
      <c r="BL874" s="2" t="s">
        <v>2024</v>
      </c>
    </row>
    <row r="875" spans="1:64" x14ac:dyDescent="0.35">
      <c r="A875">
        <v>8381</v>
      </c>
      <c r="B875" t="s">
        <v>31</v>
      </c>
      <c r="C875" s="1">
        <v>45225</v>
      </c>
      <c r="D875" t="s">
        <v>24</v>
      </c>
      <c r="E875" t="s">
        <v>37</v>
      </c>
      <c r="F875">
        <v>5</v>
      </c>
      <c r="G875">
        <v>2456.8000000000002</v>
      </c>
      <c r="H875">
        <v>12284</v>
      </c>
      <c r="I875">
        <v>85.49</v>
      </c>
      <c r="J875">
        <v>12198.51</v>
      </c>
      <c r="K875">
        <v>33</v>
      </c>
      <c r="L875" s="11" t="s">
        <v>665</v>
      </c>
      <c r="M875">
        <f t="shared" si="66"/>
        <v>26</v>
      </c>
      <c r="N875">
        <f t="shared" si="67"/>
        <v>10</v>
      </c>
      <c r="O875">
        <f t="shared" si="68"/>
        <v>2023</v>
      </c>
      <c r="P875" s="4">
        <f t="shared" si="69"/>
        <v>45225</v>
      </c>
      <c r="Q875" t="s">
        <v>1138</v>
      </c>
      <c r="R875" t="s">
        <v>1137</v>
      </c>
      <c r="S875">
        <v>2</v>
      </c>
      <c r="T875" t="s">
        <v>1144</v>
      </c>
      <c r="U875" s="11" t="str">
        <f t="shared" si="70"/>
        <v>01:07:44 AM</v>
      </c>
      <c r="BL875" s="2" t="s">
        <v>2025</v>
      </c>
    </row>
    <row r="876" spans="1:64" x14ac:dyDescent="0.35">
      <c r="A876">
        <v>6626</v>
      </c>
      <c r="B876" t="s">
        <v>19</v>
      </c>
      <c r="C876" s="1">
        <v>45699</v>
      </c>
      <c r="D876" t="s">
        <v>9</v>
      </c>
      <c r="E876" t="s">
        <v>18</v>
      </c>
      <c r="F876">
        <v>5</v>
      </c>
      <c r="G876">
        <v>1194.3699999999999</v>
      </c>
      <c r="H876">
        <v>5971.85</v>
      </c>
      <c r="I876">
        <v>1194.3699999999999</v>
      </c>
      <c r="J876">
        <v>4777.4799999999996</v>
      </c>
      <c r="K876">
        <v>290</v>
      </c>
      <c r="L876" s="11" t="s">
        <v>666</v>
      </c>
      <c r="M876">
        <f t="shared" si="66"/>
        <v>11</v>
      </c>
      <c r="N876">
        <f t="shared" si="67"/>
        <v>2</v>
      </c>
      <c r="O876">
        <f t="shared" si="68"/>
        <v>2025</v>
      </c>
      <c r="P876" s="4">
        <f t="shared" si="69"/>
        <v>45699</v>
      </c>
      <c r="Q876" t="s">
        <v>1139</v>
      </c>
      <c r="R876" t="s">
        <v>1137</v>
      </c>
      <c r="S876">
        <v>3</v>
      </c>
      <c r="T876" t="s">
        <v>1145</v>
      </c>
      <c r="U876" s="11" t="str">
        <f t="shared" si="70"/>
        <v>06:04:36 PM</v>
      </c>
      <c r="BL876" s="2" t="s">
        <v>2026</v>
      </c>
    </row>
    <row r="877" spans="1:64" x14ac:dyDescent="0.35">
      <c r="A877">
        <v>2381</v>
      </c>
      <c r="B877" t="s">
        <v>8</v>
      </c>
      <c r="C877" s="1">
        <v>45536</v>
      </c>
      <c r="D877" t="s">
        <v>9</v>
      </c>
      <c r="E877" t="s">
        <v>26</v>
      </c>
      <c r="F877">
        <v>5</v>
      </c>
      <c r="G877">
        <v>1263.26</v>
      </c>
      <c r="H877">
        <v>6316.3</v>
      </c>
      <c r="I877">
        <v>184.26</v>
      </c>
      <c r="J877">
        <v>6132.04</v>
      </c>
      <c r="K877">
        <v>421</v>
      </c>
      <c r="L877" s="11" t="s">
        <v>667</v>
      </c>
      <c r="M877">
        <f t="shared" si="66"/>
        <v>1</v>
      </c>
      <c r="N877">
        <f t="shared" si="67"/>
        <v>9</v>
      </c>
      <c r="O877">
        <f t="shared" si="68"/>
        <v>2024</v>
      </c>
      <c r="P877" s="4">
        <f t="shared" si="69"/>
        <v>45536</v>
      </c>
      <c r="Q877" t="s">
        <v>1134</v>
      </c>
      <c r="R877" t="s">
        <v>1135</v>
      </c>
      <c r="S877">
        <v>4</v>
      </c>
      <c r="T877" t="s">
        <v>1143</v>
      </c>
      <c r="U877" s="11" t="str">
        <f t="shared" si="70"/>
        <v>07:51:28 PM</v>
      </c>
      <c r="BL877" s="2" t="s">
        <v>2027</v>
      </c>
    </row>
    <row r="878" spans="1:64" x14ac:dyDescent="0.35">
      <c r="A878">
        <v>3827</v>
      </c>
      <c r="B878" t="s">
        <v>3</v>
      </c>
      <c r="C878" s="1">
        <v>45175</v>
      </c>
      <c r="D878" t="s">
        <v>34</v>
      </c>
      <c r="E878" t="s">
        <v>14</v>
      </c>
      <c r="F878">
        <v>1</v>
      </c>
      <c r="G878">
        <v>1987.02</v>
      </c>
      <c r="H878">
        <v>1987.02</v>
      </c>
      <c r="I878">
        <v>297.97000000000003</v>
      </c>
      <c r="J878">
        <v>1689.05</v>
      </c>
      <c r="K878">
        <v>78</v>
      </c>
      <c r="L878" s="11" t="s">
        <v>668</v>
      </c>
      <c r="M878">
        <f t="shared" si="66"/>
        <v>6</v>
      </c>
      <c r="N878">
        <f t="shared" si="67"/>
        <v>9</v>
      </c>
      <c r="O878">
        <f t="shared" si="68"/>
        <v>2023</v>
      </c>
      <c r="P878" s="4">
        <f t="shared" si="69"/>
        <v>45175</v>
      </c>
      <c r="Q878" t="s">
        <v>1139</v>
      </c>
      <c r="R878" t="s">
        <v>1137</v>
      </c>
      <c r="S878">
        <v>4</v>
      </c>
      <c r="T878" t="s">
        <v>1145</v>
      </c>
      <c r="U878" s="11" t="str">
        <f t="shared" si="70"/>
        <v>11:44:13 AM</v>
      </c>
      <c r="BL878" s="2" t="s">
        <v>2028</v>
      </c>
    </row>
    <row r="879" spans="1:64" x14ac:dyDescent="0.35">
      <c r="A879">
        <v>5059</v>
      </c>
      <c r="B879" t="s">
        <v>15</v>
      </c>
      <c r="C879" s="1">
        <v>45694</v>
      </c>
      <c r="D879" t="s">
        <v>4</v>
      </c>
      <c r="E879" t="s">
        <v>26</v>
      </c>
      <c r="F879">
        <v>4</v>
      </c>
      <c r="G879">
        <v>513.77</v>
      </c>
      <c r="H879">
        <v>2055.08</v>
      </c>
      <c r="I879">
        <v>122.84</v>
      </c>
      <c r="J879">
        <v>1932.24</v>
      </c>
      <c r="K879">
        <v>464</v>
      </c>
      <c r="L879" s="11" t="s">
        <v>669</v>
      </c>
      <c r="M879">
        <f t="shared" si="66"/>
        <v>6</v>
      </c>
      <c r="N879">
        <f t="shared" si="67"/>
        <v>2</v>
      </c>
      <c r="O879">
        <f t="shared" si="68"/>
        <v>2025</v>
      </c>
      <c r="P879" s="4">
        <f t="shared" si="69"/>
        <v>45694</v>
      </c>
      <c r="Q879" t="s">
        <v>1139</v>
      </c>
      <c r="R879" t="s">
        <v>1135</v>
      </c>
      <c r="S879">
        <v>4</v>
      </c>
      <c r="T879" t="s">
        <v>1141</v>
      </c>
      <c r="U879" s="11" t="str">
        <f t="shared" si="70"/>
        <v>08:34:29 PM</v>
      </c>
      <c r="BL879" s="2" t="s">
        <v>2029</v>
      </c>
    </row>
    <row r="880" spans="1:64" x14ac:dyDescent="0.35">
      <c r="A880">
        <v>8172</v>
      </c>
      <c r="B880" t="s">
        <v>19</v>
      </c>
      <c r="C880" s="1">
        <v>45486</v>
      </c>
      <c r="D880" t="s">
        <v>34</v>
      </c>
      <c r="E880" t="s">
        <v>32</v>
      </c>
      <c r="F880">
        <v>5</v>
      </c>
      <c r="G880">
        <v>1876.63</v>
      </c>
      <c r="H880">
        <v>9383.15</v>
      </c>
      <c r="I880">
        <v>227.42</v>
      </c>
      <c r="J880">
        <v>9155.73</v>
      </c>
      <c r="K880">
        <v>297</v>
      </c>
      <c r="L880" s="11" t="s">
        <v>670</v>
      </c>
      <c r="M880">
        <f t="shared" si="66"/>
        <v>13</v>
      </c>
      <c r="N880">
        <f t="shared" si="67"/>
        <v>7</v>
      </c>
      <c r="O880">
        <f t="shared" si="68"/>
        <v>2024</v>
      </c>
      <c r="P880" s="4">
        <f t="shared" si="69"/>
        <v>45486</v>
      </c>
      <c r="Q880" t="s">
        <v>1138</v>
      </c>
      <c r="R880" t="s">
        <v>1135</v>
      </c>
      <c r="S880">
        <v>5</v>
      </c>
      <c r="T880" t="s">
        <v>1142</v>
      </c>
      <c r="U880" s="11" t="str">
        <f t="shared" si="70"/>
        <v>11:49:04 PM</v>
      </c>
      <c r="BL880" s="2" t="s">
        <v>2030</v>
      </c>
    </row>
    <row r="881" spans="1:64" x14ac:dyDescent="0.35">
      <c r="A881">
        <v>9586</v>
      </c>
      <c r="B881" t="s">
        <v>19</v>
      </c>
      <c r="C881" s="1">
        <v>45551</v>
      </c>
      <c r="D881" t="s">
        <v>16</v>
      </c>
      <c r="E881" t="s">
        <v>37</v>
      </c>
      <c r="F881">
        <v>1</v>
      </c>
      <c r="G881">
        <v>980.23</v>
      </c>
      <c r="H881">
        <v>980.23</v>
      </c>
      <c r="I881">
        <v>146.91</v>
      </c>
      <c r="J881">
        <v>833.32</v>
      </c>
      <c r="K881">
        <v>375</v>
      </c>
      <c r="L881" s="11" t="s">
        <v>671</v>
      </c>
      <c r="M881">
        <f t="shared" si="66"/>
        <v>16</v>
      </c>
      <c r="N881">
        <f t="shared" si="67"/>
        <v>9</v>
      </c>
      <c r="O881">
        <f t="shared" si="68"/>
        <v>2024</v>
      </c>
      <c r="P881" s="4">
        <f t="shared" si="69"/>
        <v>45551</v>
      </c>
      <c r="Q881" t="s">
        <v>1138</v>
      </c>
      <c r="R881" t="s">
        <v>1135</v>
      </c>
      <c r="S881">
        <v>4</v>
      </c>
      <c r="T881" t="s">
        <v>1145</v>
      </c>
      <c r="U881" s="11" t="str">
        <f t="shared" si="70"/>
        <v>06:00:40 AM</v>
      </c>
      <c r="BL881" s="2" t="s">
        <v>2031</v>
      </c>
    </row>
    <row r="882" spans="1:64" x14ac:dyDescent="0.35">
      <c r="A882">
        <v>3600</v>
      </c>
      <c r="B882" t="s">
        <v>8</v>
      </c>
      <c r="C882" s="1">
        <v>45427</v>
      </c>
      <c r="D882" t="s">
        <v>17</v>
      </c>
      <c r="E882" t="s">
        <v>29</v>
      </c>
      <c r="F882">
        <v>2</v>
      </c>
      <c r="G882">
        <v>851.58</v>
      </c>
      <c r="H882">
        <v>1703.16</v>
      </c>
      <c r="I882">
        <v>255.64</v>
      </c>
      <c r="J882">
        <v>1447.52</v>
      </c>
      <c r="K882">
        <v>449</v>
      </c>
      <c r="L882" s="11" t="s">
        <v>672</v>
      </c>
      <c r="M882">
        <f t="shared" si="66"/>
        <v>15</v>
      </c>
      <c r="N882">
        <f t="shared" si="67"/>
        <v>5</v>
      </c>
      <c r="O882">
        <f t="shared" si="68"/>
        <v>2024</v>
      </c>
      <c r="P882" s="4">
        <f t="shared" si="69"/>
        <v>45427</v>
      </c>
      <c r="Q882" t="s">
        <v>1138</v>
      </c>
      <c r="R882" t="s">
        <v>1135</v>
      </c>
      <c r="S882">
        <v>1</v>
      </c>
      <c r="T882" t="s">
        <v>1143</v>
      </c>
      <c r="U882" s="11" t="str">
        <f t="shared" si="70"/>
        <v>07:17:01 AM</v>
      </c>
      <c r="BL882" s="2" t="s">
        <v>2032</v>
      </c>
    </row>
    <row r="883" spans="1:64" x14ac:dyDescent="0.35">
      <c r="A883">
        <v>7108</v>
      </c>
      <c r="B883" t="s">
        <v>8</v>
      </c>
      <c r="C883" s="1">
        <v>45857</v>
      </c>
      <c r="D883" t="s">
        <v>1</v>
      </c>
      <c r="E883" t="s">
        <v>2</v>
      </c>
      <c r="F883">
        <v>3</v>
      </c>
      <c r="G883">
        <v>1092.28</v>
      </c>
      <c r="H883">
        <v>3276.84</v>
      </c>
      <c r="I883">
        <v>179.28</v>
      </c>
      <c r="J883">
        <v>3097.56</v>
      </c>
      <c r="K883">
        <v>466</v>
      </c>
      <c r="L883" s="11" t="s">
        <v>673</v>
      </c>
      <c r="M883">
        <f t="shared" si="66"/>
        <v>19</v>
      </c>
      <c r="N883">
        <f t="shared" si="67"/>
        <v>7</v>
      </c>
      <c r="O883">
        <f t="shared" si="68"/>
        <v>2025</v>
      </c>
      <c r="P883" s="4">
        <f t="shared" si="69"/>
        <v>45857</v>
      </c>
      <c r="Q883" t="s">
        <v>1139</v>
      </c>
      <c r="R883" t="s">
        <v>1137</v>
      </c>
      <c r="S883">
        <v>4</v>
      </c>
      <c r="T883" t="s">
        <v>1147</v>
      </c>
      <c r="U883" s="11" t="str">
        <f t="shared" si="70"/>
        <v>07:46:12 AM</v>
      </c>
      <c r="BL883" s="2" t="s">
        <v>2033</v>
      </c>
    </row>
    <row r="884" spans="1:64" x14ac:dyDescent="0.35">
      <c r="A884">
        <v>5634</v>
      </c>
      <c r="B884" t="s">
        <v>3</v>
      </c>
      <c r="C884" s="1">
        <v>45445</v>
      </c>
      <c r="D884" t="s">
        <v>16</v>
      </c>
      <c r="E884" t="s">
        <v>32</v>
      </c>
      <c r="F884">
        <v>5</v>
      </c>
      <c r="G884">
        <v>548.63</v>
      </c>
      <c r="H884">
        <v>2743.15</v>
      </c>
      <c r="I884">
        <v>282.2</v>
      </c>
      <c r="J884">
        <v>2460.9499999999998</v>
      </c>
      <c r="K884">
        <v>321</v>
      </c>
      <c r="L884" s="11" t="s">
        <v>674</v>
      </c>
      <c r="M884">
        <f t="shared" si="66"/>
        <v>2</v>
      </c>
      <c r="N884">
        <f t="shared" si="67"/>
        <v>6</v>
      </c>
      <c r="O884">
        <f t="shared" si="68"/>
        <v>2024</v>
      </c>
      <c r="P884" s="4">
        <f t="shared" si="69"/>
        <v>45445</v>
      </c>
      <c r="Q884" t="s">
        <v>1134</v>
      </c>
      <c r="R884" t="s">
        <v>1135</v>
      </c>
      <c r="S884">
        <v>5</v>
      </c>
      <c r="T884" t="s">
        <v>1147</v>
      </c>
      <c r="U884" s="11" t="str">
        <f t="shared" si="70"/>
        <v>01:00:45 AM</v>
      </c>
      <c r="BL884" s="2" t="s">
        <v>2034</v>
      </c>
    </row>
    <row r="885" spans="1:64" x14ac:dyDescent="0.35">
      <c r="A885">
        <v>7697</v>
      </c>
      <c r="B885" t="s">
        <v>8</v>
      </c>
      <c r="C885" s="1">
        <v>45746</v>
      </c>
      <c r="D885" t="s">
        <v>27</v>
      </c>
      <c r="E885" t="s">
        <v>10</v>
      </c>
      <c r="F885">
        <v>3</v>
      </c>
      <c r="G885">
        <v>2072.5100000000002</v>
      </c>
      <c r="H885">
        <v>6217.53</v>
      </c>
      <c r="I885">
        <v>932.92</v>
      </c>
      <c r="J885">
        <v>5284.61</v>
      </c>
      <c r="K885">
        <v>350</v>
      </c>
      <c r="L885" s="11" t="s">
        <v>675</v>
      </c>
      <c r="M885">
        <f t="shared" si="66"/>
        <v>30</v>
      </c>
      <c r="N885">
        <f t="shared" si="67"/>
        <v>3</v>
      </c>
      <c r="O885">
        <f t="shared" si="68"/>
        <v>2025</v>
      </c>
      <c r="P885" s="4">
        <f t="shared" si="69"/>
        <v>45746</v>
      </c>
      <c r="Q885" t="s">
        <v>1136</v>
      </c>
      <c r="R885" t="s">
        <v>1135</v>
      </c>
      <c r="S885">
        <v>4</v>
      </c>
      <c r="T885" t="s">
        <v>1143</v>
      </c>
      <c r="U885" s="11" t="str">
        <f t="shared" si="70"/>
        <v>01:01:15 AM</v>
      </c>
      <c r="BL885" s="2" t="s">
        <v>2035</v>
      </c>
    </row>
    <row r="886" spans="1:64" x14ac:dyDescent="0.35">
      <c r="A886">
        <v>6543</v>
      </c>
      <c r="B886" t="s">
        <v>25</v>
      </c>
      <c r="C886" s="1">
        <v>45672</v>
      </c>
      <c r="D886" t="s">
        <v>4</v>
      </c>
      <c r="E886" t="s">
        <v>7</v>
      </c>
      <c r="F886">
        <v>5</v>
      </c>
      <c r="G886">
        <v>928.77</v>
      </c>
      <c r="H886">
        <v>4643.8500000000004</v>
      </c>
      <c r="I886">
        <v>928.77</v>
      </c>
      <c r="J886">
        <v>3715.08</v>
      </c>
      <c r="K886">
        <v>73</v>
      </c>
      <c r="L886" s="11" t="s">
        <v>676</v>
      </c>
      <c r="M886">
        <f t="shared" si="66"/>
        <v>15</v>
      </c>
      <c r="N886">
        <f t="shared" si="67"/>
        <v>1</v>
      </c>
      <c r="O886">
        <f t="shared" si="68"/>
        <v>2025</v>
      </c>
      <c r="P886" s="4">
        <f t="shared" si="69"/>
        <v>45672</v>
      </c>
      <c r="Q886" t="s">
        <v>1136</v>
      </c>
      <c r="R886" t="s">
        <v>1137</v>
      </c>
      <c r="S886">
        <v>3</v>
      </c>
      <c r="T886" t="s">
        <v>1149</v>
      </c>
      <c r="U886" s="11" t="str">
        <f t="shared" si="70"/>
        <v>12:13:48 PM</v>
      </c>
      <c r="BL886" s="2" t="s">
        <v>2036</v>
      </c>
    </row>
    <row r="887" spans="1:64" x14ac:dyDescent="0.35">
      <c r="A887">
        <v>1857</v>
      </c>
      <c r="B887" t="s">
        <v>3</v>
      </c>
      <c r="C887" s="1">
        <v>45758</v>
      </c>
      <c r="D887" t="s">
        <v>24</v>
      </c>
      <c r="E887" t="s">
        <v>12</v>
      </c>
      <c r="F887">
        <v>4</v>
      </c>
      <c r="G887">
        <v>1074.02</v>
      </c>
      <c r="H887">
        <v>4296.08</v>
      </c>
      <c r="I887">
        <v>155.21</v>
      </c>
      <c r="J887">
        <v>4140.87</v>
      </c>
      <c r="K887">
        <v>471</v>
      </c>
      <c r="L887" s="11" t="s">
        <v>677</v>
      </c>
      <c r="M887">
        <f t="shared" si="66"/>
        <v>11</v>
      </c>
      <c r="N887">
        <f t="shared" si="67"/>
        <v>4</v>
      </c>
      <c r="O887">
        <f t="shared" si="68"/>
        <v>2025</v>
      </c>
      <c r="P887" s="4">
        <f t="shared" si="69"/>
        <v>45758</v>
      </c>
      <c r="Q887" t="s">
        <v>1138</v>
      </c>
      <c r="R887" t="s">
        <v>1135</v>
      </c>
      <c r="S887">
        <v>3</v>
      </c>
      <c r="T887" t="s">
        <v>1141</v>
      </c>
      <c r="U887" s="11" t="str">
        <f t="shared" si="70"/>
        <v>11:49:05 PM</v>
      </c>
      <c r="BL887" s="2" t="s">
        <v>2037</v>
      </c>
    </row>
    <row r="888" spans="1:64" x14ac:dyDescent="0.35">
      <c r="A888">
        <v>6482</v>
      </c>
      <c r="B888" t="s">
        <v>3</v>
      </c>
      <c r="C888" s="1">
        <v>45196</v>
      </c>
      <c r="D888" t="s">
        <v>6</v>
      </c>
      <c r="E888" t="s">
        <v>33</v>
      </c>
      <c r="F888">
        <v>5</v>
      </c>
      <c r="G888">
        <v>1558.74</v>
      </c>
      <c r="H888">
        <v>7793.7</v>
      </c>
      <c r="I888">
        <v>779.37</v>
      </c>
      <c r="J888">
        <v>7014.33</v>
      </c>
      <c r="K888">
        <v>425</v>
      </c>
      <c r="L888" s="11" t="s">
        <v>678</v>
      </c>
      <c r="M888">
        <f t="shared" si="66"/>
        <v>27</v>
      </c>
      <c r="N888">
        <f t="shared" si="67"/>
        <v>9</v>
      </c>
      <c r="O888">
        <f t="shared" si="68"/>
        <v>2023</v>
      </c>
      <c r="P888" s="4">
        <f t="shared" si="69"/>
        <v>45196</v>
      </c>
      <c r="Q888" t="s">
        <v>1138</v>
      </c>
      <c r="R888" t="s">
        <v>1137</v>
      </c>
      <c r="S888">
        <v>5</v>
      </c>
      <c r="T888" t="s">
        <v>1149</v>
      </c>
      <c r="U888" s="11" t="str">
        <f t="shared" si="70"/>
        <v>10:07:21 AM</v>
      </c>
      <c r="BL888" s="2" t="s">
        <v>2038</v>
      </c>
    </row>
    <row r="889" spans="1:64" x14ac:dyDescent="0.35">
      <c r="A889">
        <v>6401</v>
      </c>
      <c r="B889" t="s">
        <v>15</v>
      </c>
      <c r="C889" s="1">
        <v>45218</v>
      </c>
      <c r="D889" t="s">
        <v>4</v>
      </c>
      <c r="E889" t="s">
        <v>38</v>
      </c>
      <c r="F889">
        <v>2</v>
      </c>
      <c r="G889">
        <v>2304.91</v>
      </c>
      <c r="H889">
        <v>4609.82</v>
      </c>
      <c r="I889">
        <v>691.39</v>
      </c>
      <c r="J889">
        <v>3918.43</v>
      </c>
      <c r="K889">
        <v>245</v>
      </c>
      <c r="L889" s="11" t="s">
        <v>679</v>
      </c>
      <c r="M889">
        <f t="shared" si="66"/>
        <v>19</v>
      </c>
      <c r="N889">
        <f t="shared" si="67"/>
        <v>10</v>
      </c>
      <c r="O889">
        <f t="shared" si="68"/>
        <v>2023</v>
      </c>
      <c r="P889" s="4">
        <f t="shared" si="69"/>
        <v>45218</v>
      </c>
      <c r="Q889" t="s">
        <v>1139</v>
      </c>
      <c r="R889" t="s">
        <v>1137</v>
      </c>
      <c r="S889">
        <v>1</v>
      </c>
      <c r="T889" t="s">
        <v>1143</v>
      </c>
      <c r="U889" s="11" t="str">
        <f t="shared" si="70"/>
        <v>07:22:04 AM</v>
      </c>
      <c r="BL889" s="2" t="s">
        <v>2039</v>
      </c>
    </row>
    <row r="890" spans="1:64" x14ac:dyDescent="0.35">
      <c r="A890">
        <v>7333</v>
      </c>
      <c r="B890" t="s">
        <v>25</v>
      </c>
      <c r="C890" s="1">
        <v>45365</v>
      </c>
      <c r="D890" t="s">
        <v>23</v>
      </c>
      <c r="E890" t="s">
        <v>22</v>
      </c>
      <c r="F890">
        <v>5</v>
      </c>
      <c r="G890">
        <v>1341.28</v>
      </c>
      <c r="H890">
        <v>6706.4</v>
      </c>
      <c r="I890">
        <v>1341.28</v>
      </c>
      <c r="J890">
        <v>5365.12</v>
      </c>
      <c r="K890">
        <v>496</v>
      </c>
      <c r="L890" s="11" t="s">
        <v>680</v>
      </c>
      <c r="M890">
        <f t="shared" si="66"/>
        <v>14</v>
      </c>
      <c r="N890">
        <f t="shared" si="67"/>
        <v>3</v>
      </c>
      <c r="O890">
        <f t="shared" si="68"/>
        <v>2024</v>
      </c>
      <c r="P890" s="4">
        <f t="shared" si="69"/>
        <v>45365</v>
      </c>
      <c r="Q890" t="s">
        <v>1136</v>
      </c>
      <c r="R890" t="s">
        <v>1137</v>
      </c>
      <c r="S890">
        <v>1</v>
      </c>
      <c r="T890" t="s">
        <v>1148</v>
      </c>
      <c r="U890" s="11" t="str">
        <f t="shared" si="70"/>
        <v>02:35:14 PM</v>
      </c>
      <c r="BL890" s="2" t="s">
        <v>2040</v>
      </c>
    </row>
    <row r="891" spans="1:64" x14ac:dyDescent="0.35">
      <c r="A891">
        <v>5128</v>
      </c>
      <c r="B891" t="s">
        <v>19</v>
      </c>
      <c r="C891" s="1">
        <v>45707</v>
      </c>
      <c r="D891" t="s">
        <v>1</v>
      </c>
      <c r="E891" t="s">
        <v>38</v>
      </c>
      <c r="F891">
        <v>2</v>
      </c>
      <c r="G891">
        <v>391.76</v>
      </c>
      <c r="H891">
        <v>783.52</v>
      </c>
      <c r="I891">
        <v>0</v>
      </c>
      <c r="J891">
        <v>783.52</v>
      </c>
      <c r="K891">
        <v>355</v>
      </c>
      <c r="L891" s="11" t="s">
        <v>681</v>
      </c>
      <c r="M891">
        <f t="shared" si="66"/>
        <v>19</v>
      </c>
      <c r="N891">
        <f t="shared" si="67"/>
        <v>2</v>
      </c>
      <c r="O891">
        <f t="shared" si="68"/>
        <v>2025</v>
      </c>
      <c r="P891" s="4">
        <f t="shared" si="69"/>
        <v>45707</v>
      </c>
      <c r="Q891" t="s">
        <v>1138</v>
      </c>
      <c r="R891" t="s">
        <v>1135</v>
      </c>
      <c r="S891">
        <v>2</v>
      </c>
      <c r="T891" t="s">
        <v>1143</v>
      </c>
      <c r="U891" s="11" t="str">
        <f t="shared" si="70"/>
        <v>10:24:58 PM</v>
      </c>
      <c r="BL891" s="2" t="s">
        <v>2041</v>
      </c>
    </row>
    <row r="892" spans="1:64" x14ac:dyDescent="0.35">
      <c r="A892">
        <v>3463</v>
      </c>
      <c r="B892" t="s">
        <v>31</v>
      </c>
      <c r="C892" s="1">
        <v>45403</v>
      </c>
      <c r="D892" t="s">
        <v>24</v>
      </c>
      <c r="E892" t="s">
        <v>30</v>
      </c>
      <c r="F892">
        <v>2</v>
      </c>
      <c r="G892">
        <v>395.91</v>
      </c>
      <c r="H892">
        <v>791.82</v>
      </c>
      <c r="I892">
        <v>0</v>
      </c>
      <c r="J892">
        <v>791.82</v>
      </c>
      <c r="K892">
        <v>40</v>
      </c>
      <c r="L892" s="11" t="s">
        <v>682</v>
      </c>
      <c r="M892">
        <f t="shared" si="66"/>
        <v>21</v>
      </c>
      <c r="N892">
        <f t="shared" si="67"/>
        <v>4</v>
      </c>
      <c r="O892">
        <f t="shared" si="68"/>
        <v>2024</v>
      </c>
      <c r="P892" s="4">
        <f t="shared" si="69"/>
        <v>45403</v>
      </c>
      <c r="Q892" t="s">
        <v>1134</v>
      </c>
      <c r="R892" t="s">
        <v>1137</v>
      </c>
      <c r="S892">
        <v>5</v>
      </c>
      <c r="T892" t="s">
        <v>1146</v>
      </c>
      <c r="U892" s="11" t="str">
        <f t="shared" si="70"/>
        <v>05:17:35 PM</v>
      </c>
      <c r="BL892" s="2" t="s">
        <v>2042</v>
      </c>
    </row>
    <row r="893" spans="1:64" x14ac:dyDescent="0.35">
      <c r="A893">
        <v>2335</v>
      </c>
      <c r="B893" t="s">
        <v>0</v>
      </c>
      <c r="C893" s="1">
        <v>45597</v>
      </c>
      <c r="D893" t="s">
        <v>4</v>
      </c>
      <c r="E893" t="s">
        <v>28</v>
      </c>
      <c r="F893">
        <v>4</v>
      </c>
      <c r="G893">
        <v>1904.85</v>
      </c>
      <c r="H893">
        <v>7619.4</v>
      </c>
      <c r="I893">
        <v>93.79</v>
      </c>
      <c r="J893">
        <v>7525.61</v>
      </c>
      <c r="K893">
        <v>21</v>
      </c>
      <c r="L893" s="11" t="s">
        <v>683</v>
      </c>
      <c r="M893">
        <f t="shared" si="66"/>
        <v>1</v>
      </c>
      <c r="N893">
        <f t="shared" si="67"/>
        <v>11</v>
      </c>
      <c r="O893">
        <f t="shared" si="68"/>
        <v>2024</v>
      </c>
      <c r="P893" s="4">
        <f t="shared" si="69"/>
        <v>45597</v>
      </c>
      <c r="Q893" t="s">
        <v>1134</v>
      </c>
      <c r="R893" t="s">
        <v>1137</v>
      </c>
      <c r="S893">
        <v>4</v>
      </c>
      <c r="T893" t="s">
        <v>1146</v>
      </c>
      <c r="U893" s="11" t="str">
        <f t="shared" si="70"/>
        <v>09:05:26 AM</v>
      </c>
      <c r="BL893" s="2" t="s">
        <v>2043</v>
      </c>
    </row>
    <row r="894" spans="1:64" x14ac:dyDescent="0.35">
      <c r="A894">
        <v>3317</v>
      </c>
      <c r="B894" t="s">
        <v>3</v>
      </c>
      <c r="C894" s="1">
        <v>45857</v>
      </c>
      <c r="D894" t="s">
        <v>17</v>
      </c>
      <c r="E894" t="s">
        <v>29</v>
      </c>
      <c r="F894">
        <v>4</v>
      </c>
      <c r="G894">
        <v>368.52</v>
      </c>
      <c r="H894">
        <v>1474.08</v>
      </c>
      <c r="I894">
        <v>183.43</v>
      </c>
      <c r="J894">
        <v>1290.6500000000001</v>
      </c>
      <c r="K894">
        <v>129</v>
      </c>
      <c r="L894" s="11" t="s">
        <v>684</v>
      </c>
      <c r="M894">
        <f t="shared" si="66"/>
        <v>19</v>
      </c>
      <c r="N894">
        <f t="shared" si="67"/>
        <v>7</v>
      </c>
      <c r="O894">
        <f t="shared" si="68"/>
        <v>2025</v>
      </c>
      <c r="P894" s="4">
        <f t="shared" si="69"/>
        <v>45857</v>
      </c>
      <c r="Q894" t="s">
        <v>1138</v>
      </c>
      <c r="R894" t="s">
        <v>1135</v>
      </c>
      <c r="S894">
        <v>5</v>
      </c>
      <c r="T894" t="s">
        <v>1149</v>
      </c>
      <c r="U894" s="11" t="str">
        <f t="shared" si="70"/>
        <v>01:13:14 PM</v>
      </c>
      <c r="BL894" s="2" t="s">
        <v>2044</v>
      </c>
    </row>
    <row r="895" spans="1:64" x14ac:dyDescent="0.35">
      <c r="A895">
        <v>6731</v>
      </c>
      <c r="B895" t="s">
        <v>20</v>
      </c>
      <c r="C895" s="1">
        <v>45385</v>
      </c>
      <c r="D895" t="s">
        <v>4</v>
      </c>
      <c r="E895" t="s">
        <v>38</v>
      </c>
      <c r="F895">
        <v>5</v>
      </c>
      <c r="G895">
        <v>576.85</v>
      </c>
      <c r="H895">
        <v>2884.25</v>
      </c>
      <c r="I895">
        <v>576.85</v>
      </c>
      <c r="J895">
        <v>2307.4</v>
      </c>
      <c r="K895">
        <v>461</v>
      </c>
      <c r="L895" s="11" t="s">
        <v>685</v>
      </c>
      <c r="M895">
        <f t="shared" si="66"/>
        <v>3</v>
      </c>
      <c r="N895">
        <f t="shared" si="67"/>
        <v>4</v>
      </c>
      <c r="O895">
        <f t="shared" si="68"/>
        <v>2024</v>
      </c>
      <c r="P895" s="4">
        <f t="shared" si="69"/>
        <v>45385</v>
      </c>
      <c r="Q895" t="s">
        <v>1138</v>
      </c>
      <c r="R895" t="s">
        <v>1137</v>
      </c>
      <c r="S895">
        <v>2</v>
      </c>
      <c r="T895" t="s">
        <v>1149</v>
      </c>
      <c r="U895" s="11" t="str">
        <f t="shared" si="70"/>
        <v>11:35:27 AM</v>
      </c>
      <c r="BL895" s="2" t="s">
        <v>2045</v>
      </c>
    </row>
    <row r="896" spans="1:64" x14ac:dyDescent="0.35">
      <c r="A896">
        <v>7421</v>
      </c>
      <c r="B896" t="s">
        <v>25</v>
      </c>
      <c r="C896" s="1">
        <v>45245</v>
      </c>
      <c r="D896" t="s">
        <v>1</v>
      </c>
      <c r="E896" t="s">
        <v>32</v>
      </c>
      <c r="F896">
        <v>2</v>
      </c>
      <c r="G896">
        <v>2118.16</v>
      </c>
      <c r="H896">
        <v>4236.32</v>
      </c>
      <c r="I896">
        <v>198.37</v>
      </c>
      <c r="J896">
        <v>4037.95</v>
      </c>
      <c r="K896">
        <v>482</v>
      </c>
      <c r="L896" s="11" t="s">
        <v>686</v>
      </c>
      <c r="M896">
        <f t="shared" si="66"/>
        <v>15</v>
      </c>
      <c r="N896">
        <f t="shared" si="67"/>
        <v>11</v>
      </c>
      <c r="O896">
        <f t="shared" si="68"/>
        <v>2023</v>
      </c>
      <c r="P896" s="4">
        <f t="shared" si="69"/>
        <v>45245</v>
      </c>
      <c r="Q896" t="s">
        <v>1136</v>
      </c>
      <c r="R896" t="s">
        <v>1137</v>
      </c>
      <c r="S896">
        <v>5</v>
      </c>
      <c r="T896" t="s">
        <v>1141</v>
      </c>
      <c r="U896" s="11" t="str">
        <f t="shared" si="70"/>
        <v>04:34:01 PM</v>
      </c>
      <c r="BL896" s="2" t="s">
        <v>2046</v>
      </c>
    </row>
    <row r="897" spans="1:64" x14ac:dyDescent="0.35">
      <c r="A897">
        <v>2388</v>
      </c>
      <c r="B897" t="s">
        <v>8</v>
      </c>
      <c r="C897" s="1">
        <v>45385</v>
      </c>
      <c r="D897" t="s">
        <v>27</v>
      </c>
      <c r="E897" t="s">
        <v>14</v>
      </c>
      <c r="F897">
        <v>5</v>
      </c>
      <c r="G897">
        <v>1454.99</v>
      </c>
      <c r="H897">
        <v>7274.95</v>
      </c>
      <c r="I897">
        <v>155.21</v>
      </c>
      <c r="J897">
        <v>7119.74</v>
      </c>
      <c r="K897">
        <v>50</v>
      </c>
      <c r="L897" s="11" t="s">
        <v>687</v>
      </c>
      <c r="M897">
        <f t="shared" si="66"/>
        <v>3</v>
      </c>
      <c r="N897">
        <f t="shared" si="67"/>
        <v>4</v>
      </c>
      <c r="O897">
        <f t="shared" si="68"/>
        <v>2024</v>
      </c>
      <c r="P897" s="4">
        <f t="shared" si="69"/>
        <v>45385</v>
      </c>
      <c r="Q897" t="s">
        <v>1136</v>
      </c>
      <c r="R897" t="s">
        <v>1137</v>
      </c>
      <c r="S897">
        <v>5</v>
      </c>
      <c r="T897" t="s">
        <v>1147</v>
      </c>
      <c r="U897" s="11" t="str">
        <f t="shared" si="70"/>
        <v>07:04:47 PM</v>
      </c>
      <c r="BL897" s="2" t="s">
        <v>2047</v>
      </c>
    </row>
    <row r="898" spans="1:64" x14ac:dyDescent="0.35">
      <c r="A898">
        <v>7171</v>
      </c>
      <c r="B898" t="s">
        <v>31</v>
      </c>
      <c r="C898" s="1">
        <v>45644</v>
      </c>
      <c r="D898" t="s">
        <v>24</v>
      </c>
      <c r="E898" t="s">
        <v>18</v>
      </c>
      <c r="F898">
        <v>5</v>
      </c>
      <c r="G898">
        <v>92.96</v>
      </c>
      <c r="H898">
        <v>464.8</v>
      </c>
      <c r="I898">
        <v>92.96</v>
      </c>
      <c r="J898">
        <v>371.84</v>
      </c>
      <c r="K898">
        <v>371</v>
      </c>
      <c r="L898" s="11" t="s">
        <v>688</v>
      </c>
      <c r="M898">
        <f t="shared" ref="M898:M961" si="71">DAY(C898)</f>
        <v>18</v>
      </c>
      <c r="N898">
        <f t="shared" ref="N898:N961" si="72">MONTH(C898)</f>
        <v>12</v>
      </c>
      <c r="O898">
        <f t="shared" ref="O898:O961" si="73">YEAR(C898)</f>
        <v>2024</v>
      </c>
      <c r="P898" s="4">
        <f t="shared" si="69"/>
        <v>45644</v>
      </c>
      <c r="Q898" t="s">
        <v>1139</v>
      </c>
      <c r="R898" t="s">
        <v>1137</v>
      </c>
      <c r="S898">
        <v>2</v>
      </c>
      <c r="T898" t="s">
        <v>1142</v>
      </c>
      <c r="U898" s="11" t="str">
        <f t="shared" si="70"/>
        <v>01:03:12 AM</v>
      </c>
      <c r="BL898" s="2" t="s">
        <v>2048</v>
      </c>
    </row>
    <row r="899" spans="1:64" x14ac:dyDescent="0.35">
      <c r="A899">
        <v>6381</v>
      </c>
      <c r="B899" t="s">
        <v>3</v>
      </c>
      <c r="C899" s="1">
        <v>45776</v>
      </c>
      <c r="D899" t="s">
        <v>34</v>
      </c>
      <c r="E899" t="s">
        <v>12</v>
      </c>
      <c r="F899">
        <v>5</v>
      </c>
      <c r="G899">
        <v>527.88</v>
      </c>
      <c r="H899">
        <v>2639.4</v>
      </c>
      <c r="I899">
        <v>527.88</v>
      </c>
      <c r="J899">
        <v>2111.52</v>
      </c>
      <c r="K899">
        <v>344</v>
      </c>
      <c r="L899" s="11" t="s">
        <v>689</v>
      </c>
      <c r="M899">
        <f t="shared" si="71"/>
        <v>29</v>
      </c>
      <c r="N899">
        <f t="shared" si="72"/>
        <v>4</v>
      </c>
      <c r="O899">
        <f t="shared" si="73"/>
        <v>2025</v>
      </c>
      <c r="P899" s="4">
        <f t="shared" ref="P899:P962" si="74">DATE(O899,N899,M899)</f>
        <v>45776</v>
      </c>
      <c r="Q899" t="s">
        <v>1136</v>
      </c>
      <c r="R899" t="s">
        <v>1137</v>
      </c>
      <c r="S899">
        <v>1</v>
      </c>
      <c r="T899" t="s">
        <v>1148</v>
      </c>
      <c r="U899" s="11" t="str">
        <f t="shared" si="70"/>
        <v>02:23:54 AM</v>
      </c>
      <c r="BL899" s="2" t="s">
        <v>2049</v>
      </c>
    </row>
    <row r="900" spans="1:64" x14ac:dyDescent="0.35">
      <c r="A900">
        <v>3093</v>
      </c>
      <c r="B900" t="s">
        <v>25</v>
      </c>
      <c r="C900" s="1">
        <v>45665</v>
      </c>
      <c r="D900" t="s">
        <v>9</v>
      </c>
      <c r="E900" t="s">
        <v>5</v>
      </c>
      <c r="F900">
        <v>2</v>
      </c>
      <c r="G900">
        <v>1319.7</v>
      </c>
      <c r="H900">
        <v>2639.4</v>
      </c>
      <c r="I900">
        <v>395.91</v>
      </c>
      <c r="J900">
        <v>2243.4899999999998</v>
      </c>
      <c r="K900">
        <v>208</v>
      </c>
      <c r="L900" s="11" t="s">
        <v>690</v>
      </c>
      <c r="M900">
        <f t="shared" si="71"/>
        <v>8</v>
      </c>
      <c r="N900">
        <f t="shared" si="72"/>
        <v>1</v>
      </c>
      <c r="O900">
        <f t="shared" si="73"/>
        <v>2025</v>
      </c>
      <c r="P900" s="4">
        <f t="shared" si="74"/>
        <v>45665</v>
      </c>
      <c r="Q900" t="s">
        <v>1134</v>
      </c>
      <c r="R900" t="s">
        <v>1135</v>
      </c>
      <c r="S900">
        <v>4</v>
      </c>
      <c r="T900" t="s">
        <v>1150</v>
      </c>
      <c r="U900" s="11" t="str">
        <f t="shared" si="70"/>
        <v>08:36:21 AM</v>
      </c>
      <c r="BL900" s="2" t="s">
        <v>2050</v>
      </c>
    </row>
    <row r="901" spans="1:64" x14ac:dyDescent="0.35">
      <c r="A901">
        <v>9624</v>
      </c>
      <c r="B901" t="s">
        <v>0</v>
      </c>
      <c r="C901" s="1">
        <v>45217</v>
      </c>
      <c r="D901" t="s">
        <v>34</v>
      </c>
      <c r="E901" t="s">
        <v>38</v>
      </c>
      <c r="F901">
        <v>5</v>
      </c>
      <c r="G901">
        <v>409.19</v>
      </c>
      <c r="H901">
        <v>2045.95</v>
      </c>
      <c r="I901">
        <v>0</v>
      </c>
      <c r="J901">
        <v>2045.95</v>
      </c>
      <c r="K901">
        <v>390</v>
      </c>
      <c r="L901" s="11" t="s">
        <v>691</v>
      </c>
      <c r="M901">
        <f t="shared" si="71"/>
        <v>18</v>
      </c>
      <c r="N901">
        <f t="shared" si="72"/>
        <v>10</v>
      </c>
      <c r="O901">
        <f t="shared" si="73"/>
        <v>2023</v>
      </c>
      <c r="P901" s="4">
        <f t="shared" si="74"/>
        <v>45217</v>
      </c>
      <c r="Q901" t="s">
        <v>1134</v>
      </c>
      <c r="R901" t="s">
        <v>1137</v>
      </c>
      <c r="S901">
        <v>2</v>
      </c>
      <c r="T901" t="s">
        <v>1147</v>
      </c>
      <c r="U901" s="11" t="str">
        <f t="shared" si="70"/>
        <v>12:26:27 PM</v>
      </c>
      <c r="BL901" s="2" t="s">
        <v>2051</v>
      </c>
    </row>
    <row r="902" spans="1:64" x14ac:dyDescent="0.35">
      <c r="A902">
        <v>7937</v>
      </c>
      <c r="B902" t="s">
        <v>19</v>
      </c>
      <c r="C902" s="1">
        <v>45539</v>
      </c>
      <c r="D902" t="s">
        <v>27</v>
      </c>
      <c r="E902" t="s">
        <v>29</v>
      </c>
      <c r="F902">
        <v>1</v>
      </c>
      <c r="G902">
        <v>872.33</v>
      </c>
      <c r="H902">
        <v>872.33</v>
      </c>
      <c r="I902">
        <v>131.13999999999999</v>
      </c>
      <c r="J902">
        <v>741.19</v>
      </c>
      <c r="K902">
        <v>59</v>
      </c>
      <c r="L902" s="11" t="s">
        <v>77</v>
      </c>
      <c r="M902">
        <f t="shared" si="71"/>
        <v>4</v>
      </c>
      <c r="N902">
        <f t="shared" si="72"/>
        <v>9</v>
      </c>
      <c r="O902">
        <f t="shared" si="73"/>
        <v>2024</v>
      </c>
      <c r="P902" s="4">
        <f t="shared" si="74"/>
        <v>45539</v>
      </c>
      <c r="Q902" t="s">
        <v>1138</v>
      </c>
      <c r="R902" t="s">
        <v>1137</v>
      </c>
      <c r="S902">
        <v>3</v>
      </c>
      <c r="T902" t="s">
        <v>1143</v>
      </c>
      <c r="U902" s="11" t="str">
        <f t="shared" si="70"/>
        <v>06:18:23 AM</v>
      </c>
      <c r="BL902" s="2" t="s">
        <v>2052</v>
      </c>
    </row>
    <row r="903" spans="1:64" x14ac:dyDescent="0.35">
      <c r="A903">
        <v>6928</v>
      </c>
      <c r="B903" t="s">
        <v>15</v>
      </c>
      <c r="C903" s="1">
        <v>45159</v>
      </c>
      <c r="D903" t="s">
        <v>17</v>
      </c>
      <c r="E903" t="s">
        <v>26</v>
      </c>
      <c r="F903">
        <v>4</v>
      </c>
      <c r="G903">
        <v>625.82000000000005</v>
      </c>
      <c r="H903">
        <v>2503.2800000000002</v>
      </c>
      <c r="I903">
        <v>250.66</v>
      </c>
      <c r="J903">
        <v>2252.62</v>
      </c>
      <c r="K903">
        <v>208</v>
      </c>
      <c r="L903" s="11" t="s">
        <v>692</v>
      </c>
      <c r="M903">
        <f t="shared" si="71"/>
        <v>21</v>
      </c>
      <c r="N903">
        <f t="shared" si="72"/>
        <v>8</v>
      </c>
      <c r="O903">
        <f t="shared" si="73"/>
        <v>2023</v>
      </c>
      <c r="P903" s="4">
        <f t="shared" si="74"/>
        <v>45159</v>
      </c>
      <c r="Q903" t="s">
        <v>1136</v>
      </c>
      <c r="R903" t="s">
        <v>1135</v>
      </c>
      <c r="S903">
        <v>1</v>
      </c>
      <c r="T903" t="s">
        <v>1142</v>
      </c>
      <c r="U903" s="11" t="str">
        <f t="shared" si="70"/>
        <v>08:25:08 PM</v>
      </c>
      <c r="BL903" s="2" t="s">
        <v>2053</v>
      </c>
    </row>
    <row r="904" spans="1:64" x14ac:dyDescent="0.35">
      <c r="A904">
        <v>6940</v>
      </c>
      <c r="B904" t="s">
        <v>31</v>
      </c>
      <c r="C904" s="1">
        <v>45384</v>
      </c>
      <c r="D904" t="s">
        <v>4</v>
      </c>
      <c r="E904" t="s">
        <v>37</v>
      </c>
      <c r="F904">
        <v>3</v>
      </c>
      <c r="G904">
        <v>513.77</v>
      </c>
      <c r="H904">
        <v>1541.31</v>
      </c>
      <c r="I904">
        <v>0</v>
      </c>
      <c r="J904">
        <v>1541.31</v>
      </c>
      <c r="K904">
        <v>345</v>
      </c>
      <c r="L904" s="11" t="s">
        <v>693</v>
      </c>
      <c r="M904">
        <f t="shared" si="71"/>
        <v>2</v>
      </c>
      <c r="N904">
        <f t="shared" si="72"/>
        <v>4</v>
      </c>
      <c r="O904">
        <f t="shared" si="73"/>
        <v>2024</v>
      </c>
      <c r="P904" s="4">
        <f t="shared" si="74"/>
        <v>45384</v>
      </c>
      <c r="Q904" t="s">
        <v>1139</v>
      </c>
      <c r="R904" t="s">
        <v>1135</v>
      </c>
      <c r="S904">
        <v>3</v>
      </c>
      <c r="T904" t="s">
        <v>1141</v>
      </c>
      <c r="U904" s="11" t="str">
        <f t="shared" si="70"/>
        <v>12:22:48 AM</v>
      </c>
      <c r="BL904" s="2" t="s">
        <v>2054</v>
      </c>
    </row>
    <row r="905" spans="1:64" x14ac:dyDescent="0.35">
      <c r="A905">
        <v>3953</v>
      </c>
      <c r="B905" t="s">
        <v>0</v>
      </c>
      <c r="C905" s="1">
        <v>45311</v>
      </c>
      <c r="D905" t="s">
        <v>9</v>
      </c>
      <c r="E905" t="s">
        <v>22</v>
      </c>
      <c r="F905">
        <v>5</v>
      </c>
      <c r="G905">
        <v>1667.47</v>
      </c>
      <c r="H905">
        <v>8337.35</v>
      </c>
      <c r="I905">
        <v>1667.47</v>
      </c>
      <c r="J905">
        <v>6669.88</v>
      </c>
      <c r="K905">
        <v>43</v>
      </c>
      <c r="L905" s="11" t="s">
        <v>694</v>
      </c>
      <c r="M905">
        <f t="shared" si="71"/>
        <v>20</v>
      </c>
      <c r="N905">
        <f t="shared" si="72"/>
        <v>1</v>
      </c>
      <c r="O905">
        <f t="shared" si="73"/>
        <v>2024</v>
      </c>
      <c r="P905" s="4">
        <f t="shared" si="74"/>
        <v>45311</v>
      </c>
      <c r="Q905" t="s">
        <v>1134</v>
      </c>
      <c r="R905" t="s">
        <v>1135</v>
      </c>
      <c r="S905">
        <v>1</v>
      </c>
      <c r="T905" t="s">
        <v>1144</v>
      </c>
      <c r="U905" s="11" t="str">
        <f t="shared" si="70"/>
        <v>04:03:50 PM</v>
      </c>
      <c r="BL905" s="2" t="s">
        <v>2055</v>
      </c>
    </row>
    <row r="906" spans="1:64" x14ac:dyDescent="0.35">
      <c r="A906">
        <v>6598</v>
      </c>
      <c r="B906" t="s">
        <v>13</v>
      </c>
      <c r="C906" s="1">
        <v>45740</v>
      </c>
      <c r="D906" t="s">
        <v>9</v>
      </c>
      <c r="E906" t="s">
        <v>38</v>
      </c>
      <c r="F906">
        <v>2</v>
      </c>
      <c r="G906">
        <v>238.21</v>
      </c>
      <c r="H906">
        <v>476.42</v>
      </c>
      <c r="I906">
        <v>71.38</v>
      </c>
      <c r="J906">
        <v>405.04</v>
      </c>
      <c r="K906">
        <v>499</v>
      </c>
      <c r="L906" s="11" t="s">
        <v>695</v>
      </c>
      <c r="M906">
        <f t="shared" si="71"/>
        <v>24</v>
      </c>
      <c r="N906">
        <f t="shared" si="72"/>
        <v>3</v>
      </c>
      <c r="O906">
        <f t="shared" si="73"/>
        <v>2025</v>
      </c>
      <c r="P906" s="4">
        <f t="shared" si="74"/>
        <v>45740</v>
      </c>
      <c r="Q906" t="s">
        <v>1134</v>
      </c>
      <c r="R906" t="s">
        <v>1137</v>
      </c>
      <c r="S906">
        <v>4</v>
      </c>
      <c r="T906" t="s">
        <v>1147</v>
      </c>
      <c r="U906" s="11" t="str">
        <f t="shared" si="70"/>
        <v>06:26:42 AM</v>
      </c>
      <c r="BL906" s="2" t="s">
        <v>2056</v>
      </c>
    </row>
    <row r="907" spans="1:64" x14ac:dyDescent="0.35">
      <c r="A907">
        <v>8967</v>
      </c>
      <c r="B907" t="s">
        <v>31</v>
      </c>
      <c r="C907" s="1">
        <v>45294</v>
      </c>
      <c r="D907" t="s">
        <v>17</v>
      </c>
      <c r="E907" t="s">
        <v>21</v>
      </c>
      <c r="F907">
        <v>1</v>
      </c>
      <c r="G907">
        <v>642.41999999999996</v>
      </c>
      <c r="H907">
        <v>642.41999999999996</v>
      </c>
      <c r="I907">
        <v>96.28</v>
      </c>
      <c r="J907">
        <v>546.14</v>
      </c>
      <c r="K907">
        <v>217</v>
      </c>
      <c r="L907" s="11" t="s">
        <v>407</v>
      </c>
      <c r="M907">
        <f t="shared" si="71"/>
        <v>3</v>
      </c>
      <c r="N907">
        <f t="shared" si="72"/>
        <v>1</v>
      </c>
      <c r="O907">
        <f t="shared" si="73"/>
        <v>2024</v>
      </c>
      <c r="P907" s="4">
        <f t="shared" si="74"/>
        <v>45294</v>
      </c>
      <c r="Q907" t="s">
        <v>1139</v>
      </c>
      <c r="R907" t="s">
        <v>1135</v>
      </c>
      <c r="S907">
        <v>4</v>
      </c>
      <c r="T907" t="s">
        <v>1147</v>
      </c>
      <c r="U907" s="11" t="str">
        <f t="shared" si="70"/>
        <v>11:42:02 PM</v>
      </c>
      <c r="BL907" s="2" t="s">
        <v>2057</v>
      </c>
    </row>
    <row r="908" spans="1:64" x14ac:dyDescent="0.35">
      <c r="A908">
        <v>4711</v>
      </c>
      <c r="B908" t="s">
        <v>19</v>
      </c>
      <c r="C908" s="1">
        <v>45251</v>
      </c>
      <c r="D908" t="s">
        <v>16</v>
      </c>
      <c r="E908" t="s">
        <v>21</v>
      </c>
      <c r="F908">
        <v>3</v>
      </c>
      <c r="G908">
        <v>1227.57</v>
      </c>
      <c r="H908">
        <v>3682.71</v>
      </c>
      <c r="I908">
        <v>368.52</v>
      </c>
      <c r="J908">
        <v>3314.19</v>
      </c>
      <c r="K908">
        <v>308</v>
      </c>
      <c r="L908" s="11" t="s">
        <v>696</v>
      </c>
      <c r="M908">
        <f t="shared" si="71"/>
        <v>21</v>
      </c>
      <c r="N908">
        <f t="shared" si="72"/>
        <v>11</v>
      </c>
      <c r="O908">
        <f t="shared" si="73"/>
        <v>2023</v>
      </c>
      <c r="P908" s="4">
        <f t="shared" si="74"/>
        <v>45251</v>
      </c>
      <c r="Q908" t="s">
        <v>1139</v>
      </c>
      <c r="R908" t="s">
        <v>1137</v>
      </c>
      <c r="S908">
        <v>5</v>
      </c>
      <c r="T908" t="s">
        <v>1142</v>
      </c>
      <c r="U908" s="11" t="str">
        <f t="shared" si="70"/>
        <v>08:44:28 PM</v>
      </c>
      <c r="BL908" s="2" t="s">
        <v>2058</v>
      </c>
    </row>
    <row r="909" spans="1:64" x14ac:dyDescent="0.35">
      <c r="A909">
        <v>3538</v>
      </c>
      <c r="B909" t="s">
        <v>3</v>
      </c>
      <c r="C909" s="1">
        <v>45204</v>
      </c>
      <c r="D909" t="s">
        <v>24</v>
      </c>
      <c r="E909" t="s">
        <v>30</v>
      </c>
      <c r="F909">
        <v>4</v>
      </c>
      <c r="G909">
        <v>341.96</v>
      </c>
      <c r="H909">
        <v>1367.84</v>
      </c>
      <c r="I909">
        <v>136.94999999999999</v>
      </c>
      <c r="J909">
        <v>1230.8900000000001</v>
      </c>
      <c r="K909">
        <v>128</v>
      </c>
      <c r="L909" s="11" t="s">
        <v>697</v>
      </c>
      <c r="M909">
        <f t="shared" si="71"/>
        <v>5</v>
      </c>
      <c r="N909">
        <f t="shared" si="72"/>
        <v>10</v>
      </c>
      <c r="O909">
        <f t="shared" si="73"/>
        <v>2023</v>
      </c>
      <c r="P909" s="4">
        <f t="shared" si="74"/>
        <v>45204</v>
      </c>
      <c r="Q909" t="s">
        <v>1134</v>
      </c>
      <c r="R909" t="s">
        <v>1137</v>
      </c>
      <c r="S909">
        <v>3</v>
      </c>
      <c r="T909" t="s">
        <v>1143</v>
      </c>
      <c r="U909" s="11" t="str">
        <f t="shared" si="70"/>
        <v>06:10:15 PM</v>
      </c>
      <c r="BL909" s="2" t="s">
        <v>2059</v>
      </c>
    </row>
    <row r="910" spans="1:64" x14ac:dyDescent="0.35">
      <c r="A910">
        <v>5846</v>
      </c>
      <c r="B910" t="s">
        <v>31</v>
      </c>
      <c r="C910" s="1">
        <v>45800</v>
      </c>
      <c r="D910" t="s">
        <v>16</v>
      </c>
      <c r="E910" t="s">
        <v>30</v>
      </c>
      <c r="F910">
        <v>1</v>
      </c>
      <c r="G910">
        <v>322.04000000000002</v>
      </c>
      <c r="H910">
        <v>322.04000000000002</v>
      </c>
      <c r="I910">
        <v>32.369999999999997</v>
      </c>
      <c r="J910">
        <v>289.67</v>
      </c>
      <c r="K910">
        <v>27</v>
      </c>
      <c r="L910" s="11" t="s">
        <v>698</v>
      </c>
      <c r="M910">
        <f t="shared" si="71"/>
        <v>23</v>
      </c>
      <c r="N910">
        <f t="shared" si="72"/>
        <v>5</v>
      </c>
      <c r="O910">
        <f t="shared" si="73"/>
        <v>2025</v>
      </c>
      <c r="P910" s="4">
        <f t="shared" si="74"/>
        <v>45800</v>
      </c>
      <c r="Q910" t="s">
        <v>1134</v>
      </c>
      <c r="R910" t="s">
        <v>1135</v>
      </c>
      <c r="S910">
        <v>1</v>
      </c>
      <c r="T910" t="s">
        <v>1147</v>
      </c>
      <c r="U910" s="11" t="str">
        <f t="shared" si="70"/>
        <v>04:57:40 PM</v>
      </c>
      <c r="BL910" s="2" t="s">
        <v>2060</v>
      </c>
    </row>
    <row r="911" spans="1:64" x14ac:dyDescent="0.35">
      <c r="A911">
        <v>2657</v>
      </c>
      <c r="B911" t="s">
        <v>20</v>
      </c>
      <c r="C911" s="1">
        <v>45539</v>
      </c>
      <c r="D911" t="s">
        <v>23</v>
      </c>
      <c r="E911" t="s">
        <v>21</v>
      </c>
      <c r="F911">
        <v>5</v>
      </c>
      <c r="G911">
        <v>1717.27</v>
      </c>
      <c r="H911">
        <v>8586.35</v>
      </c>
      <c r="I911">
        <v>289.67</v>
      </c>
      <c r="J911">
        <v>8296.68</v>
      </c>
      <c r="K911">
        <v>78</v>
      </c>
      <c r="L911" s="11" t="s">
        <v>699</v>
      </c>
      <c r="M911">
        <f t="shared" si="71"/>
        <v>4</v>
      </c>
      <c r="N911">
        <f t="shared" si="72"/>
        <v>9</v>
      </c>
      <c r="O911">
        <f t="shared" si="73"/>
        <v>2024</v>
      </c>
      <c r="P911" s="4">
        <f t="shared" si="74"/>
        <v>45539</v>
      </c>
      <c r="Q911" t="s">
        <v>1139</v>
      </c>
      <c r="R911" t="s">
        <v>1135</v>
      </c>
      <c r="S911">
        <v>4</v>
      </c>
      <c r="T911" t="s">
        <v>1142</v>
      </c>
      <c r="U911" s="11" t="str">
        <f t="shared" si="70"/>
        <v>02:59:57 AM</v>
      </c>
      <c r="BL911" s="2" t="s">
        <v>2061</v>
      </c>
    </row>
    <row r="912" spans="1:64" x14ac:dyDescent="0.35">
      <c r="A912">
        <v>9843</v>
      </c>
      <c r="B912" t="s">
        <v>0</v>
      </c>
      <c r="C912" s="1">
        <v>45793</v>
      </c>
      <c r="D912" t="s">
        <v>16</v>
      </c>
      <c r="E912" t="s">
        <v>36</v>
      </c>
      <c r="F912">
        <v>4</v>
      </c>
      <c r="G912">
        <v>1990.34</v>
      </c>
      <c r="H912">
        <v>7961.36</v>
      </c>
      <c r="I912">
        <v>0</v>
      </c>
      <c r="J912">
        <v>7961.36</v>
      </c>
      <c r="K912">
        <v>103</v>
      </c>
      <c r="L912" s="11" t="s">
        <v>700</v>
      </c>
      <c r="M912">
        <f t="shared" si="71"/>
        <v>16</v>
      </c>
      <c r="N912">
        <f t="shared" si="72"/>
        <v>5</v>
      </c>
      <c r="O912">
        <f t="shared" si="73"/>
        <v>2025</v>
      </c>
      <c r="P912" s="4">
        <f t="shared" si="74"/>
        <v>45793</v>
      </c>
      <c r="Q912" t="s">
        <v>1134</v>
      </c>
      <c r="R912" t="s">
        <v>1137</v>
      </c>
      <c r="S912">
        <v>2</v>
      </c>
      <c r="T912" t="s">
        <v>1145</v>
      </c>
      <c r="U912" s="11" t="str">
        <f t="shared" si="70"/>
        <v>09:34:50 AM</v>
      </c>
      <c r="BL912" s="2" t="s">
        <v>2062</v>
      </c>
    </row>
    <row r="913" spans="1:64" x14ac:dyDescent="0.35">
      <c r="A913">
        <v>9626</v>
      </c>
      <c r="B913" t="s">
        <v>15</v>
      </c>
      <c r="C913" s="1">
        <v>45174</v>
      </c>
      <c r="D913" t="s">
        <v>34</v>
      </c>
      <c r="E913" t="s">
        <v>36</v>
      </c>
      <c r="F913">
        <v>3</v>
      </c>
      <c r="G913">
        <v>1387.76</v>
      </c>
      <c r="H913">
        <v>4163.28</v>
      </c>
      <c r="I913">
        <v>411.68</v>
      </c>
      <c r="J913">
        <v>3751.6</v>
      </c>
      <c r="K913">
        <v>414</v>
      </c>
      <c r="L913" s="11" t="s">
        <v>701</v>
      </c>
      <c r="M913">
        <f t="shared" si="71"/>
        <v>5</v>
      </c>
      <c r="N913">
        <f t="shared" si="72"/>
        <v>9</v>
      </c>
      <c r="O913">
        <f t="shared" si="73"/>
        <v>2023</v>
      </c>
      <c r="P913" s="4">
        <f t="shared" si="74"/>
        <v>45174</v>
      </c>
      <c r="Q913" t="s">
        <v>1138</v>
      </c>
      <c r="R913" t="s">
        <v>1135</v>
      </c>
      <c r="S913">
        <v>4</v>
      </c>
      <c r="T913" t="s">
        <v>1149</v>
      </c>
      <c r="U913" s="11" t="str">
        <f t="shared" si="70"/>
        <v>03:08:14 AM</v>
      </c>
      <c r="BL913" s="2" t="s">
        <v>2063</v>
      </c>
    </row>
    <row r="914" spans="1:64" x14ac:dyDescent="0.35">
      <c r="A914">
        <v>6517</v>
      </c>
      <c r="B914" t="s">
        <v>0</v>
      </c>
      <c r="C914" s="1">
        <v>45825</v>
      </c>
      <c r="D914" t="s">
        <v>9</v>
      </c>
      <c r="E914" t="s">
        <v>22</v>
      </c>
      <c r="F914">
        <v>3</v>
      </c>
      <c r="G914">
        <v>2134.7600000000002</v>
      </c>
      <c r="H914">
        <v>6404.28</v>
      </c>
      <c r="I914">
        <v>93.79</v>
      </c>
      <c r="J914">
        <v>6310.49</v>
      </c>
      <c r="K914">
        <v>226</v>
      </c>
      <c r="L914" s="11" t="s">
        <v>702</v>
      </c>
      <c r="M914">
        <f t="shared" si="71"/>
        <v>17</v>
      </c>
      <c r="N914">
        <f t="shared" si="72"/>
        <v>6</v>
      </c>
      <c r="O914">
        <f t="shared" si="73"/>
        <v>2025</v>
      </c>
      <c r="P914" s="4">
        <f t="shared" si="74"/>
        <v>45825</v>
      </c>
      <c r="Q914" t="s">
        <v>1138</v>
      </c>
      <c r="R914" t="s">
        <v>1137</v>
      </c>
      <c r="S914">
        <v>2</v>
      </c>
      <c r="T914" t="s">
        <v>1146</v>
      </c>
      <c r="U914" s="11" t="str">
        <f t="shared" si="70"/>
        <v>03:54:14 AM</v>
      </c>
      <c r="BL914" s="2" t="s">
        <v>2064</v>
      </c>
    </row>
    <row r="915" spans="1:64" x14ac:dyDescent="0.35">
      <c r="A915">
        <v>3147</v>
      </c>
      <c r="B915" t="s">
        <v>3</v>
      </c>
      <c r="C915" s="1">
        <v>45608</v>
      </c>
      <c r="D915" t="s">
        <v>16</v>
      </c>
      <c r="E915" t="s">
        <v>26</v>
      </c>
      <c r="F915">
        <v>2</v>
      </c>
      <c r="G915">
        <v>1264.92</v>
      </c>
      <c r="H915">
        <v>2529.84</v>
      </c>
      <c r="I915">
        <v>0</v>
      </c>
      <c r="J915">
        <v>2529.84</v>
      </c>
      <c r="K915">
        <v>68</v>
      </c>
      <c r="L915" s="11" t="s">
        <v>703</v>
      </c>
      <c r="M915">
        <f t="shared" si="71"/>
        <v>12</v>
      </c>
      <c r="N915">
        <f t="shared" si="72"/>
        <v>11</v>
      </c>
      <c r="O915">
        <f t="shared" si="73"/>
        <v>2024</v>
      </c>
      <c r="P915" s="4">
        <f t="shared" si="74"/>
        <v>45608</v>
      </c>
      <c r="Q915" t="s">
        <v>1139</v>
      </c>
      <c r="R915" t="s">
        <v>1135</v>
      </c>
      <c r="S915">
        <v>1</v>
      </c>
      <c r="T915" t="s">
        <v>1149</v>
      </c>
      <c r="U915" s="11" t="str">
        <f t="shared" si="70"/>
        <v>09:15:24 PM</v>
      </c>
      <c r="BL915" s="2" t="s">
        <v>2065</v>
      </c>
    </row>
    <row r="916" spans="1:64" x14ac:dyDescent="0.35">
      <c r="A916">
        <v>7172</v>
      </c>
      <c r="B916" t="s">
        <v>13</v>
      </c>
      <c r="C916" s="1">
        <v>45264</v>
      </c>
      <c r="D916" t="s">
        <v>34</v>
      </c>
      <c r="E916" t="s">
        <v>38</v>
      </c>
      <c r="F916">
        <v>5</v>
      </c>
      <c r="G916">
        <v>1707.31</v>
      </c>
      <c r="H916">
        <v>8536.5499999999993</v>
      </c>
      <c r="I916">
        <v>854.07</v>
      </c>
      <c r="J916">
        <v>7682.48</v>
      </c>
      <c r="K916">
        <v>337</v>
      </c>
      <c r="L916" s="11" t="s">
        <v>704</v>
      </c>
      <c r="M916">
        <f t="shared" si="71"/>
        <v>4</v>
      </c>
      <c r="N916">
        <f t="shared" si="72"/>
        <v>12</v>
      </c>
      <c r="O916">
        <f t="shared" si="73"/>
        <v>2023</v>
      </c>
      <c r="P916" s="4">
        <f t="shared" si="74"/>
        <v>45264</v>
      </c>
      <c r="Q916" t="s">
        <v>1136</v>
      </c>
      <c r="R916" t="s">
        <v>1135</v>
      </c>
      <c r="S916">
        <v>4</v>
      </c>
      <c r="T916" t="s">
        <v>1143</v>
      </c>
      <c r="U916" s="11" t="str">
        <f t="shared" si="70"/>
        <v>01:11:45 AM</v>
      </c>
      <c r="BL916" s="2" t="s">
        <v>2066</v>
      </c>
    </row>
    <row r="917" spans="1:64" x14ac:dyDescent="0.35">
      <c r="A917">
        <v>3658</v>
      </c>
      <c r="B917" t="s">
        <v>3</v>
      </c>
      <c r="C917" s="1">
        <v>45285</v>
      </c>
      <c r="D917" t="s">
        <v>23</v>
      </c>
      <c r="E917" t="s">
        <v>36</v>
      </c>
      <c r="F917">
        <v>1</v>
      </c>
      <c r="G917">
        <v>1024.22</v>
      </c>
      <c r="H917">
        <v>1024.22</v>
      </c>
      <c r="I917">
        <v>307.93</v>
      </c>
      <c r="J917">
        <v>716.29</v>
      </c>
      <c r="K917">
        <v>253</v>
      </c>
      <c r="L917" s="11" t="s">
        <v>705</v>
      </c>
      <c r="M917">
        <f t="shared" si="71"/>
        <v>25</v>
      </c>
      <c r="N917">
        <f t="shared" si="72"/>
        <v>12</v>
      </c>
      <c r="O917">
        <f t="shared" si="73"/>
        <v>2023</v>
      </c>
      <c r="P917" s="4">
        <f t="shared" si="74"/>
        <v>45285</v>
      </c>
      <c r="Q917" t="s">
        <v>1139</v>
      </c>
      <c r="R917" t="s">
        <v>1135</v>
      </c>
      <c r="S917">
        <v>4</v>
      </c>
      <c r="T917" t="s">
        <v>1145</v>
      </c>
      <c r="U917" s="11" t="str">
        <f t="shared" si="70"/>
        <v>06:26:45 PM</v>
      </c>
      <c r="BL917" s="2" t="s">
        <v>2067</v>
      </c>
    </row>
    <row r="918" spans="1:64" x14ac:dyDescent="0.35">
      <c r="A918">
        <v>3712</v>
      </c>
      <c r="B918" t="s">
        <v>19</v>
      </c>
      <c r="C918" s="1">
        <v>45705</v>
      </c>
      <c r="D918" t="s">
        <v>11</v>
      </c>
      <c r="E918" t="s">
        <v>29</v>
      </c>
      <c r="F918">
        <v>1</v>
      </c>
      <c r="G918">
        <v>1503.13</v>
      </c>
      <c r="H918">
        <v>1503.13</v>
      </c>
      <c r="I918">
        <v>225.76</v>
      </c>
      <c r="J918">
        <v>1277.3699999999999</v>
      </c>
      <c r="K918">
        <v>65</v>
      </c>
      <c r="L918" s="11" t="s">
        <v>706</v>
      </c>
      <c r="M918">
        <f t="shared" si="71"/>
        <v>17</v>
      </c>
      <c r="N918">
        <f t="shared" si="72"/>
        <v>2</v>
      </c>
      <c r="O918">
        <f t="shared" si="73"/>
        <v>2025</v>
      </c>
      <c r="P918" s="4">
        <f t="shared" si="74"/>
        <v>45705</v>
      </c>
      <c r="Q918" t="s">
        <v>1139</v>
      </c>
      <c r="R918" t="s">
        <v>1137</v>
      </c>
      <c r="S918">
        <v>1</v>
      </c>
      <c r="T918" t="s">
        <v>1147</v>
      </c>
      <c r="U918" s="11" t="str">
        <f t="shared" si="70"/>
        <v>04:38:27 PM</v>
      </c>
      <c r="BL918" s="2" t="s">
        <v>2068</v>
      </c>
    </row>
    <row r="919" spans="1:64" x14ac:dyDescent="0.35">
      <c r="A919">
        <v>8170</v>
      </c>
      <c r="B919" t="s">
        <v>20</v>
      </c>
      <c r="C919" s="1">
        <v>45178</v>
      </c>
      <c r="D919" t="s">
        <v>16</v>
      </c>
      <c r="E919" t="s">
        <v>10</v>
      </c>
      <c r="F919">
        <v>4</v>
      </c>
      <c r="G919">
        <v>316.23</v>
      </c>
      <c r="H919">
        <v>1264.92</v>
      </c>
      <c r="I919">
        <v>126.16</v>
      </c>
      <c r="J919">
        <v>1138.76</v>
      </c>
      <c r="K919">
        <v>176</v>
      </c>
      <c r="L919" s="11" t="s">
        <v>707</v>
      </c>
      <c r="M919">
        <f t="shared" si="71"/>
        <v>9</v>
      </c>
      <c r="N919">
        <f t="shared" si="72"/>
        <v>9</v>
      </c>
      <c r="O919">
        <f t="shared" si="73"/>
        <v>2023</v>
      </c>
      <c r="P919" s="4">
        <f t="shared" si="74"/>
        <v>45178</v>
      </c>
      <c r="Q919" t="s">
        <v>1136</v>
      </c>
      <c r="R919" t="s">
        <v>1135</v>
      </c>
      <c r="S919">
        <v>4</v>
      </c>
      <c r="T919" t="s">
        <v>1148</v>
      </c>
      <c r="U919" s="11" t="str">
        <f t="shared" si="70"/>
        <v>05:30:55 AM</v>
      </c>
      <c r="BL919" s="2" t="s">
        <v>2069</v>
      </c>
    </row>
    <row r="920" spans="1:64" x14ac:dyDescent="0.35">
      <c r="A920">
        <v>7731</v>
      </c>
      <c r="B920" t="s">
        <v>25</v>
      </c>
      <c r="C920" s="1">
        <v>45427</v>
      </c>
      <c r="D920" t="s">
        <v>1</v>
      </c>
      <c r="E920" t="s">
        <v>14</v>
      </c>
      <c r="F920">
        <v>2</v>
      </c>
      <c r="G920">
        <v>646.57000000000005</v>
      </c>
      <c r="H920">
        <v>1293.1400000000001</v>
      </c>
      <c r="I920">
        <v>0</v>
      </c>
      <c r="J920">
        <v>1293.1400000000001</v>
      </c>
      <c r="K920">
        <v>159</v>
      </c>
      <c r="L920" s="11" t="s">
        <v>708</v>
      </c>
      <c r="M920">
        <f t="shared" si="71"/>
        <v>15</v>
      </c>
      <c r="N920">
        <f t="shared" si="72"/>
        <v>5</v>
      </c>
      <c r="O920">
        <f t="shared" si="73"/>
        <v>2024</v>
      </c>
      <c r="P920" s="4">
        <f t="shared" si="74"/>
        <v>45427</v>
      </c>
      <c r="Q920" t="s">
        <v>1136</v>
      </c>
      <c r="R920" t="s">
        <v>1137</v>
      </c>
      <c r="S920">
        <v>2</v>
      </c>
      <c r="T920" t="s">
        <v>1149</v>
      </c>
      <c r="U920" s="11" t="str">
        <f t="shared" si="70"/>
        <v>08:24:22 PM</v>
      </c>
      <c r="BL920" s="2" t="s">
        <v>2070</v>
      </c>
    </row>
    <row r="921" spans="1:64" x14ac:dyDescent="0.35">
      <c r="A921">
        <v>4891</v>
      </c>
      <c r="B921" t="s">
        <v>0</v>
      </c>
      <c r="C921" s="1">
        <v>45490</v>
      </c>
      <c r="D921" t="s">
        <v>24</v>
      </c>
      <c r="E921" t="s">
        <v>38</v>
      </c>
      <c r="F921">
        <v>3</v>
      </c>
      <c r="G921">
        <v>490.53</v>
      </c>
      <c r="H921">
        <v>1471.59</v>
      </c>
      <c r="I921">
        <v>235.72</v>
      </c>
      <c r="J921">
        <v>1235.8699999999999</v>
      </c>
      <c r="K921">
        <v>275</v>
      </c>
      <c r="L921" s="11" t="s">
        <v>709</v>
      </c>
      <c r="M921">
        <f t="shared" si="71"/>
        <v>17</v>
      </c>
      <c r="N921">
        <f t="shared" si="72"/>
        <v>7</v>
      </c>
      <c r="O921">
        <f t="shared" si="73"/>
        <v>2024</v>
      </c>
      <c r="P921" s="4">
        <f t="shared" si="74"/>
        <v>45490</v>
      </c>
      <c r="Q921" t="s">
        <v>1136</v>
      </c>
      <c r="R921" t="s">
        <v>1137</v>
      </c>
      <c r="S921">
        <v>4</v>
      </c>
      <c r="T921" t="s">
        <v>1141</v>
      </c>
      <c r="U921" s="11" t="str">
        <f t="shared" si="70"/>
        <v>10:54:16 AM</v>
      </c>
      <c r="BL921" s="2" t="s">
        <v>2071</v>
      </c>
    </row>
    <row r="922" spans="1:64" x14ac:dyDescent="0.35">
      <c r="A922">
        <v>5668</v>
      </c>
      <c r="B922" t="s">
        <v>13</v>
      </c>
      <c r="C922" s="1">
        <v>45729</v>
      </c>
      <c r="D922" t="s">
        <v>17</v>
      </c>
      <c r="E922" t="s">
        <v>36</v>
      </c>
      <c r="F922">
        <v>4</v>
      </c>
      <c r="G922">
        <v>723.76</v>
      </c>
      <c r="H922">
        <v>2895.04</v>
      </c>
      <c r="I922">
        <v>90.47</v>
      </c>
      <c r="J922">
        <v>2804.57</v>
      </c>
      <c r="K922">
        <v>356</v>
      </c>
      <c r="L922" s="11" t="s">
        <v>710</v>
      </c>
      <c r="M922">
        <f t="shared" si="71"/>
        <v>13</v>
      </c>
      <c r="N922">
        <f t="shared" si="72"/>
        <v>3</v>
      </c>
      <c r="O922">
        <f t="shared" si="73"/>
        <v>2025</v>
      </c>
      <c r="P922" s="4">
        <f t="shared" si="74"/>
        <v>45729</v>
      </c>
      <c r="Q922" t="s">
        <v>1138</v>
      </c>
      <c r="R922" t="s">
        <v>1137</v>
      </c>
      <c r="S922">
        <v>3</v>
      </c>
      <c r="T922" t="s">
        <v>1149</v>
      </c>
      <c r="U922" s="11" t="str">
        <f t="shared" si="70"/>
        <v>10:17:14 PM</v>
      </c>
      <c r="BL922" s="2" t="s">
        <v>2072</v>
      </c>
    </row>
    <row r="923" spans="1:64" x14ac:dyDescent="0.35">
      <c r="A923">
        <v>8355</v>
      </c>
      <c r="B923" t="s">
        <v>25</v>
      </c>
      <c r="C923" s="1">
        <v>45326</v>
      </c>
      <c r="D923" t="s">
        <v>9</v>
      </c>
      <c r="E923" t="s">
        <v>21</v>
      </c>
      <c r="F923">
        <v>3</v>
      </c>
      <c r="G923">
        <v>1459.97</v>
      </c>
      <c r="H923">
        <v>4379.91</v>
      </c>
      <c r="I923">
        <v>312.08</v>
      </c>
      <c r="J923">
        <v>4067.83</v>
      </c>
      <c r="K923">
        <v>413</v>
      </c>
      <c r="L923" s="11" t="s">
        <v>711</v>
      </c>
      <c r="M923">
        <f t="shared" si="71"/>
        <v>4</v>
      </c>
      <c r="N923">
        <f t="shared" si="72"/>
        <v>2</v>
      </c>
      <c r="O923">
        <f t="shared" si="73"/>
        <v>2024</v>
      </c>
      <c r="P923" s="4">
        <f t="shared" si="74"/>
        <v>45326</v>
      </c>
      <c r="Q923" t="s">
        <v>1134</v>
      </c>
      <c r="R923" t="s">
        <v>1137</v>
      </c>
      <c r="S923">
        <v>5</v>
      </c>
      <c r="T923" t="s">
        <v>1150</v>
      </c>
      <c r="U923" s="11" t="str">
        <f t="shared" si="70"/>
        <v>06:14:11 AM</v>
      </c>
      <c r="BL923" s="2" t="s">
        <v>2073</v>
      </c>
    </row>
    <row r="924" spans="1:64" x14ac:dyDescent="0.35">
      <c r="A924">
        <v>9749</v>
      </c>
      <c r="B924" t="s">
        <v>31</v>
      </c>
      <c r="C924" s="1">
        <v>45330</v>
      </c>
      <c r="D924" t="s">
        <v>11</v>
      </c>
      <c r="E924" t="s">
        <v>37</v>
      </c>
      <c r="F924">
        <v>5</v>
      </c>
      <c r="G924">
        <v>2035.16</v>
      </c>
      <c r="H924">
        <v>10175.799999999999</v>
      </c>
      <c r="I924">
        <v>2035.16</v>
      </c>
      <c r="J924">
        <v>8140.64</v>
      </c>
      <c r="K924">
        <v>341</v>
      </c>
      <c r="L924" s="11" t="s">
        <v>712</v>
      </c>
      <c r="M924">
        <f t="shared" si="71"/>
        <v>8</v>
      </c>
      <c r="N924">
        <f t="shared" si="72"/>
        <v>2</v>
      </c>
      <c r="O924">
        <f t="shared" si="73"/>
        <v>2024</v>
      </c>
      <c r="P924" s="4">
        <f t="shared" si="74"/>
        <v>45330</v>
      </c>
      <c r="Q924" t="s">
        <v>1138</v>
      </c>
      <c r="R924" t="s">
        <v>1135</v>
      </c>
      <c r="S924">
        <v>2</v>
      </c>
      <c r="T924" t="s">
        <v>1148</v>
      </c>
      <c r="U924" s="11" t="str">
        <f t="shared" si="70"/>
        <v>12:46:31 AM</v>
      </c>
      <c r="BL924" s="2" t="s">
        <v>2074</v>
      </c>
    </row>
    <row r="925" spans="1:64" x14ac:dyDescent="0.35">
      <c r="A925">
        <v>6070</v>
      </c>
      <c r="B925" t="s">
        <v>19</v>
      </c>
      <c r="C925" s="1">
        <v>45773</v>
      </c>
      <c r="D925" t="s">
        <v>11</v>
      </c>
      <c r="E925" t="s">
        <v>5</v>
      </c>
      <c r="F925">
        <v>2</v>
      </c>
      <c r="G925">
        <v>1278.2</v>
      </c>
      <c r="H925">
        <v>2556.4</v>
      </c>
      <c r="I925">
        <v>154.38</v>
      </c>
      <c r="J925">
        <v>2402.02</v>
      </c>
      <c r="K925">
        <v>433</v>
      </c>
      <c r="L925" s="11" t="s">
        <v>713</v>
      </c>
      <c r="M925">
        <f t="shared" si="71"/>
        <v>26</v>
      </c>
      <c r="N925">
        <f t="shared" si="72"/>
        <v>4</v>
      </c>
      <c r="O925">
        <f t="shared" si="73"/>
        <v>2025</v>
      </c>
      <c r="P925" s="4">
        <f t="shared" si="74"/>
        <v>45773</v>
      </c>
      <c r="Q925" t="s">
        <v>1134</v>
      </c>
      <c r="R925" t="s">
        <v>1137</v>
      </c>
      <c r="S925">
        <v>3</v>
      </c>
      <c r="T925" t="s">
        <v>1150</v>
      </c>
      <c r="U925" s="11" t="str">
        <f t="shared" si="70"/>
        <v>08:53:36 AM</v>
      </c>
      <c r="BL925" s="2" t="s">
        <v>2075</v>
      </c>
    </row>
    <row r="926" spans="1:64" x14ac:dyDescent="0.35">
      <c r="A926">
        <v>8684</v>
      </c>
      <c r="B926" t="s">
        <v>19</v>
      </c>
      <c r="C926" s="1">
        <v>45847</v>
      </c>
      <c r="D926" t="s">
        <v>1</v>
      </c>
      <c r="E926" t="s">
        <v>26</v>
      </c>
      <c r="F926">
        <v>5</v>
      </c>
      <c r="G926">
        <v>1049.95</v>
      </c>
      <c r="H926">
        <v>5249.75</v>
      </c>
      <c r="I926">
        <v>0</v>
      </c>
      <c r="J926">
        <v>5249.75</v>
      </c>
      <c r="K926">
        <v>115</v>
      </c>
      <c r="L926" s="11" t="s">
        <v>714</v>
      </c>
      <c r="M926">
        <f t="shared" si="71"/>
        <v>9</v>
      </c>
      <c r="N926">
        <f t="shared" si="72"/>
        <v>7</v>
      </c>
      <c r="O926">
        <f t="shared" si="73"/>
        <v>2025</v>
      </c>
      <c r="P926" s="4">
        <f t="shared" si="74"/>
        <v>45847</v>
      </c>
      <c r="Q926" t="s">
        <v>1138</v>
      </c>
      <c r="R926" t="s">
        <v>1137</v>
      </c>
      <c r="S926">
        <v>1</v>
      </c>
      <c r="T926" t="s">
        <v>1150</v>
      </c>
      <c r="U926" s="11" t="str">
        <f t="shared" si="70"/>
        <v>01:44:24 PM</v>
      </c>
      <c r="BL926" s="2" t="s">
        <v>2076</v>
      </c>
    </row>
    <row r="927" spans="1:64" x14ac:dyDescent="0.35">
      <c r="A927">
        <v>4178</v>
      </c>
      <c r="B927" t="s">
        <v>0</v>
      </c>
      <c r="C927" s="1">
        <v>45430</v>
      </c>
      <c r="D927" t="s">
        <v>17</v>
      </c>
      <c r="E927" t="s">
        <v>10</v>
      </c>
      <c r="F927">
        <v>3</v>
      </c>
      <c r="G927">
        <v>244.02</v>
      </c>
      <c r="H927">
        <v>732.06</v>
      </c>
      <c r="I927">
        <v>73.040000000000006</v>
      </c>
      <c r="J927">
        <v>659.02</v>
      </c>
      <c r="K927">
        <v>410</v>
      </c>
      <c r="L927" s="11" t="s">
        <v>715</v>
      </c>
      <c r="M927">
        <f t="shared" si="71"/>
        <v>18</v>
      </c>
      <c r="N927">
        <f t="shared" si="72"/>
        <v>5</v>
      </c>
      <c r="O927">
        <f t="shared" si="73"/>
        <v>2024</v>
      </c>
      <c r="P927" s="4">
        <f t="shared" si="74"/>
        <v>45430</v>
      </c>
      <c r="Q927" t="s">
        <v>1134</v>
      </c>
      <c r="R927" t="s">
        <v>1135</v>
      </c>
      <c r="S927">
        <v>2</v>
      </c>
      <c r="T927" t="s">
        <v>1141</v>
      </c>
      <c r="U927" s="11" t="str">
        <f t="shared" si="70"/>
        <v>12:32:22 PM</v>
      </c>
      <c r="BL927" s="2" t="s">
        <v>2077</v>
      </c>
    </row>
    <row r="928" spans="1:64" x14ac:dyDescent="0.35">
      <c r="A928">
        <v>8218</v>
      </c>
      <c r="B928" t="s">
        <v>31</v>
      </c>
      <c r="C928" s="1">
        <v>45503</v>
      </c>
      <c r="D928" t="s">
        <v>11</v>
      </c>
      <c r="E928" t="s">
        <v>32</v>
      </c>
      <c r="F928">
        <v>3</v>
      </c>
      <c r="G928">
        <v>1296.46</v>
      </c>
      <c r="H928">
        <v>3889.38</v>
      </c>
      <c r="I928">
        <v>0</v>
      </c>
      <c r="J928">
        <v>3889.38</v>
      </c>
      <c r="K928">
        <v>153</v>
      </c>
      <c r="L928" s="11" t="s">
        <v>716</v>
      </c>
      <c r="M928">
        <f t="shared" si="71"/>
        <v>30</v>
      </c>
      <c r="N928">
        <f t="shared" si="72"/>
        <v>7</v>
      </c>
      <c r="O928">
        <f t="shared" si="73"/>
        <v>2024</v>
      </c>
      <c r="P928" s="4">
        <f t="shared" si="74"/>
        <v>45503</v>
      </c>
      <c r="Q928" t="s">
        <v>1138</v>
      </c>
      <c r="R928" t="s">
        <v>1137</v>
      </c>
      <c r="S928">
        <v>5</v>
      </c>
      <c r="T928" t="s">
        <v>1145</v>
      </c>
      <c r="U928" s="11" t="str">
        <f t="shared" si="70"/>
        <v>02:00:12 AM</v>
      </c>
      <c r="BL928" s="2" t="s">
        <v>2078</v>
      </c>
    </row>
    <row r="929" spans="1:64" x14ac:dyDescent="0.35">
      <c r="A929">
        <v>5616</v>
      </c>
      <c r="B929" t="s">
        <v>3</v>
      </c>
      <c r="C929" s="1">
        <v>45749</v>
      </c>
      <c r="D929" t="s">
        <v>11</v>
      </c>
      <c r="E929" t="s">
        <v>33</v>
      </c>
      <c r="F929">
        <v>4</v>
      </c>
      <c r="G929">
        <v>1050.78</v>
      </c>
      <c r="H929">
        <v>4203.12</v>
      </c>
      <c r="I929">
        <v>0</v>
      </c>
      <c r="J929">
        <v>4203.12</v>
      </c>
      <c r="K929">
        <v>319</v>
      </c>
      <c r="L929" s="11" t="s">
        <v>717</v>
      </c>
      <c r="M929">
        <f t="shared" si="71"/>
        <v>2</v>
      </c>
      <c r="N929">
        <f t="shared" si="72"/>
        <v>4</v>
      </c>
      <c r="O929">
        <f t="shared" si="73"/>
        <v>2025</v>
      </c>
      <c r="P929" s="4">
        <f t="shared" si="74"/>
        <v>45749</v>
      </c>
      <c r="Q929" t="s">
        <v>1136</v>
      </c>
      <c r="R929" t="s">
        <v>1135</v>
      </c>
      <c r="S929">
        <v>5</v>
      </c>
      <c r="T929" t="s">
        <v>1150</v>
      </c>
      <c r="U929" s="11" t="str">
        <f t="shared" si="70"/>
        <v>06:57:43 AM</v>
      </c>
      <c r="BL929" s="2" t="s">
        <v>2079</v>
      </c>
    </row>
    <row r="930" spans="1:64" x14ac:dyDescent="0.35">
      <c r="A930">
        <v>7256</v>
      </c>
      <c r="B930" t="s">
        <v>3</v>
      </c>
      <c r="C930" s="1">
        <v>45535</v>
      </c>
      <c r="D930" t="s">
        <v>23</v>
      </c>
      <c r="E930" t="s">
        <v>28</v>
      </c>
      <c r="F930">
        <v>5</v>
      </c>
      <c r="G930">
        <v>2158.83</v>
      </c>
      <c r="H930">
        <v>10794.15</v>
      </c>
      <c r="I930">
        <v>2158.83</v>
      </c>
      <c r="J930">
        <v>8635.32</v>
      </c>
      <c r="K930">
        <v>295</v>
      </c>
      <c r="L930" s="11" t="s">
        <v>718</v>
      </c>
      <c r="M930">
        <f t="shared" si="71"/>
        <v>31</v>
      </c>
      <c r="N930">
        <f t="shared" si="72"/>
        <v>8</v>
      </c>
      <c r="O930">
        <f t="shared" si="73"/>
        <v>2024</v>
      </c>
      <c r="P930" s="4">
        <f t="shared" si="74"/>
        <v>45535</v>
      </c>
      <c r="Q930" t="s">
        <v>1139</v>
      </c>
      <c r="R930" t="s">
        <v>1137</v>
      </c>
      <c r="S930">
        <v>1</v>
      </c>
      <c r="T930" t="s">
        <v>1148</v>
      </c>
      <c r="U930" s="11" t="str">
        <f t="shared" si="70"/>
        <v>12:08:19 AM</v>
      </c>
      <c r="BL930" s="2" t="s">
        <v>2080</v>
      </c>
    </row>
    <row r="931" spans="1:64" x14ac:dyDescent="0.35">
      <c r="A931">
        <v>9641</v>
      </c>
      <c r="B931" t="s">
        <v>15</v>
      </c>
      <c r="C931" s="1">
        <v>45470</v>
      </c>
      <c r="D931" t="s">
        <v>24</v>
      </c>
      <c r="E931" t="s">
        <v>7</v>
      </c>
      <c r="F931">
        <v>5</v>
      </c>
      <c r="G931">
        <v>2134.7600000000002</v>
      </c>
      <c r="H931">
        <v>10673.8</v>
      </c>
      <c r="I931">
        <v>324.52999999999997</v>
      </c>
      <c r="J931">
        <v>10349.27</v>
      </c>
      <c r="K931">
        <v>464</v>
      </c>
      <c r="L931" s="11" t="s">
        <v>719</v>
      </c>
      <c r="M931">
        <f t="shared" si="71"/>
        <v>27</v>
      </c>
      <c r="N931">
        <f t="shared" si="72"/>
        <v>6</v>
      </c>
      <c r="O931">
        <f t="shared" si="73"/>
        <v>2024</v>
      </c>
      <c r="P931" s="4">
        <f t="shared" si="74"/>
        <v>45470</v>
      </c>
      <c r="Q931" t="s">
        <v>1138</v>
      </c>
      <c r="R931" t="s">
        <v>1135</v>
      </c>
      <c r="S931">
        <v>1</v>
      </c>
      <c r="T931" t="s">
        <v>1149</v>
      </c>
      <c r="U931" s="11" t="str">
        <f t="shared" si="70"/>
        <v>08:42:18 AM</v>
      </c>
      <c r="BL931" s="2" t="s">
        <v>2081</v>
      </c>
    </row>
    <row r="932" spans="1:64" x14ac:dyDescent="0.35">
      <c r="A932">
        <v>3655</v>
      </c>
      <c r="B932" t="s">
        <v>20</v>
      </c>
      <c r="C932" s="1">
        <v>45779</v>
      </c>
      <c r="D932" t="s">
        <v>27</v>
      </c>
      <c r="E932" t="s">
        <v>33</v>
      </c>
      <c r="F932">
        <v>3</v>
      </c>
      <c r="G932">
        <v>1195.2</v>
      </c>
      <c r="H932">
        <v>3585.6</v>
      </c>
      <c r="I932">
        <v>0</v>
      </c>
      <c r="J932">
        <v>3585.6</v>
      </c>
      <c r="K932">
        <v>123</v>
      </c>
      <c r="L932" s="11" t="s">
        <v>720</v>
      </c>
      <c r="M932">
        <f t="shared" si="71"/>
        <v>2</v>
      </c>
      <c r="N932">
        <f t="shared" si="72"/>
        <v>5</v>
      </c>
      <c r="O932">
        <f t="shared" si="73"/>
        <v>2025</v>
      </c>
      <c r="P932" s="4">
        <f t="shared" si="74"/>
        <v>45779</v>
      </c>
      <c r="Q932" t="s">
        <v>1134</v>
      </c>
      <c r="R932" t="s">
        <v>1137</v>
      </c>
      <c r="S932">
        <v>2</v>
      </c>
      <c r="T932" t="s">
        <v>1143</v>
      </c>
      <c r="U932" s="11" t="str">
        <f t="shared" si="70"/>
        <v>03:39:48 PM</v>
      </c>
      <c r="BL932" s="2" t="s">
        <v>2082</v>
      </c>
    </row>
    <row r="933" spans="1:64" x14ac:dyDescent="0.35">
      <c r="A933">
        <v>4271</v>
      </c>
      <c r="B933" t="s">
        <v>19</v>
      </c>
      <c r="C933" s="1">
        <v>45767</v>
      </c>
      <c r="D933" t="s">
        <v>9</v>
      </c>
      <c r="E933" t="s">
        <v>5</v>
      </c>
      <c r="F933">
        <v>3</v>
      </c>
      <c r="G933">
        <v>2153.02</v>
      </c>
      <c r="H933">
        <v>6459.06</v>
      </c>
      <c r="I933">
        <v>0</v>
      </c>
      <c r="J933">
        <v>6459.06</v>
      </c>
      <c r="K933">
        <v>466</v>
      </c>
      <c r="L933" s="11" t="s">
        <v>721</v>
      </c>
      <c r="M933">
        <f t="shared" si="71"/>
        <v>20</v>
      </c>
      <c r="N933">
        <f t="shared" si="72"/>
        <v>4</v>
      </c>
      <c r="O933">
        <f t="shared" si="73"/>
        <v>2025</v>
      </c>
      <c r="P933" s="4">
        <f t="shared" si="74"/>
        <v>45767</v>
      </c>
      <c r="Q933" t="s">
        <v>1136</v>
      </c>
      <c r="R933" t="s">
        <v>1135</v>
      </c>
      <c r="S933">
        <v>4</v>
      </c>
      <c r="T933" t="s">
        <v>1148</v>
      </c>
      <c r="U933" s="11" t="str">
        <f t="shared" si="70"/>
        <v>04:04:24 AM</v>
      </c>
      <c r="BL933" s="2" t="s">
        <v>2083</v>
      </c>
    </row>
    <row r="934" spans="1:64" x14ac:dyDescent="0.35">
      <c r="A934">
        <v>3267</v>
      </c>
      <c r="B934" t="s">
        <v>31</v>
      </c>
      <c r="C934" s="1">
        <v>45823</v>
      </c>
      <c r="D934" t="s">
        <v>9</v>
      </c>
      <c r="E934" t="s">
        <v>2</v>
      </c>
      <c r="F934">
        <v>3</v>
      </c>
      <c r="G934">
        <v>1637.59</v>
      </c>
      <c r="H934">
        <v>4912.7700000000004</v>
      </c>
      <c r="I934">
        <v>491.36</v>
      </c>
      <c r="J934">
        <v>4421.41</v>
      </c>
      <c r="K934">
        <v>131</v>
      </c>
      <c r="L934" s="11" t="s">
        <v>722</v>
      </c>
      <c r="M934">
        <f t="shared" si="71"/>
        <v>15</v>
      </c>
      <c r="N934">
        <f t="shared" si="72"/>
        <v>6</v>
      </c>
      <c r="O934">
        <f t="shared" si="73"/>
        <v>2025</v>
      </c>
      <c r="P934" s="4">
        <f t="shared" si="74"/>
        <v>45823</v>
      </c>
      <c r="Q934" t="s">
        <v>1138</v>
      </c>
      <c r="R934" t="s">
        <v>1137</v>
      </c>
      <c r="S934">
        <v>1</v>
      </c>
      <c r="T934" t="s">
        <v>1146</v>
      </c>
      <c r="U934" s="11" t="str">
        <f t="shared" si="70"/>
        <v>12:16:26 PM</v>
      </c>
      <c r="BL934" s="2" t="s">
        <v>2084</v>
      </c>
    </row>
    <row r="935" spans="1:64" x14ac:dyDescent="0.35">
      <c r="A935">
        <v>5096</v>
      </c>
      <c r="B935" t="s">
        <v>31</v>
      </c>
      <c r="C935" s="1">
        <v>45185</v>
      </c>
      <c r="D935" t="s">
        <v>4</v>
      </c>
      <c r="E935" t="s">
        <v>30</v>
      </c>
      <c r="F935">
        <v>2</v>
      </c>
      <c r="G935">
        <v>148.57</v>
      </c>
      <c r="H935">
        <v>297.14</v>
      </c>
      <c r="I935">
        <v>29.88</v>
      </c>
      <c r="J935">
        <v>267.26</v>
      </c>
      <c r="K935">
        <v>408</v>
      </c>
      <c r="L935" s="11" t="s">
        <v>723</v>
      </c>
      <c r="M935">
        <f t="shared" si="71"/>
        <v>16</v>
      </c>
      <c r="N935">
        <f t="shared" si="72"/>
        <v>9</v>
      </c>
      <c r="O935">
        <f t="shared" si="73"/>
        <v>2023</v>
      </c>
      <c r="P935" s="4">
        <f t="shared" si="74"/>
        <v>45185</v>
      </c>
      <c r="Q935" t="s">
        <v>1138</v>
      </c>
      <c r="R935" t="s">
        <v>1137</v>
      </c>
      <c r="S935">
        <v>4</v>
      </c>
      <c r="T935" t="s">
        <v>1142</v>
      </c>
      <c r="U935" s="11" t="str">
        <f t="shared" si="70"/>
        <v>06:27:14 PM</v>
      </c>
      <c r="BL935" s="2" t="s">
        <v>2085</v>
      </c>
    </row>
    <row r="936" spans="1:64" x14ac:dyDescent="0.35">
      <c r="A936">
        <v>8873</v>
      </c>
      <c r="B936" t="s">
        <v>15</v>
      </c>
      <c r="C936" s="1">
        <v>45823</v>
      </c>
      <c r="D936" t="s">
        <v>27</v>
      </c>
      <c r="E936" t="s">
        <v>5</v>
      </c>
      <c r="F936">
        <v>4</v>
      </c>
      <c r="G936">
        <v>1639.25</v>
      </c>
      <c r="H936">
        <v>6557</v>
      </c>
      <c r="I936">
        <v>1311.4</v>
      </c>
      <c r="J936">
        <v>5245.6</v>
      </c>
      <c r="K936">
        <v>18</v>
      </c>
      <c r="L936" s="11" t="s">
        <v>724</v>
      </c>
      <c r="M936">
        <f t="shared" si="71"/>
        <v>15</v>
      </c>
      <c r="N936">
        <f t="shared" si="72"/>
        <v>6</v>
      </c>
      <c r="O936">
        <f t="shared" si="73"/>
        <v>2025</v>
      </c>
      <c r="P936" s="4">
        <f t="shared" si="74"/>
        <v>45823</v>
      </c>
      <c r="Q936" t="s">
        <v>1136</v>
      </c>
      <c r="R936" t="s">
        <v>1135</v>
      </c>
      <c r="S936">
        <v>3</v>
      </c>
      <c r="T936" t="s">
        <v>1149</v>
      </c>
      <c r="U936" s="11" t="str">
        <f t="shared" si="70"/>
        <v>09:22:30 AM</v>
      </c>
      <c r="BL936" s="2" t="s">
        <v>2086</v>
      </c>
    </row>
    <row r="937" spans="1:64" x14ac:dyDescent="0.35">
      <c r="A937">
        <v>7081</v>
      </c>
      <c r="B937" t="s">
        <v>19</v>
      </c>
      <c r="C937" s="1">
        <v>45575</v>
      </c>
      <c r="D937" t="s">
        <v>23</v>
      </c>
      <c r="E937" t="s">
        <v>28</v>
      </c>
      <c r="F937">
        <v>3</v>
      </c>
      <c r="G937">
        <v>1982.87</v>
      </c>
      <c r="H937">
        <v>5948.61</v>
      </c>
      <c r="I937">
        <v>0</v>
      </c>
      <c r="J937">
        <v>5948.61</v>
      </c>
      <c r="K937">
        <v>142</v>
      </c>
      <c r="L937" s="11" t="s">
        <v>725</v>
      </c>
      <c r="M937">
        <f t="shared" si="71"/>
        <v>10</v>
      </c>
      <c r="N937">
        <f t="shared" si="72"/>
        <v>10</v>
      </c>
      <c r="O937">
        <f t="shared" si="73"/>
        <v>2024</v>
      </c>
      <c r="P937" s="4">
        <f t="shared" si="74"/>
        <v>45575</v>
      </c>
      <c r="Q937" t="s">
        <v>1138</v>
      </c>
      <c r="R937" t="s">
        <v>1135</v>
      </c>
      <c r="S937">
        <v>5</v>
      </c>
      <c r="T937" t="s">
        <v>1141</v>
      </c>
      <c r="U937" s="11" t="str">
        <f t="shared" si="70"/>
        <v>03:15:31 PM</v>
      </c>
      <c r="BL937" s="2" t="s">
        <v>2087</v>
      </c>
    </row>
    <row r="938" spans="1:64" x14ac:dyDescent="0.35">
      <c r="A938">
        <v>2680</v>
      </c>
      <c r="B938" t="s">
        <v>20</v>
      </c>
      <c r="C938" s="1">
        <v>45697</v>
      </c>
      <c r="D938" t="s">
        <v>34</v>
      </c>
      <c r="E938" t="s">
        <v>28</v>
      </c>
      <c r="F938">
        <v>1</v>
      </c>
      <c r="G938">
        <v>2151.36</v>
      </c>
      <c r="H938">
        <v>2151.36</v>
      </c>
      <c r="I938">
        <v>181.77</v>
      </c>
      <c r="J938">
        <v>1969.59</v>
      </c>
      <c r="K938">
        <v>42</v>
      </c>
      <c r="L938" s="11" t="s">
        <v>726</v>
      </c>
      <c r="M938">
        <f t="shared" si="71"/>
        <v>9</v>
      </c>
      <c r="N938">
        <f t="shared" si="72"/>
        <v>2</v>
      </c>
      <c r="O938">
        <f t="shared" si="73"/>
        <v>2025</v>
      </c>
      <c r="P938" s="4">
        <f t="shared" si="74"/>
        <v>45697</v>
      </c>
      <c r="Q938" t="s">
        <v>1139</v>
      </c>
      <c r="R938" t="s">
        <v>1135</v>
      </c>
      <c r="S938">
        <v>4</v>
      </c>
      <c r="T938" t="s">
        <v>1150</v>
      </c>
      <c r="U938" s="11" t="str">
        <f t="shared" ref="U938:U1001" si="75">TEXT(L938,"hh:mm:ss AM/PM")</f>
        <v>10:54:54 PM</v>
      </c>
      <c r="BL938" s="2" t="s">
        <v>2088</v>
      </c>
    </row>
    <row r="939" spans="1:64" x14ac:dyDescent="0.35">
      <c r="A939">
        <v>9452</v>
      </c>
      <c r="B939" t="s">
        <v>0</v>
      </c>
      <c r="C939" s="1">
        <v>45806</v>
      </c>
      <c r="D939" t="s">
        <v>9</v>
      </c>
      <c r="E939" t="s">
        <v>12</v>
      </c>
      <c r="F939">
        <v>1</v>
      </c>
      <c r="G939">
        <v>1037.5</v>
      </c>
      <c r="H939">
        <v>1037.5</v>
      </c>
      <c r="I939">
        <v>207.5</v>
      </c>
      <c r="J939">
        <v>830</v>
      </c>
      <c r="K939">
        <v>429</v>
      </c>
      <c r="L939" s="11" t="s">
        <v>727</v>
      </c>
      <c r="M939">
        <f t="shared" si="71"/>
        <v>29</v>
      </c>
      <c r="N939">
        <f t="shared" si="72"/>
        <v>5</v>
      </c>
      <c r="O939">
        <f t="shared" si="73"/>
        <v>2025</v>
      </c>
      <c r="P939" s="4">
        <f t="shared" si="74"/>
        <v>45806</v>
      </c>
      <c r="Q939" t="s">
        <v>1138</v>
      </c>
      <c r="R939" t="s">
        <v>1135</v>
      </c>
      <c r="S939">
        <v>5</v>
      </c>
      <c r="T939" t="s">
        <v>1143</v>
      </c>
      <c r="U939" s="11" t="str">
        <f t="shared" si="75"/>
        <v>01:10:26 AM</v>
      </c>
      <c r="BL939" s="2" t="s">
        <v>2089</v>
      </c>
    </row>
    <row r="940" spans="1:64" x14ac:dyDescent="0.35">
      <c r="A940">
        <v>3042</v>
      </c>
      <c r="B940" t="s">
        <v>0</v>
      </c>
      <c r="C940" s="1">
        <v>45366</v>
      </c>
      <c r="D940" t="s">
        <v>17</v>
      </c>
      <c r="E940" t="s">
        <v>36</v>
      </c>
      <c r="F940">
        <v>1</v>
      </c>
      <c r="G940">
        <v>1338.79</v>
      </c>
      <c r="H940">
        <v>1338.79</v>
      </c>
      <c r="I940">
        <v>133.63</v>
      </c>
      <c r="J940">
        <v>1205.1600000000001</v>
      </c>
      <c r="K940">
        <v>424</v>
      </c>
      <c r="L940" s="11" t="s">
        <v>728</v>
      </c>
      <c r="M940">
        <f t="shared" si="71"/>
        <v>15</v>
      </c>
      <c r="N940">
        <f t="shared" si="72"/>
        <v>3</v>
      </c>
      <c r="O940">
        <f t="shared" si="73"/>
        <v>2024</v>
      </c>
      <c r="P940" s="4">
        <f t="shared" si="74"/>
        <v>45366</v>
      </c>
      <c r="Q940" t="s">
        <v>1139</v>
      </c>
      <c r="R940" t="s">
        <v>1137</v>
      </c>
      <c r="S940">
        <v>4</v>
      </c>
      <c r="T940" t="s">
        <v>1150</v>
      </c>
      <c r="U940" s="11" t="str">
        <f t="shared" si="75"/>
        <v>08:16:28 PM</v>
      </c>
      <c r="BL940" s="2" t="s">
        <v>2090</v>
      </c>
    </row>
    <row r="941" spans="1:64" x14ac:dyDescent="0.35">
      <c r="A941">
        <v>2374</v>
      </c>
      <c r="B941" t="s">
        <v>0</v>
      </c>
      <c r="C941" s="1">
        <v>45737</v>
      </c>
      <c r="D941" t="s">
        <v>6</v>
      </c>
      <c r="E941" t="s">
        <v>38</v>
      </c>
      <c r="F941">
        <v>3</v>
      </c>
      <c r="G941">
        <v>874.82</v>
      </c>
      <c r="H941">
        <v>2624.46</v>
      </c>
      <c r="I941">
        <v>0</v>
      </c>
      <c r="J941">
        <v>2624.46</v>
      </c>
      <c r="K941">
        <v>299</v>
      </c>
      <c r="L941" s="11" t="s">
        <v>729</v>
      </c>
      <c r="M941">
        <f t="shared" si="71"/>
        <v>21</v>
      </c>
      <c r="N941">
        <f t="shared" si="72"/>
        <v>3</v>
      </c>
      <c r="O941">
        <f t="shared" si="73"/>
        <v>2025</v>
      </c>
      <c r="P941" s="4">
        <f t="shared" si="74"/>
        <v>45737</v>
      </c>
      <c r="Q941" t="s">
        <v>1139</v>
      </c>
      <c r="R941" t="s">
        <v>1137</v>
      </c>
      <c r="S941">
        <v>3</v>
      </c>
      <c r="T941" t="s">
        <v>1141</v>
      </c>
      <c r="U941" s="11" t="str">
        <f t="shared" si="75"/>
        <v>07:46:51 AM</v>
      </c>
      <c r="BL941" s="2" t="s">
        <v>2091</v>
      </c>
    </row>
    <row r="942" spans="1:64" x14ac:dyDescent="0.35">
      <c r="A942">
        <v>3626</v>
      </c>
      <c r="B942" t="s">
        <v>31</v>
      </c>
      <c r="C942" s="1">
        <v>45356</v>
      </c>
      <c r="D942" t="s">
        <v>9</v>
      </c>
      <c r="E942" t="s">
        <v>33</v>
      </c>
      <c r="F942">
        <v>2</v>
      </c>
      <c r="G942">
        <v>339.47</v>
      </c>
      <c r="H942">
        <v>678.94</v>
      </c>
      <c r="I942">
        <v>68.06</v>
      </c>
      <c r="J942">
        <v>610.88</v>
      </c>
      <c r="K942">
        <v>109</v>
      </c>
      <c r="L942" s="11" t="s">
        <v>730</v>
      </c>
      <c r="M942">
        <f t="shared" si="71"/>
        <v>5</v>
      </c>
      <c r="N942">
        <f t="shared" si="72"/>
        <v>3</v>
      </c>
      <c r="O942">
        <f t="shared" si="73"/>
        <v>2024</v>
      </c>
      <c r="P942" s="4">
        <f t="shared" si="74"/>
        <v>45356</v>
      </c>
      <c r="Q942" t="s">
        <v>1136</v>
      </c>
      <c r="R942" t="s">
        <v>1135</v>
      </c>
      <c r="S942">
        <v>1</v>
      </c>
      <c r="T942" t="s">
        <v>1148</v>
      </c>
      <c r="U942" s="11" t="str">
        <f t="shared" si="75"/>
        <v>10:01:06 AM</v>
      </c>
      <c r="BL942" s="2" t="s">
        <v>2092</v>
      </c>
    </row>
    <row r="943" spans="1:64" x14ac:dyDescent="0.35">
      <c r="A943">
        <v>8361</v>
      </c>
      <c r="B943" t="s">
        <v>13</v>
      </c>
      <c r="C943" s="1">
        <v>45848</v>
      </c>
      <c r="D943" t="s">
        <v>24</v>
      </c>
      <c r="E943" t="s">
        <v>29</v>
      </c>
      <c r="F943">
        <v>4</v>
      </c>
      <c r="G943">
        <v>1366.18</v>
      </c>
      <c r="H943">
        <v>5464.72</v>
      </c>
      <c r="I943">
        <v>820.04</v>
      </c>
      <c r="J943">
        <v>4644.68</v>
      </c>
      <c r="K943">
        <v>358</v>
      </c>
      <c r="L943" s="11" t="s">
        <v>731</v>
      </c>
      <c r="M943">
        <f t="shared" si="71"/>
        <v>10</v>
      </c>
      <c r="N943">
        <f t="shared" si="72"/>
        <v>7</v>
      </c>
      <c r="O943">
        <f t="shared" si="73"/>
        <v>2025</v>
      </c>
      <c r="P943" s="4">
        <f t="shared" si="74"/>
        <v>45848</v>
      </c>
      <c r="Q943" t="s">
        <v>1138</v>
      </c>
      <c r="R943" t="s">
        <v>1137</v>
      </c>
      <c r="S943">
        <v>3</v>
      </c>
      <c r="T943" t="s">
        <v>1146</v>
      </c>
      <c r="U943" s="11" t="str">
        <f t="shared" si="75"/>
        <v>05:38:52 AM</v>
      </c>
      <c r="BL943" s="2" t="s">
        <v>2093</v>
      </c>
    </row>
    <row r="944" spans="1:64" x14ac:dyDescent="0.35">
      <c r="A944">
        <v>9410</v>
      </c>
      <c r="B944" t="s">
        <v>3</v>
      </c>
      <c r="C944" s="1">
        <v>45259</v>
      </c>
      <c r="D944" t="s">
        <v>9</v>
      </c>
      <c r="E944" t="s">
        <v>37</v>
      </c>
      <c r="F944">
        <v>2</v>
      </c>
      <c r="G944">
        <v>2401.19</v>
      </c>
      <c r="H944">
        <v>4802.38</v>
      </c>
      <c r="I944">
        <v>720.44</v>
      </c>
      <c r="J944">
        <v>4081.94</v>
      </c>
      <c r="K944">
        <v>450</v>
      </c>
      <c r="L944" s="11" t="s">
        <v>732</v>
      </c>
      <c r="M944">
        <f t="shared" si="71"/>
        <v>29</v>
      </c>
      <c r="N944">
        <f t="shared" si="72"/>
        <v>11</v>
      </c>
      <c r="O944">
        <f t="shared" si="73"/>
        <v>2023</v>
      </c>
      <c r="P944" s="4">
        <f t="shared" si="74"/>
        <v>45259</v>
      </c>
      <c r="Q944" t="s">
        <v>1136</v>
      </c>
      <c r="R944" t="s">
        <v>1135</v>
      </c>
      <c r="S944">
        <v>1</v>
      </c>
      <c r="T944" t="s">
        <v>1142</v>
      </c>
      <c r="U944" s="11" t="str">
        <f t="shared" si="75"/>
        <v>01:58:05 PM</v>
      </c>
      <c r="BL944" s="2" t="s">
        <v>2094</v>
      </c>
    </row>
    <row r="945" spans="1:64" x14ac:dyDescent="0.35">
      <c r="A945">
        <v>8167</v>
      </c>
      <c r="B945" t="s">
        <v>15</v>
      </c>
      <c r="C945" s="1">
        <v>45216</v>
      </c>
      <c r="D945" t="s">
        <v>11</v>
      </c>
      <c r="E945" t="s">
        <v>26</v>
      </c>
      <c r="F945">
        <v>1</v>
      </c>
      <c r="G945">
        <v>1635.93</v>
      </c>
      <c r="H945">
        <v>1635.93</v>
      </c>
      <c r="I945">
        <v>0</v>
      </c>
      <c r="J945">
        <v>1635.93</v>
      </c>
      <c r="K945">
        <v>463</v>
      </c>
      <c r="L945" s="11" t="s">
        <v>733</v>
      </c>
      <c r="M945">
        <f t="shared" si="71"/>
        <v>17</v>
      </c>
      <c r="N945">
        <f t="shared" si="72"/>
        <v>10</v>
      </c>
      <c r="O945">
        <f t="shared" si="73"/>
        <v>2023</v>
      </c>
      <c r="P945" s="4">
        <f t="shared" si="74"/>
        <v>45216</v>
      </c>
      <c r="Q945" t="s">
        <v>1138</v>
      </c>
      <c r="R945" t="s">
        <v>1135</v>
      </c>
      <c r="S945">
        <v>1</v>
      </c>
      <c r="T945" t="s">
        <v>1146</v>
      </c>
      <c r="U945" s="11" t="str">
        <f t="shared" si="75"/>
        <v>04:12:24 PM</v>
      </c>
      <c r="BL945" s="2" t="s">
        <v>2095</v>
      </c>
    </row>
    <row r="946" spans="1:64" x14ac:dyDescent="0.35">
      <c r="A946">
        <v>4637</v>
      </c>
      <c r="B946" t="s">
        <v>20</v>
      </c>
      <c r="C946" s="1">
        <v>45779</v>
      </c>
      <c r="D946" t="s">
        <v>16</v>
      </c>
      <c r="E946" t="s">
        <v>14</v>
      </c>
      <c r="F946">
        <v>3</v>
      </c>
      <c r="G946">
        <v>1412.66</v>
      </c>
      <c r="H946">
        <v>4237.9799999999996</v>
      </c>
      <c r="I946">
        <v>0</v>
      </c>
      <c r="J946">
        <v>4237.9799999999996</v>
      </c>
      <c r="K946">
        <v>158</v>
      </c>
      <c r="L946" s="11" t="s">
        <v>734</v>
      </c>
      <c r="M946">
        <f t="shared" si="71"/>
        <v>2</v>
      </c>
      <c r="N946">
        <f t="shared" si="72"/>
        <v>5</v>
      </c>
      <c r="O946">
        <f t="shared" si="73"/>
        <v>2025</v>
      </c>
      <c r="P946" s="4">
        <f t="shared" si="74"/>
        <v>45779</v>
      </c>
      <c r="Q946" t="s">
        <v>1138</v>
      </c>
      <c r="R946" t="s">
        <v>1137</v>
      </c>
      <c r="S946">
        <v>5</v>
      </c>
      <c r="T946" t="s">
        <v>1149</v>
      </c>
      <c r="U946" s="11" t="str">
        <f t="shared" si="75"/>
        <v>10:20:21 AM</v>
      </c>
      <c r="BL946" s="2" t="s">
        <v>2096</v>
      </c>
    </row>
    <row r="947" spans="1:64" x14ac:dyDescent="0.35">
      <c r="A947">
        <v>8391</v>
      </c>
      <c r="B947" t="s">
        <v>0</v>
      </c>
      <c r="C947" s="1">
        <v>45832</v>
      </c>
      <c r="D947" t="s">
        <v>27</v>
      </c>
      <c r="E947" t="s">
        <v>14</v>
      </c>
      <c r="F947">
        <v>4</v>
      </c>
      <c r="G947">
        <v>1017.58</v>
      </c>
      <c r="H947">
        <v>4070.32</v>
      </c>
      <c r="I947">
        <v>610.88</v>
      </c>
      <c r="J947">
        <v>3459.44</v>
      </c>
      <c r="K947">
        <v>465</v>
      </c>
      <c r="L947" s="11" t="s">
        <v>735</v>
      </c>
      <c r="M947">
        <f t="shared" si="71"/>
        <v>24</v>
      </c>
      <c r="N947">
        <f t="shared" si="72"/>
        <v>6</v>
      </c>
      <c r="O947">
        <f t="shared" si="73"/>
        <v>2025</v>
      </c>
      <c r="P947" s="4">
        <f t="shared" si="74"/>
        <v>45832</v>
      </c>
      <c r="Q947" t="s">
        <v>1134</v>
      </c>
      <c r="R947" t="s">
        <v>1137</v>
      </c>
      <c r="S947">
        <v>3</v>
      </c>
      <c r="T947" t="s">
        <v>1148</v>
      </c>
      <c r="U947" s="11" t="str">
        <f t="shared" si="75"/>
        <v>03:38:18 AM</v>
      </c>
      <c r="BL947" s="2" t="s">
        <v>2097</v>
      </c>
    </row>
    <row r="948" spans="1:64" x14ac:dyDescent="0.35">
      <c r="A948">
        <v>6727</v>
      </c>
      <c r="B948" t="s">
        <v>19</v>
      </c>
      <c r="C948" s="1">
        <v>45867</v>
      </c>
      <c r="D948" t="s">
        <v>4</v>
      </c>
      <c r="E948" t="s">
        <v>14</v>
      </c>
      <c r="F948">
        <v>3</v>
      </c>
      <c r="G948">
        <v>588.47</v>
      </c>
      <c r="H948">
        <v>1765.41</v>
      </c>
      <c r="I948">
        <v>176.79</v>
      </c>
      <c r="J948">
        <v>1588.62</v>
      </c>
      <c r="K948">
        <v>455</v>
      </c>
      <c r="L948" s="11" t="s">
        <v>736</v>
      </c>
      <c r="M948">
        <f t="shared" si="71"/>
        <v>29</v>
      </c>
      <c r="N948">
        <f t="shared" si="72"/>
        <v>7</v>
      </c>
      <c r="O948">
        <f t="shared" si="73"/>
        <v>2025</v>
      </c>
      <c r="P948" s="4">
        <f t="shared" si="74"/>
        <v>45867</v>
      </c>
      <c r="Q948" t="s">
        <v>1138</v>
      </c>
      <c r="R948" t="s">
        <v>1137</v>
      </c>
      <c r="S948">
        <v>4</v>
      </c>
      <c r="T948" t="s">
        <v>1142</v>
      </c>
      <c r="U948" s="11" t="str">
        <f t="shared" si="75"/>
        <v>02:52:21 AM</v>
      </c>
      <c r="BL948" s="2" t="s">
        <v>2098</v>
      </c>
    </row>
    <row r="949" spans="1:64" x14ac:dyDescent="0.35">
      <c r="A949">
        <v>1436</v>
      </c>
      <c r="B949" t="s">
        <v>25</v>
      </c>
      <c r="C949" s="1">
        <v>45467</v>
      </c>
      <c r="D949" t="s">
        <v>16</v>
      </c>
      <c r="E949" t="s">
        <v>5</v>
      </c>
      <c r="F949">
        <v>1</v>
      </c>
      <c r="G949">
        <v>742.02</v>
      </c>
      <c r="H949">
        <v>742.02</v>
      </c>
      <c r="I949">
        <v>73.87</v>
      </c>
      <c r="J949">
        <v>668.15</v>
      </c>
      <c r="K949">
        <v>41</v>
      </c>
      <c r="L949" s="11" t="s">
        <v>737</v>
      </c>
      <c r="M949">
        <f t="shared" si="71"/>
        <v>24</v>
      </c>
      <c r="N949">
        <f t="shared" si="72"/>
        <v>6</v>
      </c>
      <c r="O949">
        <f t="shared" si="73"/>
        <v>2024</v>
      </c>
      <c r="P949" s="4">
        <f t="shared" si="74"/>
        <v>45467</v>
      </c>
      <c r="Q949" t="s">
        <v>1136</v>
      </c>
      <c r="R949" t="s">
        <v>1137</v>
      </c>
      <c r="S949">
        <v>3</v>
      </c>
      <c r="T949" t="s">
        <v>1144</v>
      </c>
      <c r="U949" s="11" t="str">
        <f t="shared" si="75"/>
        <v>11:49:34 PM</v>
      </c>
      <c r="BL949" s="2" t="s">
        <v>2099</v>
      </c>
    </row>
    <row r="950" spans="1:64" x14ac:dyDescent="0.35">
      <c r="A950">
        <v>1872</v>
      </c>
      <c r="B950" t="s">
        <v>13</v>
      </c>
      <c r="C950" s="1">
        <v>45452</v>
      </c>
      <c r="D950" t="s">
        <v>11</v>
      </c>
      <c r="E950" t="s">
        <v>5</v>
      </c>
      <c r="F950">
        <v>1</v>
      </c>
      <c r="G950">
        <v>2066.6999999999998</v>
      </c>
      <c r="H950">
        <v>2066.6999999999998</v>
      </c>
      <c r="I950">
        <v>105.41</v>
      </c>
      <c r="J950">
        <v>1961.29</v>
      </c>
      <c r="K950">
        <v>357</v>
      </c>
      <c r="L950" s="11" t="s">
        <v>738</v>
      </c>
      <c r="M950">
        <f t="shared" si="71"/>
        <v>9</v>
      </c>
      <c r="N950">
        <f t="shared" si="72"/>
        <v>6</v>
      </c>
      <c r="O950">
        <f t="shared" si="73"/>
        <v>2024</v>
      </c>
      <c r="P950" s="4">
        <f t="shared" si="74"/>
        <v>45452</v>
      </c>
      <c r="Q950" t="s">
        <v>1139</v>
      </c>
      <c r="R950" t="s">
        <v>1137</v>
      </c>
      <c r="S950">
        <v>5</v>
      </c>
      <c r="T950" t="s">
        <v>1146</v>
      </c>
      <c r="U950" s="11" t="str">
        <f t="shared" si="75"/>
        <v>07:02:25 AM</v>
      </c>
      <c r="BL950" s="2" t="s">
        <v>2100</v>
      </c>
    </row>
    <row r="951" spans="1:64" x14ac:dyDescent="0.35">
      <c r="A951">
        <v>9224</v>
      </c>
      <c r="B951" t="s">
        <v>13</v>
      </c>
      <c r="C951" s="1">
        <v>45435</v>
      </c>
      <c r="D951" t="s">
        <v>17</v>
      </c>
      <c r="E951" t="s">
        <v>7</v>
      </c>
      <c r="F951">
        <v>3</v>
      </c>
      <c r="G951">
        <v>1172.79</v>
      </c>
      <c r="H951">
        <v>3518.37</v>
      </c>
      <c r="I951">
        <v>0</v>
      </c>
      <c r="J951">
        <v>3518.37</v>
      </c>
      <c r="K951">
        <v>14</v>
      </c>
      <c r="L951" s="11" t="s">
        <v>739</v>
      </c>
      <c r="M951">
        <f t="shared" si="71"/>
        <v>23</v>
      </c>
      <c r="N951">
        <f t="shared" si="72"/>
        <v>5</v>
      </c>
      <c r="O951">
        <f t="shared" si="73"/>
        <v>2024</v>
      </c>
      <c r="P951" s="4">
        <f t="shared" si="74"/>
        <v>45435</v>
      </c>
      <c r="Q951" t="s">
        <v>1138</v>
      </c>
      <c r="R951" t="s">
        <v>1137</v>
      </c>
      <c r="S951">
        <v>1</v>
      </c>
      <c r="T951" t="s">
        <v>1150</v>
      </c>
      <c r="U951" s="11" t="str">
        <f t="shared" si="75"/>
        <v>10:43:33 PM</v>
      </c>
      <c r="BL951" s="2" t="s">
        <v>2101</v>
      </c>
    </row>
    <row r="952" spans="1:64" x14ac:dyDescent="0.35">
      <c r="A952">
        <v>4862</v>
      </c>
      <c r="B952" t="s">
        <v>8</v>
      </c>
      <c r="C952" s="1">
        <v>45444</v>
      </c>
      <c r="D952" t="s">
        <v>16</v>
      </c>
      <c r="E952" t="s">
        <v>22</v>
      </c>
      <c r="F952">
        <v>2</v>
      </c>
      <c r="G952">
        <v>89.64</v>
      </c>
      <c r="H952">
        <v>179.28</v>
      </c>
      <c r="I952">
        <v>26.56</v>
      </c>
      <c r="J952">
        <v>152.72</v>
      </c>
      <c r="K952">
        <v>102</v>
      </c>
      <c r="L952" s="11" t="s">
        <v>740</v>
      </c>
      <c r="M952">
        <f t="shared" si="71"/>
        <v>1</v>
      </c>
      <c r="N952">
        <f t="shared" si="72"/>
        <v>6</v>
      </c>
      <c r="O952">
        <f t="shared" si="73"/>
        <v>2024</v>
      </c>
      <c r="P952" s="4">
        <f t="shared" si="74"/>
        <v>45444</v>
      </c>
      <c r="Q952" t="s">
        <v>1134</v>
      </c>
      <c r="R952" t="s">
        <v>1137</v>
      </c>
      <c r="S952">
        <v>5</v>
      </c>
      <c r="T952" t="s">
        <v>1147</v>
      </c>
      <c r="U952" s="11" t="str">
        <f t="shared" si="75"/>
        <v>04:12:27 PM</v>
      </c>
      <c r="BL952" s="2" t="s">
        <v>2102</v>
      </c>
    </row>
    <row r="953" spans="1:64" x14ac:dyDescent="0.35">
      <c r="A953">
        <v>2337</v>
      </c>
      <c r="B953" t="s">
        <v>0</v>
      </c>
      <c r="C953" s="1">
        <v>45436</v>
      </c>
      <c r="D953" t="s">
        <v>4</v>
      </c>
      <c r="E953" t="s">
        <v>18</v>
      </c>
      <c r="F953">
        <v>2</v>
      </c>
      <c r="G953">
        <v>1324.68</v>
      </c>
      <c r="H953">
        <v>2649.36</v>
      </c>
      <c r="I953">
        <v>310.42</v>
      </c>
      <c r="J953">
        <v>2338.94</v>
      </c>
      <c r="K953">
        <v>496</v>
      </c>
      <c r="L953" s="11" t="s">
        <v>741</v>
      </c>
      <c r="M953">
        <f t="shared" si="71"/>
        <v>24</v>
      </c>
      <c r="N953">
        <f t="shared" si="72"/>
        <v>5</v>
      </c>
      <c r="O953">
        <f t="shared" si="73"/>
        <v>2024</v>
      </c>
      <c r="P953" s="4">
        <f t="shared" si="74"/>
        <v>45436</v>
      </c>
      <c r="Q953" t="s">
        <v>1136</v>
      </c>
      <c r="R953" t="s">
        <v>1135</v>
      </c>
      <c r="S953">
        <v>2</v>
      </c>
      <c r="T953" t="s">
        <v>1149</v>
      </c>
      <c r="U953" s="11" t="str">
        <f t="shared" si="75"/>
        <v>10:50:34 PM</v>
      </c>
      <c r="BL953" s="2" t="s">
        <v>2103</v>
      </c>
    </row>
    <row r="954" spans="1:64" x14ac:dyDescent="0.35">
      <c r="A954">
        <v>4678</v>
      </c>
      <c r="B954" t="s">
        <v>25</v>
      </c>
      <c r="C954" s="1">
        <v>45166</v>
      </c>
      <c r="D954" t="s">
        <v>34</v>
      </c>
      <c r="E954" t="s">
        <v>37</v>
      </c>
      <c r="F954">
        <v>2</v>
      </c>
      <c r="G954">
        <v>709.65</v>
      </c>
      <c r="H954">
        <v>1419.3</v>
      </c>
      <c r="I954">
        <v>212.48</v>
      </c>
      <c r="J954">
        <v>1206.82</v>
      </c>
      <c r="K954">
        <v>351</v>
      </c>
      <c r="L954" s="11" t="s">
        <v>742</v>
      </c>
      <c r="M954">
        <f t="shared" si="71"/>
        <v>28</v>
      </c>
      <c r="N954">
        <f t="shared" si="72"/>
        <v>8</v>
      </c>
      <c r="O954">
        <f t="shared" si="73"/>
        <v>2023</v>
      </c>
      <c r="P954" s="4">
        <f t="shared" si="74"/>
        <v>45166</v>
      </c>
      <c r="Q954" t="s">
        <v>1138</v>
      </c>
      <c r="R954" t="s">
        <v>1135</v>
      </c>
      <c r="S954">
        <v>2</v>
      </c>
      <c r="T954" t="s">
        <v>1149</v>
      </c>
      <c r="U954" s="11" t="str">
        <f t="shared" si="75"/>
        <v>01:35:41 PM</v>
      </c>
      <c r="BL954" s="2" t="s">
        <v>2104</v>
      </c>
    </row>
    <row r="955" spans="1:64" x14ac:dyDescent="0.35">
      <c r="A955">
        <v>6221</v>
      </c>
      <c r="B955" t="s">
        <v>31</v>
      </c>
      <c r="C955" s="1">
        <v>45867</v>
      </c>
      <c r="D955" t="s">
        <v>4</v>
      </c>
      <c r="E955" t="s">
        <v>5</v>
      </c>
      <c r="F955">
        <v>3</v>
      </c>
      <c r="G955">
        <v>519.58000000000004</v>
      </c>
      <c r="H955">
        <v>1558.74</v>
      </c>
      <c r="I955">
        <v>157.69999999999999</v>
      </c>
      <c r="J955">
        <v>1401.04</v>
      </c>
      <c r="K955">
        <v>448</v>
      </c>
      <c r="L955" s="11" t="s">
        <v>743</v>
      </c>
      <c r="M955">
        <f t="shared" si="71"/>
        <v>29</v>
      </c>
      <c r="N955">
        <f t="shared" si="72"/>
        <v>7</v>
      </c>
      <c r="O955">
        <f t="shared" si="73"/>
        <v>2025</v>
      </c>
      <c r="P955" s="4">
        <f t="shared" si="74"/>
        <v>45867</v>
      </c>
      <c r="Q955" t="s">
        <v>1136</v>
      </c>
      <c r="R955" t="s">
        <v>1135</v>
      </c>
      <c r="S955">
        <v>4</v>
      </c>
      <c r="T955" t="s">
        <v>1142</v>
      </c>
      <c r="U955" s="11" t="str">
        <f t="shared" si="75"/>
        <v>07:52:17 PM</v>
      </c>
      <c r="BL955" s="2" t="s">
        <v>2105</v>
      </c>
    </row>
    <row r="956" spans="1:64" x14ac:dyDescent="0.35">
      <c r="A956">
        <v>2623</v>
      </c>
      <c r="B956" t="s">
        <v>20</v>
      </c>
      <c r="C956" s="1">
        <v>45796</v>
      </c>
      <c r="D956" t="s">
        <v>27</v>
      </c>
      <c r="E956" t="s">
        <v>14</v>
      </c>
      <c r="F956">
        <v>1</v>
      </c>
      <c r="G956">
        <v>2426.92</v>
      </c>
      <c r="H956">
        <v>2426.92</v>
      </c>
      <c r="I956">
        <v>0</v>
      </c>
      <c r="J956">
        <v>2426.92</v>
      </c>
      <c r="K956">
        <v>101</v>
      </c>
      <c r="L956" s="11" t="s">
        <v>744</v>
      </c>
      <c r="M956">
        <f t="shared" si="71"/>
        <v>19</v>
      </c>
      <c r="N956">
        <f t="shared" si="72"/>
        <v>5</v>
      </c>
      <c r="O956">
        <f t="shared" si="73"/>
        <v>2025</v>
      </c>
      <c r="P956" s="4">
        <f t="shared" si="74"/>
        <v>45796</v>
      </c>
      <c r="Q956" t="s">
        <v>1134</v>
      </c>
      <c r="R956" t="s">
        <v>1135</v>
      </c>
      <c r="S956">
        <v>5</v>
      </c>
      <c r="T956" t="s">
        <v>1144</v>
      </c>
      <c r="U956" s="11" t="str">
        <f t="shared" si="75"/>
        <v>09:54:18 AM</v>
      </c>
      <c r="BL956" s="2" t="s">
        <v>2106</v>
      </c>
    </row>
    <row r="957" spans="1:64" x14ac:dyDescent="0.35">
      <c r="A957">
        <v>6493</v>
      </c>
      <c r="B957" t="s">
        <v>8</v>
      </c>
      <c r="C957" s="1">
        <v>45759</v>
      </c>
      <c r="D957" t="s">
        <v>1</v>
      </c>
      <c r="E957" t="s">
        <v>21</v>
      </c>
      <c r="F957">
        <v>5</v>
      </c>
      <c r="G957">
        <v>1114.69</v>
      </c>
      <c r="H957">
        <v>5573.45</v>
      </c>
      <c r="I957">
        <v>400.89</v>
      </c>
      <c r="J957">
        <v>5172.5600000000004</v>
      </c>
      <c r="K957">
        <v>133</v>
      </c>
      <c r="L957" s="11" t="s">
        <v>745</v>
      </c>
      <c r="M957">
        <f t="shared" si="71"/>
        <v>12</v>
      </c>
      <c r="N957">
        <f t="shared" si="72"/>
        <v>4</v>
      </c>
      <c r="O957">
        <f t="shared" si="73"/>
        <v>2025</v>
      </c>
      <c r="P957" s="4">
        <f t="shared" si="74"/>
        <v>45759</v>
      </c>
      <c r="Q957" t="s">
        <v>1134</v>
      </c>
      <c r="R957" t="s">
        <v>1135</v>
      </c>
      <c r="S957">
        <v>4</v>
      </c>
      <c r="T957" t="s">
        <v>1143</v>
      </c>
      <c r="U957" s="11" t="str">
        <f t="shared" si="75"/>
        <v>09:48:17 PM</v>
      </c>
      <c r="BL957" s="2" t="s">
        <v>2107</v>
      </c>
    </row>
    <row r="958" spans="1:64" x14ac:dyDescent="0.35">
      <c r="A958">
        <v>3392</v>
      </c>
      <c r="B958" t="s">
        <v>8</v>
      </c>
      <c r="C958" s="1">
        <v>45251</v>
      </c>
      <c r="D958" t="s">
        <v>17</v>
      </c>
      <c r="E958" t="s">
        <v>38</v>
      </c>
      <c r="F958">
        <v>1</v>
      </c>
      <c r="G958">
        <v>1811.89</v>
      </c>
      <c r="H958">
        <v>1811.89</v>
      </c>
      <c r="I958">
        <v>0</v>
      </c>
      <c r="J958">
        <v>1811.89</v>
      </c>
      <c r="K958">
        <v>222</v>
      </c>
      <c r="L958" s="11" t="s">
        <v>746</v>
      </c>
      <c r="M958">
        <f t="shared" si="71"/>
        <v>21</v>
      </c>
      <c r="N958">
        <f t="shared" si="72"/>
        <v>11</v>
      </c>
      <c r="O958">
        <f t="shared" si="73"/>
        <v>2023</v>
      </c>
      <c r="P958" s="4">
        <f t="shared" si="74"/>
        <v>45251</v>
      </c>
      <c r="Q958" t="s">
        <v>1136</v>
      </c>
      <c r="R958" t="s">
        <v>1137</v>
      </c>
      <c r="S958">
        <v>4</v>
      </c>
      <c r="T958" t="s">
        <v>1146</v>
      </c>
      <c r="U958" s="11" t="str">
        <f t="shared" si="75"/>
        <v>09:07:19 PM</v>
      </c>
      <c r="BL958" s="2" t="s">
        <v>2108</v>
      </c>
    </row>
    <row r="959" spans="1:64" x14ac:dyDescent="0.35">
      <c r="A959">
        <v>1627</v>
      </c>
      <c r="B959" t="s">
        <v>15</v>
      </c>
      <c r="C959" s="1">
        <v>45367</v>
      </c>
      <c r="D959" t="s">
        <v>4</v>
      </c>
      <c r="E959" t="s">
        <v>14</v>
      </c>
      <c r="F959">
        <v>2</v>
      </c>
      <c r="G959">
        <v>541.16</v>
      </c>
      <c r="H959">
        <v>1082.32</v>
      </c>
      <c r="I959">
        <v>162.68</v>
      </c>
      <c r="J959">
        <v>919.64</v>
      </c>
      <c r="K959">
        <v>441</v>
      </c>
      <c r="L959" s="11" t="s">
        <v>747</v>
      </c>
      <c r="M959">
        <f t="shared" si="71"/>
        <v>16</v>
      </c>
      <c r="N959">
        <f t="shared" si="72"/>
        <v>3</v>
      </c>
      <c r="O959">
        <f t="shared" si="73"/>
        <v>2024</v>
      </c>
      <c r="P959" s="4">
        <f t="shared" si="74"/>
        <v>45367</v>
      </c>
      <c r="Q959" t="s">
        <v>1138</v>
      </c>
      <c r="R959" t="s">
        <v>1135</v>
      </c>
      <c r="S959">
        <v>2</v>
      </c>
      <c r="T959" t="s">
        <v>1145</v>
      </c>
      <c r="U959" s="11" t="str">
        <f t="shared" si="75"/>
        <v>09:49:54 PM</v>
      </c>
      <c r="BL959" s="2" t="s">
        <v>2109</v>
      </c>
    </row>
    <row r="960" spans="1:64" x14ac:dyDescent="0.35">
      <c r="A960">
        <v>8740</v>
      </c>
      <c r="B960" t="s">
        <v>15</v>
      </c>
      <c r="C960" s="1">
        <v>45685</v>
      </c>
      <c r="D960" t="s">
        <v>9</v>
      </c>
      <c r="E960" t="s">
        <v>30</v>
      </c>
      <c r="F960">
        <v>4</v>
      </c>
      <c r="G960">
        <v>2143.06</v>
      </c>
      <c r="H960">
        <v>8572.24</v>
      </c>
      <c r="I960">
        <v>1285.67</v>
      </c>
      <c r="J960">
        <v>7286.57</v>
      </c>
      <c r="K960">
        <v>307</v>
      </c>
      <c r="L960" s="11" t="s">
        <v>748</v>
      </c>
      <c r="M960">
        <f t="shared" si="71"/>
        <v>28</v>
      </c>
      <c r="N960">
        <f t="shared" si="72"/>
        <v>1</v>
      </c>
      <c r="O960">
        <f t="shared" si="73"/>
        <v>2025</v>
      </c>
      <c r="P960" s="4">
        <f t="shared" si="74"/>
        <v>45685</v>
      </c>
      <c r="Q960" t="s">
        <v>1139</v>
      </c>
      <c r="R960" t="s">
        <v>1135</v>
      </c>
      <c r="S960">
        <v>4</v>
      </c>
      <c r="T960" t="s">
        <v>1143</v>
      </c>
      <c r="U960" s="11" t="str">
        <f t="shared" si="75"/>
        <v>02:43:46 PM</v>
      </c>
      <c r="BL960" s="2" t="s">
        <v>2110</v>
      </c>
    </row>
    <row r="961" spans="1:64" x14ac:dyDescent="0.35">
      <c r="A961">
        <v>3273</v>
      </c>
      <c r="B961" t="s">
        <v>31</v>
      </c>
      <c r="C961" s="1">
        <v>45734</v>
      </c>
      <c r="D961" t="s">
        <v>9</v>
      </c>
      <c r="E961" t="s">
        <v>18</v>
      </c>
      <c r="F961">
        <v>4</v>
      </c>
      <c r="G961">
        <v>1989.51</v>
      </c>
      <c r="H961">
        <v>7958.04</v>
      </c>
      <c r="I961">
        <v>1193.54</v>
      </c>
      <c r="J961">
        <v>6764.5</v>
      </c>
      <c r="K961">
        <v>14</v>
      </c>
      <c r="L961" s="11" t="s">
        <v>749</v>
      </c>
      <c r="M961">
        <f t="shared" si="71"/>
        <v>18</v>
      </c>
      <c r="N961">
        <f t="shared" si="72"/>
        <v>3</v>
      </c>
      <c r="O961">
        <f t="shared" si="73"/>
        <v>2025</v>
      </c>
      <c r="P961" s="4">
        <f t="shared" si="74"/>
        <v>45734</v>
      </c>
      <c r="Q961" t="s">
        <v>1134</v>
      </c>
      <c r="R961" t="s">
        <v>1135</v>
      </c>
      <c r="S961">
        <v>2</v>
      </c>
      <c r="T961" t="s">
        <v>1149</v>
      </c>
      <c r="U961" s="11" t="str">
        <f t="shared" si="75"/>
        <v>09:20:00 AM</v>
      </c>
      <c r="BL961" s="2" t="s">
        <v>2111</v>
      </c>
    </row>
    <row r="962" spans="1:64" x14ac:dyDescent="0.35">
      <c r="A962">
        <v>8685</v>
      </c>
      <c r="B962" t="s">
        <v>31</v>
      </c>
      <c r="C962" s="1">
        <v>45493</v>
      </c>
      <c r="D962" t="s">
        <v>17</v>
      </c>
      <c r="E962" t="s">
        <v>22</v>
      </c>
      <c r="F962">
        <v>2</v>
      </c>
      <c r="G962">
        <v>971.93</v>
      </c>
      <c r="H962">
        <v>1943.86</v>
      </c>
      <c r="I962">
        <v>86.32</v>
      </c>
      <c r="J962">
        <v>1857.54</v>
      </c>
      <c r="K962">
        <v>350</v>
      </c>
      <c r="L962" s="11" t="s">
        <v>750</v>
      </c>
      <c r="M962">
        <f t="shared" ref="M962:M1025" si="76">DAY(C962)</f>
        <v>20</v>
      </c>
      <c r="N962">
        <f t="shared" ref="N962:N1025" si="77">MONTH(C962)</f>
        <v>7</v>
      </c>
      <c r="O962">
        <f t="shared" ref="O962:O1025" si="78">YEAR(C962)</f>
        <v>2024</v>
      </c>
      <c r="P962" s="4">
        <f t="shared" si="74"/>
        <v>45493</v>
      </c>
      <c r="Q962" t="s">
        <v>1138</v>
      </c>
      <c r="R962" t="s">
        <v>1135</v>
      </c>
      <c r="S962">
        <v>1</v>
      </c>
      <c r="T962" t="s">
        <v>1149</v>
      </c>
      <c r="U962" s="11" t="str">
        <f t="shared" si="75"/>
        <v>05:37:00 AM</v>
      </c>
      <c r="BL962" s="2" t="s">
        <v>2112</v>
      </c>
    </row>
    <row r="963" spans="1:64" x14ac:dyDescent="0.35">
      <c r="A963">
        <v>1086</v>
      </c>
      <c r="B963" t="s">
        <v>8</v>
      </c>
      <c r="C963" s="1">
        <v>45848</v>
      </c>
      <c r="D963" t="s">
        <v>11</v>
      </c>
      <c r="E963" t="s">
        <v>21</v>
      </c>
      <c r="F963">
        <v>2</v>
      </c>
      <c r="G963">
        <v>1799.44</v>
      </c>
      <c r="H963">
        <v>3598.88</v>
      </c>
      <c r="I963">
        <v>0</v>
      </c>
      <c r="J963">
        <v>3598.88</v>
      </c>
      <c r="K963">
        <v>362</v>
      </c>
      <c r="L963" s="11" t="s">
        <v>751</v>
      </c>
      <c r="M963">
        <f t="shared" si="76"/>
        <v>10</v>
      </c>
      <c r="N963">
        <f t="shared" si="77"/>
        <v>7</v>
      </c>
      <c r="O963">
        <f t="shared" si="78"/>
        <v>2025</v>
      </c>
      <c r="P963" s="4">
        <f t="shared" ref="P963:P1026" si="79">DATE(O963,N963,M963)</f>
        <v>45848</v>
      </c>
      <c r="Q963" t="s">
        <v>1138</v>
      </c>
      <c r="R963" t="s">
        <v>1135</v>
      </c>
      <c r="S963">
        <v>5</v>
      </c>
      <c r="T963" t="s">
        <v>1141</v>
      </c>
      <c r="U963" s="11" t="str">
        <f t="shared" si="75"/>
        <v>02:48:31 PM</v>
      </c>
      <c r="BL963" s="2" t="s">
        <v>2113</v>
      </c>
    </row>
    <row r="964" spans="1:64" x14ac:dyDescent="0.35">
      <c r="A964">
        <v>2298</v>
      </c>
      <c r="B964" t="s">
        <v>19</v>
      </c>
      <c r="C964" s="1">
        <v>45159</v>
      </c>
      <c r="D964" t="s">
        <v>4</v>
      </c>
      <c r="E964" t="s">
        <v>38</v>
      </c>
      <c r="F964">
        <v>5</v>
      </c>
      <c r="G964">
        <v>223.27</v>
      </c>
      <c r="H964">
        <v>1116.3499999999999</v>
      </c>
      <c r="I964">
        <v>111.22</v>
      </c>
      <c r="J964">
        <v>1005.13</v>
      </c>
      <c r="K964">
        <v>170</v>
      </c>
      <c r="L964" s="11" t="s">
        <v>752</v>
      </c>
      <c r="M964">
        <f t="shared" si="76"/>
        <v>21</v>
      </c>
      <c r="N964">
        <f t="shared" si="77"/>
        <v>8</v>
      </c>
      <c r="O964">
        <f t="shared" si="78"/>
        <v>2023</v>
      </c>
      <c r="P964" s="4">
        <f t="shared" si="79"/>
        <v>45159</v>
      </c>
      <c r="Q964" t="s">
        <v>1139</v>
      </c>
      <c r="R964" t="s">
        <v>1135</v>
      </c>
      <c r="S964">
        <v>4</v>
      </c>
      <c r="T964" t="s">
        <v>1142</v>
      </c>
      <c r="U964" s="11" t="str">
        <f t="shared" si="75"/>
        <v>03:00:52 AM</v>
      </c>
      <c r="BL964" s="2" t="s">
        <v>2114</v>
      </c>
    </row>
    <row r="965" spans="1:64" x14ac:dyDescent="0.35">
      <c r="A965">
        <v>5193</v>
      </c>
      <c r="B965" t="s">
        <v>25</v>
      </c>
      <c r="C965" s="1">
        <v>45312</v>
      </c>
      <c r="D965" t="s">
        <v>17</v>
      </c>
      <c r="E965" t="s">
        <v>29</v>
      </c>
      <c r="F965">
        <v>1</v>
      </c>
      <c r="G965">
        <v>693.05</v>
      </c>
      <c r="H965">
        <v>693.05</v>
      </c>
      <c r="I965">
        <v>103.75</v>
      </c>
      <c r="J965">
        <v>589.29999999999995</v>
      </c>
      <c r="K965">
        <v>317</v>
      </c>
      <c r="L965" s="11" t="s">
        <v>753</v>
      </c>
      <c r="M965">
        <f t="shared" si="76"/>
        <v>21</v>
      </c>
      <c r="N965">
        <f t="shared" si="77"/>
        <v>1</v>
      </c>
      <c r="O965">
        <f t="shared" si="78"/>
        <v>2024</v>
      </c>
      <c r="P965" s="4">
        <f t="shared" si="79"/>
        <v>45312</v>
      </c>
      <c r="Q965" t="s">
        <v>1134</v>
      </c>
      <c r="R965" t="s">
        <v>1135</v>
      </c>
      <c r="S965">
        <v>2</v>
      </c>
      <c r="T965" t="s">
        <v>1147</v>
      </c>
      <c r="U965" s="11" t="str">
        <f t="shared" si="75"/>
        <v>03:57:00 AM</v>
      </c>
      <c r="BL965" s="2" t="s">
        <v>2115</v>
      </c>
    </row>
    <row r="966" spans="1:64" x14ac:dyDescent="0.35">
      <c r="A966">
        <v>3449</v>
      </c>
      <c r="B966" t="s">
        <v>13</v>
      </c>
      <c r="C966" s="1">
        <v>45571</v>
      </c>
      <c r="D966" t="s">
        <v>16</v>
      </c>
      <c r="E966" t="s">
        <v>12</v>
      </c>
      <c r="F966">
        <v>2</v>
      </c>
      <c r="G966">
        <v>2411.98</v>
      </c>
      <c r="H966">
        <v>4823.96</v>
      </c>
      <c r="I966">
        <v>142.76</v>
      </c>
      <c r="J966">
        <v>4681.2</v>
      </c>
      <c r="K966">
        <v>286</v>
      </c>
      <c r="L966" s="11" t="s">
        <v>754</v>
      </c>
      <c r="M966">
        <f t="shared" si="76"/>
        <v>6</v>
      </c>
      <c r="N966">
        <f t="shared" si="77"/>
        <v>10</v>
      </c>
      <c r="O966">
        <f t="shared" si="78"/>
        <v>2024</v>
      </c>
      <c r="P966" s="4">
        <f t="shared" si="79"/>
        <v>45571</v>
      </c>
      <c r="Q966" t="s">
        <v>1134</v>
      </c>
      <c r="R966" t="s">
        <v>1137</v>
      </c>
      <c r="S966">
        <v>3</v>
      </c>
      <c r="T966" t="s">
        <v>1144</v>
      </c>
      <c r="U966" s="11" t="str">
        <f t="shared" si="75"/>
        <v>11:15:47 AM</v>
      </c>
      <c r="BL966" s="2" t="s">
        <v>2116</v>
      </c>
    </row>
    <row r="967" spans="1:64" x14ac:dyDescent="0.35">
      <c r="A967">
        <v>9647</v>
      </c>
      <c r="B967" t="s">
        <v>8</v>
      </c>
      <c r="C967" s="1">
        <v>45473</v>
      </c>
      <c r="D967" t="s">
        <v>27</v>
      </c>
      <c r="E967" t="s">
        <v>37</v>
      </c>
      <c r="F967">
        <v>3</v>
      </c>
      <c r="G967">
        <v>2195.35</v>
      </c>
      <c r="H967">
        <v>6586.05</v>
      </c>
      <c r="I967">
        <v>987.7</v>
      </c>
      <c r="J967">
        <v>5598.35</v>
      </c>
      <c r="K967">
        <v>67</v>
      </c>
      <c r="L967" s="11" t="s">
        <v>755</v>
      </c>
      <c r="M967">
        <f t="shared" si="76"/>
        <v>30</v>
      </c>
      <c r="N967">
        <f t="shared" si="77"/>
        <v>6</v>
      </c>
      <c r="O967">
        <f t="shared" si="78"/>
        <v>2024</v>
      </c>
      <c r="P967" s="4">
        <f t="shared" si="79"/>
        <v>45473</v>
      </c>
      <c r="Q967" t="s">
        <v>1138</v>
      </c>
      <c r="R967" t="s">
        <v>1137</v>
      </c>
      <c r="S967">
        <v>4</v>
      </c>
      <c r="T967" t="s">
        <v>1145</v>
      </c>
      <c r="U967" s="11" t="str">
        <f t="shared" si="75"/>
        <v>07:29:20 PM</v>
      </c>
      <c r="BL967" s="2" t="s">
        <v>2117</v>
      </c>
    </row>
    <row r="968" spans="1:64" x14ac:dyDescent="0.35">
      <c r="A968">
        <v>2821</v>
      </c>
      <c r="B968" t="s">
        <v>3</v>
      </c>
      <c r="C968" s="1">
        <v>45747</v>
      </c>
      <c r="D968" t="s">
        <v>9</v>
      </c>
      <c r="E968" t="s">
        <v>30</v>
      </c>
      <c r="F968">
        <v>3</v>
      </c>
      <c r="G968">
        <v>363.54</v>
      </c>
      <c r="H968">
        <v>1090.6199999999999</v>
      </c>
      <c r="I968">
        <v>108.73</v>
      </c>
      <c r="J968">
        <v>981.89</v>
      </c>
      <c r="K968">
        <v>22</v>
      </c>
      <c r="L968" s="11" t="s">
        <v>756</v>
      </c>
      <c r="M968">
        <f t="shared" si="76"/>
        <v>31</v>
      </c>
      <c r="N968">
        <f t="shared" si="77"/>
        <v>3</v>
      </c>
      <c r="O968">
        <f t="shared" si="78"/>
        <v>2025</v>
      </c>
      <c r="P968" s="4">
        <f t="shared" si="79"/>
        <v>45747</v>
      </c>
      <c r="Q968" t="s">
        <v>1138</v>
      </c>
      <c r="R968" t="s">
        <v>1135</v>
      </c>
      <c r="S968">
        <v>1</v>
      </c>
      <c r="T968" t="s">
        <v>1143</v>
      </c>
      <c r="U968" s="11" t="str">
        <f t="shared" si="75"/>
        <v>02:10:05 AM</v>
      </c>
      <c r="BL968" s="2" t="s">
        <v>2118</v>
      </c>
    </row>
    <row r="969" spans="1:64" x14ac:dyDescent="0.35">
      <c r="A969">
        <v>5720</v>
      </c>
      <c r="B969" t="s">
        <v>19</v>
      </c>
      <c r="C969" s="1">
        <v>45329</v>
      </c>
      <c r="D969" t="s">
        <v>11</v>
      </c>
      <c r="E969" t="s">
        <v>5</v>
      </c>
      <c r="F969">
        <v>3</v>
      </c>
      <c r="G969">
        <v>2255.11</v>
      </c>
      <c r="H969">
        <v>6765.33</v>
      </c>
      <c r="I969">
        <v>186.75</v>
      </c>
      <c r="J969">
        <v>6578.58</v>
      </c>
      <c r="K969">
        <v>134</v>
      </c>
      <c r="L969" s="11" t="s">
        <v>757</v>
      </c>
      <c r="M969">
        <f t="shared" si="76"/>
        <v>7</v>
      </c>
      <c r="N969">
        <f t="shared" si="77"/>
        <v>2</v>
      </c>
      <c r="O969">
        <f t="shared" si="78"/>
        <v>2024</v>
      </c>
      <c r="P969" s="4">
        <f t="shared" si="79"/>
        <v>45329</v>
      </c>
      <c r="Q969" t="s">
        <v>1139</v>
      </c>
      <c r="R969" t="s">
        <v>1137</v>
      </c>
      <c r="S969">
        <v>1</v>
      </c>
      <c r="T969" t="s">
        <v>1146</v>
      </c>
      <c r="U969" s="11" t="str">
        <f t="shared" si="75"/>
        <v>05:58:32 PM</v>
      </c>
      <c r="BL969" s="2" t="s">
        <v>2119</v>
      </c>
    </row>
    <row r="970" spans="1:64" x14ac:dyDescent="0.35">
      <c r="A970">
        <v>5934</v>
      </c>
      <c r="B970" t="s">
        <v>8</v>
      </c>
      <c r="C970" s="1">
        <v>45239</v>
      </c>
      <c r="D970" t="s">
        <v>11</v>
      </c>
      <c r="E970" t="s">
        <v>37</v>
      </c>
      <c r="F970">
        <v>2</v>
      </c>
      <c r="G970">
        <v>1419.3</v>
      </c>
      <c r="H970">
        <v>2838.6</v>
      </c>
      <c r="I970">
        <v>146.08000000000001</v>
      </c>
      <c r="J970">
        <v>2692.52</v>
      </c>
      <c r="K970">
        <v>472</v>
      </c>
      <c r="L970" s="11" t="s">
        <v>758</v>
      </c>
      <c r="M970">
        <f t="shared" si="76"/>
        <v>9</v>
      </c>
      <c r="N970">
        <f t="shared" si="77"/>
        <v>11</v>
      </c>
      <c r="O970">
        <f t="shared" si="78"/>
        <v>2023</v>
      </c>
      <c r="P970" s="4">
        <f t="shared" si="79"/>
        <v>45239</v>
      </c>
      <c r="Q970" t="s">
        <v>1139</v>
      </c>
      <c r="R970" t="s">
        <v>1137</v>
      </c>
      <c r="S970">
        <v>3</v>
      </c>
      <c r="T970" t="s">
        <v>1142</v>
      </c>
      <c r="U970" s="11" t="str">
        <f t="shared" si="75"/>
        <v>07:54:03 PM</v>
      </c>
      <c r="BL970" s="2" t="s">
        <v>2120</v>
      </c>
    </row>
    <row r="971" spans="1:64" x14ac:dyDescent="0.35">
      <c r="A971">
        <v>1782</v>
      </c>
      <c r="B971" t="s">
        <v>20</v>
      </c>
      <c r="C971" s="1">
        <v>45330</v>
      </c>
      <c r="D971" t="s">
        <v>6</v>
      </c>
      <c r="E971" t="s">
        <v>18</v>
      </c>
      <c r="F971">
        <v>1</v>
      </c>
      <c r="G971">
        <v>1214.29</v>
      </c>
      <c r="H971">
        <v>1214.29</v>
      </c>
      <c r="I971">
        <v>121.18</v>
      </c>
      <c r="J971">
        <v>1093.1099999999999</v>
      </c>
      <c r="K971">
        <v>83</v>
      </c>
      <c r="L971" s="11" t="s">
        <v>759</v>
      </c>
      <c r="M971">
        <f t="shared" si="76"/>
        <v>8</v>
      </c>
      <c r="N971">
        <f t="shared" si="77"/>
        <v>2</v>
      </c>
      <c r="O971">
        <f t="shared" si="78"/>
        <v>2024</v>
      </c>
      <c r="P971" s="4">
        <f t="shared" si="79"/>
        <v>45330</v>
      </c>
      <c r="Q971" t="s">
        <v>1134</v>
      </c>
      <c r="R971" t="s">
        <v>1137</v>
      </c>
      <c r="S971">
        <v>2</v>
      </c>
      <c r="T971" t="s">
        <v>1146</v>
      </c>
      <c r="U971" s="11" t="str">
        <f t="shared" si="75"/>
        <v>01:57:26 PM</v>
      </c>
      <c r="BL971" s="2" t="s">
        <v>2121</v>
      </c>
    </row>
    <row r="972" spans="1:64" x14ac:dyDescent="0.35">
      <c r="A972">
        <v>7878</v>
      </c>
      <c r="B972" t="s">
        <v>0</v>
      </c>
      <c r="C972" s="1">
        <v>45641</v>
      </c>
      <c r="D972" t="s">
        <v>34</v>
      </c>
      <c r="E972" t="s">
        <v>29</v>
      </c>
      <c r="F972">
        <v>4</v>
      </c>
      <c r="G972">
        <v>940.39</v>
      </c>
      <c r="H972">
        <v>3761.56</v>
      </c>
      <c r="I972">
        <v>375.99</v>
      </c>
      <c r="J972">
        <v>3385.57</v>
      </c>
      <c r="K972">
        <v>363</v>
      </c>
      <c r="L972" s="11" t="s">
        <v>760</v>
      </c>
      <c r="M972">
        <f t="shared" si="76"/>
        <v>15</v>
      </c>
      <c r="N972">
        <f t="shared" si="77"/>
        <v>12</v>
      </c>
      <c r="O972">
        <f t="shared" si="78"/>
        <v>2024</v>
      </c>
      <c r="P972" s="4">
        <f t="shared" si="79"/>
        <v>45641</v>
      </c>
      <c r="Q972" t="s">
        <v>1136</v>
      </c>
      <c r="R972" t="s">
        <v>1137</v>
      </c>
      <c r="S972">
        <v>4</v>
      </c>
      <c r="T972" t="s">
        <v>1148</v>
      </c>
      <c r="U972" s="11" t="str">
        <f t="shared" si="75"/>
        <v>12:35:59 PM</v>
      </c>
      <c r="BL972" s="2" t="s">
        <v>2122</v>
      </c>
    </row>
    <row r="973" spans="1:64" x14ac:dyDescent="0.35">
      <c r="A973">
        <v>8489</v>
      </c>
      <c r="B973" t="s">
        <v>15</v>
      </c>
      <c r="C973" s="1">
        <v>45193</v>
      </c>
      <c r="D973" t="s">
        <v>4</v>
      </c>
      <c r="E973" t="s">
        <v>30</v>
      </c>
      <c r="F973">
        <v>1</v>
      </c>
      <c r="G973">
        <v>923.79</v>
      </c>
      <c r="H973">
        <v>923.79</v>
      </c>
      <c r="I973">
        <v>185.09</v>
      </c>
      <c r="J973">
        <v>738.7</v>
      </c>
      <c r="K973">
        <v>104</v>
      </c>
      <c r="L973" s="11" t="s">
        <v>761</v>
      </c>
      <c r="M973">
        <f t="shared" si="76"/>
        <v>24</v>
      </c>
      <c r="N973">
        <f t="shared" si="77"/>
        <v>9</v>
      </c>
      <c r="O973">
        <f t="shared" si="78"/>
        <v>2023</v>
      </c>
      <c r="P973" s="4">
        <f t="shared" si="79"/>
        <v>45193</v>
      </c>
      <c r="Q973" t="s">
        <v>1134</v>
      </c>
      <c r="R973" t="s">
        <v>1135</v>
      </c>
      <c r="S973">
        <v>2</v>
      </c>
      <c r="T973" t="s">
        <v>1141</v>
      </c>
      <c r="U973" s="11" t="str">
        <f t="shared" si="75"/>
        <v>10:07:32 AM</v>
      </c>
      <c r="BL973" s="2" t="s">
        <v>2123</v>
      </c>
    </row>
    <row r="974" spans="1:64" x14ac:dyDescent="0.35">
      <c r="A974">
        <v>2816</v>
      </c>
      <c r="B974" t="s">
        <v>8</v>
      </c>
      <c r="C974" s="1">
        <v>45794</v>
      </c>
      <c r="D974" t="s">
        <v>27</v>
      </c>
      <c r="E974" t="s">
        <v>2</v>
      </c>
      <c r="F974">
        <v>5</v>
      </c>
      <c r="G974">
        <v>2226.89</v>
      </c>
      <c r="H974">
        <v>11134.45</v>
      </c>
      <c r="I974">
        <v>414.17</v>
      </c>
      <c r="J974">
        <v>10720.28</v>
      </c>
      <c r="K974">
        <v>299</v>
      </c>
      <c r="L974" s="11" t="s">
        <v>762</v>
      </c>
      <c r="M974">
        <f t="shared" si="76"/>
        <v>17</v>
      </c>
      <c r="N974">
        <f t="shared" si="77"/>
        <v>5</v>
      </c>
      <c r="O974">
        <f t="shared" si="78"/>
        <v>2025</v>
      </c>
      <c r="P974" s="4">
        <f t="shared" si="79"/>
        <v>45794</v>
      </c>
      <c r="Q974" t="s">
        <v>1138</v>
      </c>
      <c r="R974" t="s">
        <v>1137</v>
      </c>
      <c r="S974">
        <v>1</v>
      </c>
      <c r="T974" t="s">
        <v>1144</v>
      </c>
      <c r="U974" s="11" t="str">
        <f t="shared" si="75"/>
        <v>09:48:39 PM</v>
      </c>
      <c r="BL974" s="2" t="s">
        <v>2124</v>
      </c>
    </row>
    <row r="975" spans="1:64" x14ac:dyDescent="0.35">
      <c r="A975">
        <v>9189</v>
      </c>
      <c r="B975" t="s">
        <v>20</v>
      </c>
      <c r="C975" s="1">
        <v>45608</v>
      </c>
      <c r="D975" t="s">
        <v>27</v>
      </c>
      <c r="E975" t="s">
        <v>18</v>
      </c>
      <c r="F975">
        <v>4</v>
      </c>
      <c r="G975">
        <v>2297.44</v>
      </c>
      <c r="H975">
        <v>9189.76</v>
      </c>
      <c r="I975">
        <v>0</v>
      </c>
      <c r="J975">
        <v>9189.76</v>
      </c>
      <c r="K975">
        <v>126</v>
      </c>
      <c r="L975" s="11" t="s">
        <v>763</v>
      </c>
      <c r="M975">
        <f t="shared" si="76"/>
        <v>12</v>
      </c>
      <c r="N975">
        <f t="shared" si="77"/>
        <v>11</v>
      </c>
      <c r="O975">
        <f t="shared" si="78"/>
        <v>2024</v>
      </c>
      <c r="P975" s="4">
        <f t="shared" si="79"/>
        <v>45608</v>
      </c>
      <c r="Q975" t="s">
        <v>1134</v>
      </c>
      <c r="R975" t="s">
        <v>1137</v>
      </c>
      <c r="S975">
        <v>2</v>
      </c>
      <c r="T975" t="s">
        <v>1141</v>
      </c>
      <c r="U975" s="11" t="str">
        <f t="shared" si="75"/>
        <v>11:08:41 AM</v>
      </c>
      <c r="BL975" s="2" t="s">
        <v>2125</v>
      </c>
    </row>
    <row r="976" spans="1:64" x14ac:dyDescent="0.35">
      <c r="A976">
        <v>9782</v>
      </c>
      <c r="B976" t="s">
        <v>0</v>
      </c>
      <c r="C976" s="1">
        <v>45157</v>
      </c>
      <c r="D976" t="s">
        <v>11</v>
      </c>
      <c r="E976" t="s">
        <v>28</v>
      </c>
      <c r="F976">
        <v>3</v>
      </c>
      <c r="G976">
        <v>1722.25</v>
      </c>
      <c r="H976">
        <v>5166.75</v>
      </c>
      <c r="I976">
        <v>517.09</v>
      </c>
      <c r="J976">
        <v>4649.66</v>
      </c>
      <c r="K976">
        <v>348</v>
      </c>
      <c r="L976" s="11" t="s">
        <v>764</v>
      </c>
      <c r="M976">
        <f t="shared" si="76"/>
        <v>19</v>
      </c>
      <c r="N976">
        <f t="shared" si="77"/>
        <v>8</v>
      </c>
      <c r="O976">
        <f t="shared" si="78"/>
        <v>2023</v>
      </c>
      <c r="P976" s="4">
        <f t="shared" si="79"/>
        <v>45157</v>
      </c>
      <c r="Q976" t="s">
        <v>1136</v>
      </c>
      <c r="R976" t="s">
        <v>1137</v>
      </c>
      <c r="S976">
        <v>1</v>
      </c>
      <c r="T976" t="s">
        <v>1149</v>
      </c>
      <c r="U976" s="11" t="str">
        <f t="shared" si="75"/>
        <v>10:36:24 PM</v>
      </c>
      <c r="BL976" s="2" t="s">
        <v>2126</v>
      </c>
    </row>
    <row r="977" spans="1:64" x14ac:dyDescent="0.35">
      <c r="A977">
        <v>9443</v>
      </c>
      <c r="B977" t="s">
        <v>25</v>
      </c>
      <c r="C977" s="1">
        <v>45591</v>
      </c>
      <c r="D977" t="s">
        <v>17</v>
      </c>
      <c r="E977" t="s">
        <v>38</v>
      </c>
      <c r="F977">
        <v>3</v>
      </c>
      <c r="G977">
        <v>452.35</v>
      </c>
      <c r="H977">
        <v>1357.05</v>
      </c>
      <c r="I977">
        <v>0</v>
      </c>
      <c r="J977">
        <v>1357.05</v>
      </c>
      <c r="K977">
        <v>41</v>
      </c>
      <c r="L977" s="11" t="s">
        <v>765</v>
      </c>
      <c r="M977">
        <f t="shared" si="76"/>
        <v>26</v>
      </c>
      <c r="N977">
        <f t="shared" si="77"/>
        <v>10</v>
      </c>
      <c r="O977">
        <f t="shared" si="78"/>
        <v>2024</v>
      </c>
      <c r="P977" s="4">
        <f t="shared" si="79"/>
        <v>45591</v>
      </c>
      <c r="Q977" t="s">
        <v>1139</v>
      </c>
      <c r="R977" t="s">
        <v>1135</v>
      </c>
      <c r="S977">
        <v>2</v>
      </c>
      <c r="T977" t="s">
        <v>1141</v>
      </c>
      <c r="U977" s="11" t="str">
        <f t="shared" si="75"/>
        <v>12:27:09 AM</v>
      </c>
      <c r="BL977" s="2" t="s">
        <v>2127</v>
      </c>
    </row>
    <row r="978" spans="1:64" x14ac:dyDescent="0.35">
      <c r="A978">
        <v>4963</v>
      </c>
      <c r="B978" t="s">
        <v>15</v>
      </c>
      <c r="C978" s="1">
        <v>45703</v>
      </c>
      <c r="D978" t="s">
        <v>34</v>
      </c>
      <c r="E978" t="s">
        <v>2</v>
      </c>
      <c r="F978">
        <v>5</v>
      </c>
      <c r="G978">
        <v>1665.81</v>
      </c>
      <c r="H978">
        <v>8329.0499999999993</v>
      </c>
      <c r="I978">
        <v>0</v>
      </c>
      <c r="J978">
        <v>8329.0499999999993</v>
      </c>
      <c r="K978">
        <v>168</v>
      </c>
      <c r="L978" s="11" t="s">
        <v>766</v>
      </c>
      <c r="M978">
        <f t="shared" si="76"/>
        <v>15</v>
      </c>
      <c r="N978">
        <f t="shared" si="77"/>
        <v>2</v>
      </c>
      <c r="O978">
        <f t="shared" si="78"/>
        <v>2025</v>
      </c>
      <c r="P978" s="4">
        <f t="shared" si="79"/>
        <v>45703</v>
      </c>
      <c r="Q978" t="s">
        <v>1136</v>
      </c>
      <c r="R978" t="s">
        <v>1135</v>
      </c>
      <c r="S978">
        <v>3</v>
      </c>
      <c r="T978" t="s">
        <v>1145</v>
      </c>
      <c r="U978" s="11" t="str">
        <f t="shared" si="75"/>
        <v>04:21:10 PM</v>
      </c>
      <c r="BL978" s="2" t="s">
        <v>2128</v>
      </c>
    </row>
    <row r="979" spans="1:64" x14ac:dyDescent="0.35">
      <c r="A979">
        <v>3352</v>
      </c>
      <c r="B979" t="s">
        <v>15</v>
      </c>
      <c r="C979" s="1">
        <v>45371</v>
      </c>
      <c r="D979" t="s">
        <v>11</v>
      </c>
      <c r="E979" t="s">
        <v>30</v>
      </c>
      <c r="F979">
        <v>2</v>
      </c>
      <c r="G979">
        <v>2160.4899999999998</v>
      </c>
      <c r="H979">
        <v>4320.9799999999996</v>
      </c>
      <c r="I979">
        <v>648.23</v>
      </c>
      <c r="J979">
        <v>3672.75</v>
      </c>
      <c r="K979">
        <v>410</v>
      </c>
      <c r="L979" s="11" t="s">
        <v>767</v>
      </c>
      <c r="M979">
        <f t="shared" si="76"/>
        <v>20</v>
      </c>
      <c r="N979">
        <f t="shared" si="77"/>
        <v>3</v>
      </c>
      <c r="O979">
        <f t="shared" si="78"/>
        <v>2024</v>
      </c>
      <c r="P979" s="4">
        <f t="shared" si="79"/>
        <v>45371</v>
      </c>
      <c r="Q979" t="s">
        <v>1136</v>
      </c>
      <c r="R979" t="s">
        <v>1135</v>
      </c>
      <c r="S979">
        <v>5</v>
      </c>
      <c r="T979" t="s">
        <v>1149</v>
      </c>
      <c r="U979" s="11" t="str">
        <f t="shared" si="75"/>
        <v>12:22:21 AM</v>
      </c>
      <c r="BL979" s="2" t="s">
        <v>2129</v>
      </c>
    </row>
    <row r="980" spans="1:64" x14ac:dyDescent="0.35">
      <c r="A980">
        <v>8032</v>
      </c>
      <c r="B980" t="s">
        <v>20</v>
      </c>
      <c r="C980" s="1">
        <v>45146</v>
      </c>
      <c r="D980" t="s">
        <v>4</v>
      </c>
      <c r="E980" t="s">
        <v>7</v>
      </c>
      <c r="F980">
        <v>5</v>
      </c>
      <c r="G980">
        <v>1000.15</v>
      </c>
      <c r="H980">
        <v>5000.75</v>
      </c>
      <c r="I980">
        <v>1000.15</v>
      </c>
      <c r="J980">
        <v>4000.6</v>
      </c>
      <c r="K980">
        <v>204</v>
      </c>
      <c r="L980" s="11" t="s">
        <v>768</v>
      </c>
      <c r="M980">
        <f t="shared" si="76"/>
        <v>8</v>
      </c>
      <c r="N980">
        <f t="shared" si="77"/>
        <v>8</v>
      </c>
      <c r="O980">
        <f t="shared" si="78"/>
        <v>2023</v>
      </c>
      <c r="P980" s="4">
        <f t="shared" si="79"/>
        <v>45146</v>
      </c>
      <c r="Q980" t="s">
        <v>1136</v>
      </c>
      <c r="R980" t="s">
        <v>1135</v>
      </c>
      <c r="S980">
        <v>3</v>
      </c>
      <c r="T980" t="s">
        <v>1143</v>
      </c>
      <c r="U980" s="11" t="str">
        <f t="shared" si="75"/>
        <v>08:16:47 PM</v>
      </c>
      <c r="BL980" s="2" t="s">
        <v>2130</v>
      </c>
    </row>
    <row r="981" spans="1:64" x14ac:dyDescent="0.35">
      <c r="A981">
        <v>6780</v>
      </c>
      <c r="B981" t="s">
        <v>31</v>
      </c>
      <c r="C981" s="1">
        <v>45331</v>
      </c>
      <c r="D981" t="s">
        <v>9</v>
      </c>
      <c r="E981" t="s">
        <v>32</v>
      </c>
      <c r="F981">
        <v>1</v>
      </c>
      <c r="G981">
        <v>2133.9299999999998</v>
      </c>
      <c r="H981">
        <v>2133.9299999999998</v>
      </c>
      <c r="I981">
        <v>213.31</v>
      </c>
      <c r="J981">
        <v>1920.62</v>
      </c>
      <c r="K981">
        <v>83</v>
      </c>
      <c r="L981" s="11" t="s">
        <v>769</v>
      </c>
      <c r="M981">
        <f t="shared" si="76"/>
        <v>9</v>
      </c>
      <c r="N981">
        <f t="shared" si="77"/>
        <v>2</v>
      </c>
      <c r="O981">
        <f t="shared" si="78"/>
        <v>2024</v>
      </c>
      <c r="P981" s="4">
        <f t="shared" si="79"/>
        <v>45331</v>
      </c>
      <c r="Q981" t="s">
        <v>1139</v>
      </c>
      <c r="R981" t="s">
        <v>1135</v>
      </c>
      <c r="S981">
        <v>3</v>
      </c>
      <c r="T981" t="s">
        <v>1146</v>
      </c>
      <c r="U981" s="11" t="str">
        <f t="shared" si="75"/>
        <v>10:47:36 PM</v>
      </c>
      <c r="BL981" s="2" t="s">
        <v>2131</v>
      </c>
    </row>
    <row r="982" spans="1:64" x14ac:dyDescent="0.35">
      <c r="A982">
        <v>7825</v>
      </c>
      <c r="B982" t="s">
        <v>19</v>
      </c>
      <c r="C982" s="1">
        <v>45290</v>
      </c>
      <c r="D982" t="s">
        <v>16</v>
      </c>
      <c r="E982" t="s">
        <v>30</v>
      </c>
      <c r="F982">
        <v>1</v>
      </c>
      <c r="G982">
        <v>800.95</v>
      </c>
      <c r="H982">
        <v>800.95</v>
      </c>
      <c r="I982">
        <v>0</v>
      </c>
      <c r="J982">
        <v>800.95</v>
      </c>
      <c r="K982">
        <v>410</v>
      </c>
      <c r="L982" s="11" t="s">
        <v>770</v>
      </c>
      <c r="M982">
        <f t="shared" si="76"/>
        <v>30</v>
      </c>
      <c r="N982">
        <f t="shared" si="77"/>
        <v>12</v>
      </c>
      <c r="O982">
        <f t="shared" si="78"/>
        <v>2023</v>
      </c>
      <c r="P982" s="4">
        <f t="shared" si="79"/>
        <v>45290</v>
      </c>
      <c r="Q982" t="s">
        <v>1136</v>
      </c>
      <c r="R982" t="s">
        <v>1135</v>
      </c>
      <c r="S982">
        <v>5</v>
      </c>
      <c r="T982" t="s">
        <v>1143</v>
      </c>
      <c r="U982" s="11" t="str">
        <f t="shared" si="75"/>
        <v>04:24:06 PM</v>
      </c>
      <c r="BL982" s="2" t="s">
        <v>2132</v>
      </c>
    </row>
    <row r="983" spans="1:64" x14ac:dyDescent="0.35">
      <c r="A983">
        <v>2402</v>
      </c>
      <c r="B983" t="s">
        <v>19</v>
      </c>
      <c r="C983" s="1">
        <v>45551</v>
      </c>
      <c r="D983" t="s">
        <v>16</v>
      </c>
      <c r="E983" t="s">
        <v>30</v>
      </c>
      <c r="F983">
        <v>3</v>
      </c>
      <c r="G983">
        <v>1684.07</v>
      </c>
      <c r="H983">
        <v>5052.21</v>
      </c>
      <c r="I983">
        <v>149.4</v>
      </c>
      <c r="J983">
        <v>4902.8100000000004</v>
      </c>
      <c r="K983">
        <v>426</v>
      </c>
      <c r="L983" s="11" t="s">
        <v>771</v>
      </c>
      <c r="M983">
        <f t="shared" si="76"/>
        <v>16</v>
      </c>
      <c r="N983">
        <f t="shared" si="77"/>
        <v>9</v>
      </c>
      <c r="O983">
        <f t="shared" si="78"/>
        <v>2024</v>
      </c>
      <c r="P983" s="4">
        <f t="shared" si="79"/>
        <v>45551</v>
      </c>
      <c r="Q983" t="s">
        <v>1136</v>
      </c>
      <c r="R983" t="s">
        <v>1135</v>
      </c>
      <c r="S983">
        <v>5</v>
      </c>
      <c r="T983" t="s">
        <v>1148</v>
      </c>
      <c r="U983" s="11" t="str">
        <f t="shared" si="75"/>
        <v>11:02:55 PM</v>
      </c>
      <c r="BL983" s="2" t="s">
        <v>2133</v>
      </c>
    </row>
    <row r="984" spans="1:64" x14ac:dyDescent="0.35">
      <c r="A984">
        <v>6908</v>
      </c>
      <c r="B984" t="s">
        <v>15</v>
      </c>
      <c r="C984" s="1">
        <v>45197</v>
      </c>
      <c r="D984" t="s">
        <v>9</v>
      </c>
      <c r="E984" t="s">
        <v>37</v>
      </c>
      <c r="F984">
        <v>3</v>
      </c>
      <c r="G984">
        <v>1437.56</v>
      </c>
      <c r="H984">
        <v>4312.68</v>
      </c>
      <c r="I984">
        <v>431.6</v>
      </c>
      <c r="J984">
        <v>3881.08</v>
      </c>
      <c r="K984">
        <v>216</v>
      </c>
      <c r="L984" s="11" t="s">
        <v>772</v>
      </c>
      <c r="M984">
        <f t="shared" si="76"/>
        <v>28</v>
      </c>
      <c r="N984">
        <f t="shared" si="77"/>
        <v>9</v>
      </c>
      <c r="O984">
        <f t="shared" si="78"/>
        <v>2023</v>
      </c>
      <c r="P984" s="4">
        <f t="shared" si="79"/>
        <v>45197</v>
      </c>
      <c r="Q984" t="s">
        <v>1136</v>
      </c>
      <c r="R984" t="s">
        <v>1137</v>
      </c>
      <c r="S984">
        <v>4</v>
      </c>
      <c r="T984" t="s">
        <v>1149</v>
      </c>
      <c r="U984" s="11" t="str">
        <f t="shared" si="75"/>
        <v>11:07:31 AM</v>
      </c>
      <c r="BL984" s="2" t="s">
        <v>2134</v>
      </c>
    </row>
    <row r="985" spans="1:64" x14ac:dyDescent="0.35">
      <c r="A985">
        <v>9618</v>
      </c>
      <c r="B985" t="s">
        <v>25</v>
      </c>
      <c r="C985" s="1">
        <v>45567</v>
      </c>
      <c r="D985" t="s">
        <v>17</v>
      </c>
      <c r="E985" t="s">
        <v>18</v>
      </c>
      <c r="F985">
        <v>4</v>
      </c>
      <c r="G985">
        <v>1600.24</v>
      </c>
      <c r="H985">
        <v>6400.96</v>
      </c>
      <c r="I985">
        <v>196.71</v>
      </c>
      <c r="J985">
        <v>6204.25</v>
      </c>
      <c r="K985">
        <v>47</v>
      </c>
      <c r="L985" s="11" t="s">
        <v>773</v>
      </c>
      <c r="M985">
        <f t="shared" si="76"/>
        <v>2</v>
      </c>
      <c r="N985">
        <f t="shared" si="77"/>
        <v>10</v>
      </c>
      <c r="O985">
        <f t="shared" si="78"/>
        <v>2024</v>
      </c>
      <c r="P985" s="4">
        <f t="shared" si="79"/>
        <v>45567</v>
      </c>
      <c r="Q985" t="s">
        <v>1138</v>
      </c>
      <c r="R985" t="s">
        <v>1137</v>
      </c>
      <c r="S985">
        <v>4</v>
      </c>
      <c r="T985" t="s">
        <v>1149</v>
      </c>
      <c r="U985" s="11" t="str">
        <f t="shared" si="75"/>
        <v>04:12:29 AM</v>
      </c>
      <c r="BL985" s="2" t="s">
        <v>2135</v>
      </c>
    </row>
    <row r="986" spans="1:64" x14ac:dyDescent="0.35">
      <c r="A986">
        <v>9312</v>
      </c>
      <c r="B986" t="s">
        <v>15</v>
      </c>
      <c r="C986" s="1">
        <v>45755</v>
      </c>
      <c r="D986" t="s">
        <v>16</v>
      </c>
      <c r="E986" t="s">
        <v>14</v>
      </c>
      <c r="F986">
        <v>2</v>
      </c>
      <c r="G986">
        <v>2322.34</v>
      </c>
      <c r="H986">
        <v>4644.68</v>
      </c>
      <c r="I986">
        <v>696.37</v>
      </c>
      <c r="J986">
        <v>3948.31</v>
      </c>
      <c r="K986">
        <v>269</v>
      </c>
      <c r="L986" s="11" t="s">
        <v>774</v>
      </c>
      <c r="M986">
        <f t="shared" si="76"/>
        <v>8</v>
      </c>
      <c r="N986">
        <f t="shared" si="77"/>
        <v>4</v>
      </c>
      <c r="O986">
        <f t="shared" si="78"/>
        <v>2025</v>
      </c>
      <c r="P986" s="4">
        <f t="shared" si="79"/>
        <v>45755</v>
      </c>
      <c r="Q986" t="s">
        <v>1136</v>
      </c>
      <c r="R986" t="s">
        <v>1137</v>
      </c>
      <c r="S986">
        <v>3</v>
      </c>
      <c r="T986" t="s">
        <v>1144</v>
      </c>
      <c r="U986" s="11" t="str">
        <f t="shared" si="75"/>
        <v>01:32:12 PM</v>
      </c>
      <c r="BL986" s="2" t="s">
        <v>2136</v>
      </c>
    </row>
    <row r="987" spans="1:64" x14ac:dyDescent="0.35">
      <c r="A987">
        <v>9316</v>
      </c>
      <c r="B987" t="s">
        <v>15</v>
      </c>
      <c r="C987" s="1">
        <v>45575</v>
      </c>
      <c r="D987" t="s">
        <v>9</v>
      </c>
      <c r="E987" t="s">
        <v>32</v>
      </c>
      <c r="F987">
        <v>4</v>
      </c>
      <c r="G987">
        <v>805.1</v>
      </c>
      <c r="H987">
        <v>3220.4</v>
      </c>
      <c r="I987">
        <v>644.08000000000004</v>
      </c>
      <c r="J987">
        <v>2576.3200000000002</v>
      </c>
      <c r="K987">
        <v>65</v>
      </c>
      <c r="L987" s="11" t="s">
        <v>775</v>
      </c>
      <c r="M987">
        <f t="shared" si="76"/>
        <v>10</v>
      </c>
      <c r="N987">
        <f t="shared" si="77"/>
        <v>10</v>
      </c>
      <c r="O987">
        <f t="shared" si="78"/>
        <v>2024</v>
      </c>
      <c r="P987" s="4">
        <f t="shared" si="79"/>
        <v>45575</v>
      </c>
      <c r="Q987" t="s">
        <v>1139</v>
      </c>
      <c r="R987" t="s">
        <v>1135</v>
      </c>
      <c r="S987">
        <v>3</v>
      </c>
      <c r="T987" t="s">
        <v>1149</v>
      </c>
      <c r="U987" s="11" t="str">
        <f t="shared" si="75"/>
        <v>09:23:55 PM</v>
      </c>
      <c r="BL987" s="2" t="s">
        <v>2137</v>
      </c>
    </row>
    <row r="988" spans="1:64" x14ac:dyDescent="0.35">
      <c r="A988">
        <v>1333</v>
      </c>
      <c r="B988" t="s">
        <v>3</v>
      </c>
      <c r="C988" s="1">
        <v>45448</v>
      </c>
      <c r="D988" t="s">
        <v>9</v>
      </c>
      <c r="E988" t="s">
        <v>26</v>
      </c>
      <c r="F988">
        <v>5</v>
      </c>
      <c r="G988">
        <v>196.71</v>
      </c>
      <c r="H988">
        <v>983.55</v>
      </c>
      <c r="I988">
        <v>118.69</v>
      </c>
      <c r="J988">
        <v>864.86</v>
      </c>
      <c r="K988">
        <v>39</v>
      </c>
      <c r="L988" s="11" t="s">
        <v>776</v>
      </c>
      <c r="M988">
        <f t="shared" si="76"/>
        <v>5</v>
      </c>
      <c r="N988">
        <f t="shared" si="77"/>
        <v>6</v>
      </c>
      <c r="O988">
        <f t="shared" si="78"/>
        <v>2024</v>
      </c>
      <c r="P988" s="4">
        <f t="shared" si="79"/>
        <v>45448</v>
      </c>
      <c r="Q988" t="s">
        <v>1136</v>
      </c>
      <c r="R988" t="s">
        <v>1135</v>
      </c>
      <c r="S988">
        <v>1</v>
      </c>
      <c r="T988" t="s">
        <v>1146</v>
      </c>
      <c r="U988" s="11" t="str">
        <f t="shared" si="75"/>
        <v>11:57:27 AM</v>
      </c>
      <c r="BL988" s="2" t="s">
        <v>2138</v>
      </c>
    </row>
    <row r="989" spans="1:64" x14ac:dyDescent="0.35">
      <c r="A989">
        <v>8702</v>
      </c>
      <c r="B989" t="s">
        <v>13</v>
      </c>
      <c r="C989" s="1">
        <v>45178</v>
      </c>
      <c r="D989" t="s">
        <v>9</v>
      </c>
      <c r="E989" t="s">
        <v>38</v>
      </c>
      <c r="F989">
        <v>4</v>
      </c>
      <c r="G989">
        <v>1672.45</v>
      </c>
      <c r="H989">
        <v>6689.8</v>
      </c>
      <c r="I989">
        <v>1003.47</v>
      </c>
      <c r="J989">
        <v>5686.33</v>
      </c>
      <c r="K989">
        <v>291</v>
      </c>
      <c r="L989" s="11" t="s">
        <v>777</v>
      </c>
      <c r="M989">
        <f t="shared" si="76"/>
        <v>9</v>
      </c>
      <c r="N989">
        <f t="shared" si="77"/>
        <v>9</v>
      </c>
      <c r="O989">
        <f t="shared" si="78"/>
        <v>2023</v>
      </c>
      <c r="P989" s="4">
        <f t="shared" si="79"/>
        <v>45178</v>
      </c>
      <c r="Q989" t="s">
        <v>1136</v>
      </c>
      <c r="R989" t="s">
        <v>1135</v>
      </c>
      <c r="S989">
        <v>1</v>
      </c>
      <c r="T989" t="s">
        <v>1145</v>
      </c>
      <c r="U989" s="11" t="str">
        <f t="shared" si="75"/>
        <v>08:04:50 AM</v>
      </c>
      <c r="BL989" s="2" t="s">
        <v>2139</v>
      </c>
    </row>
    <row r="990" spans="1:64" x14ac:dyDescent="0.35">
      <c r="A990">
        <v>7338</v>
      </c>
      <c r="B990" t="s">
        <v>19</v>
      </c>
      <c r="C990" s="1">
        <v>45434</v>
      </c>
      <c r="D990" t="s">
        <v>17</v>
      </c>
      <c r="E990" t="s">
        <v>32</v>
      </c>
      <c r="F990">
        <v>5</v>
      </c>
      <c r="G990">
        <v>121.18</v>
      </c>
      <c r="H990">
        <v>605.9</v>
      </c>
      <c r="I990">
        <v>121.18</v>
      </c>
      <c r="J990">
        <v>484.72</v>
      </c>
      <c r="K990">
        <v>379</v>
      </c>
      <c r="L990" s="11" t="s">
        <v>778</v>
      </c>
      <c r="M990">
        <f t="shared" si="76"/>
        <v>22</v>
      </c>
      <c r="N990">
        <f t="shared" si="77"/>
        <v>5</v>
      </c>
      <c r="O990">
        <f t="shared" si="78"/>
        <v>2024</v>
      </c>
      <c r="P990" s="4">
        <f t="shared" si="79"/>
        <v>45434</v>
      </c>
      <c r="Q990" t="s">
        <v>1139</v>
      </c>
      <c r="R990" t="s">
        <v>1135</v>
      </c>
      <c r="S990">
        <v>4</v>
      </c>
      <c r="T990" t="s">
        <v>1148</v>
      </c>
      <c r="U990" s="11" t="str">
        <f t="shared" si="75"/>
        <v>06:56:05 PM</v>
      </c>
      <c r="BL990" s="2" t="s">
        <v>2140</v>
      </c>
    </row>
    <row r="991" spans="1:64" x14ac:dyDescent="0.35">
      <c r="A991">
        <v>5155</v>
      </c>
      <c r="B991" t="s">
        <v>8</v>
      </c>
      <c r="C991" s="1">
        <v>45725</v>
      </c>
      <c r="D991" t="s">
        <v>9</v>
      </c>
      <c r="E991" t="s">
        <v>29</v>
      </c>
      <c r="F991">
        <v>1</v>
      </c>
      <c r="G991">
        <v>1083.98</v>
      </c>
      <c r="H991">
        <v>1083.98</v>
      </c>
      <c r="I991">
        <v>162.68</v>
      </c>
      <c r="J991">
        <v>921.3</v>
      </c>
      <c r="K991">
        <v>360</v>
      </c>
      <c r="L991" s="11" t="s">
        <v>779</v>
      </c>
      <c r="M991">
        <f t="shared" si="76"/>
        <v>9</v>
      </c>
      <c r="N991">
        <f t="shared" si="77"/>
        <v>3</v>
      </c>
      <c r="O991">
        <f t="shared" si="78"/>
        <v>2025</v>
      </c>
      <c r="P991" s="4">
        <f t="shared" si="79"/>
        <v>45725</v>
      </c>
      <c r="Q991" t="s">
        <v>1136</v>
      </c>
      <c r="R991" t="s">
        <v>1135</v>
      </c>
      <c r="S991">
        <v>4</v>
      </c>
      <c r="T991" t="s">
        <v>1144</v>
      </c>
      <c r="U991" s="11" t="str">
        <f t="shared" si="75"/>
        <v>12:04:46 PM</v>
      </c>
      <c r="BL991" s="2" t="s">
        <v>2141</v>
      </c>
    </row>
    <row r="992" spans="1:64" x14ac:dyDescent="0.35">
      <c r="A992">
        <v>1266</v>
      </c>
      <c r="B992" t="s">
        <v>15</v>
      </c>
      <c r="C992" s="1">
        <v>45422</v>
      </c>
      <c r="D992" t="s">
        <v>16</v>
      </c>
      <c r="E992" t="s">
        <v>22</v>
      </c>
      <c r="F992">
        <v>5</v>
      </c>
      <c r="G992">
        <v>2026.86</v>
      </c>
      <c r="H992">
        <v>10134.299999999999</v>
      </c>
      <c r="I992">
        <v>2026.86</v>
      </c>
      <c r="J992">
        <v>8107.44</v>
      </c>
      <c r="K992">
        <v>174</v>
      </c>
      <c r="L992" s="11" t="s">
        <v>780</v>
      </c>
      <c r="M992">
        <f t="shared" si="76"/>
        <v>10</v>
      </c>
      <c r="N992">
        <f t="shared" si="77"/>
        <v>5</v>
      </c>
      <c r="O992">
        <f t="shared" si="78"/>
        <v>2024</v>
      </c>
      <c r="P992" s="4">
        <f t="shared" si="79"/>
        <v>45422</v>
      </c>
      <c r="Q992" t="s">
        <v>1139</v>
      </c>
      <c r="R992" t="s">
        <v>1137</v>
      </c>
      <c r="S992">
        <v>1</v>
      </c>
      <c r="T992" t="s">
        <v>1147</v>
      </c>
      <c r="U992" s="11" t="str">
        <f t="shared" si="75"/>
        <v>03:10:42 PM</v>
      </c>
      <c r="BL992" s="2" t="s">
        <v>2142</v>
      </c>
    </row>
    <row r="993" spans="1:64" x14ac:dyDescent="0.35">
      <c r="A993">
        <v>2106</v>
      </c>
      <c r="B993" t="s">
        <v>8</v>
      </c>
      <c r="C993" s="1">
        <v>45412</v>
      </c>
      <c r="D993" t="s">
        <v>4</v>
      </c>
      <c r="E993" t="s">
        <v>2</v>
      </c>
      <c r="F993">
        <v>1</v>
      </c>
      <c r="G993">
        <v>1126.31</v>
      </c>
      <c r="H993">
        <v>1126.31</v>
      </c>
      <c r="I993">
        <v>112.88</v>
      </c>
      <c r="J993">
        <v>1013.43</v>
      </c>
      <c r="K993">
        <v>9</v>
      </c>
      <c r="L993" s="11" t="s">
        <v>781</v>
      </c>
      <c r="M993">
        <f t="shared" si="76"/>
        <v>30</v>
      </c>
      <c r="N993">
        <f t="shared" si="77"/>
        <v>4</v>
      </c>
      <c r="O993">
        <f t="shared" si="78"/>
        <v>2024</v>
      </c>
      <c r="P993" s="4">
        <f t="shared" si="79"/>
        <v>45412</v>
      </c>
      <c r="Q993" t="s">
        <v>1136</v>
      </c>
      <c r="R993" t="s">
        <v>1137</v>
      </c>
      <c r="S993">
        <v>1</v>
      </c>
      <c r="T993" t="s">
        <v>1146</v>
      </c>
      <c r="U993" s="11" t="str">
        <f t="shared" si="75"/>
        <v>04:50:13 AM</v>
      </c>
      <c r="BL993" s="2" t="s">
        <v>2143</v>
      </c>
    </row>
    <row r="994" spans="1:64" x14ac:dyDescent="0.35">
      <c r="A994">
        <v>4950</v>
      </c>
      <c r="B994" t="s">
        <v>0</v>
      </c>
      <c r="C994" s="1">
        <v>45714</v>
      </c>
      <c r="D994" t="s">
        <v>1</v>
      </c>
      <c r="E994" t="s">
        <v>18</v>
      </c>
      <c r="F994">
        <v>4</v>
      </c>
      <c r="G994">
        <v>1189.3900000000001</v>
      </c>
      <c r="H994">
        <v>4757.5600000000004</v>
      </c>
      <c r="I994">
        <v>713.8</v>
      </c>
      <c r="J994">
        <v>4043.76</v>
      </c>
      <c r="K994">
        <v>207</v>
      </c>
      <c r="L994" s="11" t="s">
        <v>782</v>
      </c>
      <c r="M994">
        <f t="shared" si="76"/>
        <v>26</v>
      </c>
      <c r="N994">
        <f t="shared" si="77"/>
        <v>2</v>
      </c>
      <c r="O994">
        <f t="shared" si="78"/>
        <v>2025</v>
      </c>
      <c r="P994" s="4">
        <f t="shared" si="79"/>
        <v>45714</v>
      </c>
      <c r="Q994" t="s">
        <v>1139</v>
      </c>
      <c r="R994" t="s">
        <v>1135</v>
      </c>
      <c r="S994">
        <v>2</v>
      </c>
      <c r="T994" t="s">
        <v>1145</v>
      </c>
      <c r="U994" s="11" t="str">
        <f t="shared" si="75"/>
        <v>11:07:26 AM</v>
      </c>
      <c r="BL994" s="2" t="s">
        <v>2144</v>
      </c>
    </row>
    <row r="995" spans="1:64" x14ac:dyDescent="0.35">
      <c r="A995">
        <v>2698</v>
      </c>
      <c r="B995" t="s">
        <v>25</v>
      </c>
      <c r="C995" s="1">
        <v>45744</v>
      </c>
      <c r="D995" t="s">
        <v>16</v>
      </c>
      <c r="E995" t="s">
        <v>21</v>
      </c>
      <c r="F995">
        <v>3</v>
      </c>
      <c r="G995">
        <v>292.99</v>
      </c>
      <c r="H995">
        <v>878.97</v>
      </c>
      <c r="I995">
        <v>175.96</v>
      </c>
      <c r="J995">
        <v>703.01</v>
      </c>
      <c r="K995">
        <v>69</v>
      </c>
      <c r="L995" s="11" t="s">
        <v>783</v>
      </c>
      <c r="M995">
        <f t="shared" si="76"/>
        <v>28</v>
      </c>
      <c r="N995">
        <f t="shared" si="77"/>
        <v>3</v>
      </c>
      <c r="O995">
        <f t="shared" si="78"/>
        <v>2025</v>
      </c>
      <c r="P995" s="4">
        <f t="shared" si="79"/>
        <v>45744</v>
      </c>
      <c r="Q995" t="s">
        <v>1136</v>
      </c>
      <c r="R995" t="s">
        <v>1135</v>
      </c>
      <c r="S995">
        <v>2</v>
      </c>
      <c r="T995" t="s">
        <v>1141</v>
      </c>
      <c r="U995" s="11" t="str">
        <f t="shared" si="75"/>
        <v>12:04:51 AM</v>
      </c>
      <c r="BL995" s="2" t="s">
        <v>2145</v>
      </c>
    </row>
    <row r="996" spans="1:64" x14ac:dyDescent="0.35">
      <c r="A996">
        <v>6447</v>
      </c>
      <c r="B996" t="s">
        <v>0</v>
      </c>
      <c r="C996" s="1">
        <v>45248</v>
      </c>
      <c r="D996" t="s">
        <v>1</v>
      </c>
      <c r="E996" t="s">
        <v>33</v>
      </c>
      <c r="F996">
        <v>1</v>
      </c>
      <c r="G996">
        <v>585.98</v>
      </c>
      <c r="H996">
        <v>585.98</v>
      </c>
      <c r="I996">
        <v>0</v>
      </c>
      <c r="J996">
        <v>585.98</v>
      </c>
      <c r="K996">
        <v>332</v>
      </c>
      <c r="L996" s="11" t="s">
        <v>784</v>
      </c>
      <c r="M996">
        <f t="shared" si="76"/>
        <v>18</v>
      </c>
      <c r="N996">
        <f t="shared" si="77"/>
        <v>11</v>
      </c>
      <c r="O996">
        <f t="shared" si="78"/>
        <v>2023</v>
      </c>
      <c r="P996" s="4">
        <f t="shared" si="79"/>
        <v>45248</v>
      </c>
      <c r="Q996" t="s">
        <v>1136</v>
      </c>
      <c r="R996" t="s">
        <v>1135</v>
      </c>
      <c r="S996">
        <v>1</v>
      </c>
      <c r="T996" t="s">
        <v>1143</v>
      </c>
      <c r="U996" s="11" t="str">
        <f t="shared" si="75"/>
        <v>12:49:23 AM</v>
      </c>
      <c r="BL996" s="2" t="s">
        <v>2146</v>
      </c>
    </row>
    <row r="997" spans="1:64" x14ac:dyDescent="0.35">
      <c r="A997">
        <v>1726</v>
      </c>
      <c r="B997" t="s">
        <v>31</v>
      </c>
      <c r="C997" s="1">
        <v>45418</v>
      </c>
      <c r="D997" t="s">
        <v>9</v>
      </c>
      <c r="E997" t="s">
        <v>7</v>
      </c>
      <c r="F997">
        <v>2</v>
      </c>
      <c r="G997">
        <v>289.67</v>
      </c>
      <c r="H997">
        <v>579.34</v>
      </c>
      <c r="I997">
        <v>116.2</v>
      </c>
      <c r="J997">
        <v>463.14</v>
      </c>
      <c r="K997">
        <v>394</v>
      </c>
      <c r="L997" s="11" t="s">
        <v>785</v>
      </c>
      <c r="M997">
        <f t="shared" si="76"/>
        <v>6</v>
      </c>
      <c r="N997">
        <f t="shared" si="77"/>
        <v>5</v>
      </c>
      <c r="O997">
        <f t="shared" si="78"/>
        <v>2024</v>
      </c>
      <c r="P997" s="4">
        <f t="shared" si="79"/>
        <v>45418</v>
      </c>
      <c r="Q997" t="s">
        <v>1138</v>
      </c>
      <c r="R997" t="s">
        <v>1135</v>
      </c>
      <c r="S997">
        <v>2</v>
      </c>
      <c r="T997" t="s">
        <v>1148</v>
      </c>
      <c r="U997" s="11" t="str">
        <f t="shared" si="75"/>
        <v>07:23:12 PM</v>
      </c>
      <c r="BL997" s="2" t="s">
        <v>2147</v>
      </c>
    </row>
    <row r="998" spans="1:64" x14ac:dyDescent="0.35">
      <c r="A998">
        <v>9945</v>
      </c>
      <c r="B998" t="s">
        <v>15</v>
      </c>
      <c r="C998" s="1">
        <v>45407</v>
      </c>
      <c r="D998" t="s">
        <v>9</v>
      </c>
      <c r="E998" t="s">
        <v>28</v>
      </c>
      <c r="F998">
        <v>1</v>
      </c>
      <c r="G998">
        <v>482.23</v>
      </c>
      <c r="H998">
        <v>482.23</v>
      </c>
      <c r="I998">
        <v>48.14</v>
      </c>
      <c r="J998">
        <v>434.09</v>
      </c>
      <c r="K998">
        <v>78</v>
      </c>
      <c r="L998" s="11" t="s">
        <v>786</v>
      </c>
      <c r="M998">
        <f t="shared" si="76"/>
        <v>25</v>
      </c>
      <c r="N998">
        <f t="shared" si="77"/>
        <v>4</v>
      </c>
      <c r="O998">
        <f t="shared" si="78"/>
        <v>2024</v>
      </c>
      <c r="P998" s="4">
        <f t="shared" si="79"/>
        <v>45407</v>
      </c>
      <c r="Q998" t="s">
        <v>1138</v>
      </c>
      <c r="R998" t="s">
        <v>1137</v>
      </c>
      <c r="S998">
        <v>5</v>
      </c>
      <c r="T998" t="s">
        <v>1150</v>
      </c>
      <c r="U998" s="11" t="str">
        <f t="shared" si="75"/>
        <v>12:27:20 AM</v>
      </c>
      <c r="BL998" s="2" t="s">
        <v>2148</v>
      </c>
    </row>
    <row r="999" spans="1:64" x14ac:dyDescent="0.35">
      <c r="A999">
        <v>3868</v>
      </c>
      <c r="B999" t="s">
        <v>15</v>
      </c>
      <c r="C999" s="1">
        <v>45789</v>
      </c>
      <c r="D999" t="s">
        <v>1</v>
      </c>
      <c r="E999" t="s">
        <v>22</v>
      </c>
      <c r="F999">
        <v>5</v>
      </c>
      <c r="G999">
        <v>666.49</v>
      </c>
      <c r="H999">
        <v>3332.45</v>
      </c>
      <c r="I999">
        <v>194.22</v>
      </c>
      <c r="J999">
        <v>3138.23</v>
      </c>
      <c r="K999">
        <v>150</v>
      </c>
      <c r="L999" s="11" t="s">
        <v>787</v>
      </c>
      <c r="M999">
        <f t="shared" si="76"/>
        <v>12</v>
      </c>
      <c r="N999">
        <f t="shared" si="77"/>
        <v>5</v>
      </c>
      <c r="O999">
        <f t="shared" si="78"/>
        <v>2025</v>
      </c>
      <c r="P999" s="4">
        <f t="shared" si="79"/>
        <v>45789</v>
      </c>
      <c r="Q999" t="s">
        <v>1136</v>
      </c>
      <c r="R999" t="s">
        <v>1135</v>
      </c>
      <c r="S999">
        <v>4</v>
      </c>
      <c r="T999" t="s">
        <v>1146</v>
      </c>
      <c r="U999" s="11" t="str">
        <f t="shared" si="75"/>
        <v>01:08:35 AM</v>
      </c>
      <c r="BL999" s="2" t="s">
        <v>2149</v>
      </c>
    </row>
    <row r="1000" spans="1:64" x14ac:dyDescent="0.35">
      <c r="A1000">
        <v>8612</v>
      </c>
      <c r="B1000" t="s">
        <v>0</v>
      </c>
      <c r="C1000" s="1">
        <v>45685</v>
      </c>
      <c r="D1000" t="s">
        <v>16</v>
      </c>
      <c r="E1000" t="s">
        <v>5</v>
      </c>
      <c r="F1000">
        <v>4</v>
      </c>
      <c r="G1000">
        <v>2124.8000000000002</v>
      </c>
      <c r="H1000">
        <v>8499.2000000000007</v>
      </c>
      <c r="I1000">
        <v>244.85</v>
      </c>
      <c r="J1000">
        <v>8254.35</v>
      </c>
      <c r="K1000">
        <v>377</v>
      </c>
      <c r="L1000" s="11" t="s">
        <v>788</v>
      </c>
      <c r="M1000">
        <f t="shared" si="76"/>
        <v>28</v>
      </c>
      <c r="N1000">
        <f t="shared" si="77"/>
        <v>1</v>
      </c>
      <c r="O1000">
        <f t="shared" si="78"/>
        <v>2025</v>
      </c>
      <c r="P1000" s="4">
        <f t="shared" si="79"/>
        <v>45685</v>
      </c>
      <c r="Q1000" t="s">
        <v>1136</v>
      </c>
      <c r="R1000" t="s">
        <v>1135</v>
      </c>
      <c r="S1000">
        <v>4</v>
      </c>
      <c r="T1000" t="s">
        <v>1143</v>
      </c>
      <c r="U1000" s="11" t="str">
        <f t="shared" si="75"/>
        <v>02:54:32 PM</v>
      </c>
      <c r="BL1000" s="2" t="s">
        <v>2150</v>
      </c>
    </row>
    <row r="1001" spans="1:64" x14ac:dyDescent="0.35">
      <c r="A1001">
        <v>8840</v>
      </c>
      <c r="B1001" t="s">
        <v>15</v>
      </c>
      <c r="C1001" s="1">
        <v>45635</v>
      </c>
      <c r="D1001" t="s">
        <v>27</v>
      </c>
      <c r="E1001" t="s">
        <v>37</v>
      </c>
      <c r="F1001">
        <v>2</v>
      </c>
      <c r="G1001">
        <v>1801.1</v>
      </c>
      <c r="H1001">
        <v>3602.2</v>
      </c>
      <c r="I1001">
        <v>360.22</v>
      </c>
      <c r="J1001">
        <v>3241.98</v>
      </c>
      <c r="K1001">
        <v>270</v>
      </c>
      <c r="L1001" s="11" t="s">
        <v>789</v>
      </c>
      <c r="M1001">
        <f t="shared" si="76"/>
        <v>9</v>
      </c>
      <c r="N1001">
        <f t="shared" si="77"/>
        <v>12</v>
      </c>
      <c r="O1001">
        <f t="shared" si="78"/>
        <v>2024</v>
      </c>
      <c r="P1001" s="4">
        <f t="shared" si="79"/>
        <v>45635</v>
      </c>
      <c r="Q1001" t="s">
        <v>1134</v>
      </c>
      <c r="R1001" t="s">
        <v>1135</v>
      </c>
      <c r="S1001">
        <v>1</v>
      </c>
      <c r="T1001" t="s">
        <v>1142</v>
      </c>
      <c r="U1001" s="11" t="str">
        <f t="shared" si="75"/>
        <v>01:58:56 PM</v>
      </c>
      <c r="BL1001" s="2" t="s">
        <v>2151</v>
      </c>
    </row>
    <row r="1002" spans="1:64" x14ac:dyDescent="0.35">
      <c r="A1002">
        <v>3986</v>
      </c>
      <c r="B1002" t="s">
        <v>25</v>
      </c>
      <c r="C1002" s="1">
        <v>45775</v>
      </c>
      <c r="D1002" t="s">
        <v>27</v>
      </c>
      <c r="E1002" t="s">
        <v>32</v>
      </c>
      <c r="F1002">
        <v>3</v>
      </c>
      <c r="G1002">
        <v>2231.04</v>
      </c>
      <c r="H1002">
        <v>6693.12</v>
      </c>
      <c r="I1002">
        <v>247.34</v>
      </c>
      <c r="J1002">
        <v>6445.78</v>
      </c>
      <c r="K1002">
        <v>213</v>
      </c>
      <c r="L1002" s="11" t="s">
        <v>790</v>
      </c>
      <c r="M1002">
        <f t="shared" si="76"/>
        <v>28</v>
      </c>
      <c r="N1002">
        <f t="shared" si="77"/>
        <v>4</v>
      </c>
      <c r="O1002">
        <f t="shared" si="78"/>
        <v>2025</v>
      </c>
      <c r="P1002" s="4">
        <f t="shared" si="79"/>
        <v>45775</v>
      </c>
      <c r="Q1002" t="s">
        <v>1139</v>
      </c>
      <c r="R1002" t="s">
        <v>1135</v>
      </c>
      <c r="S1002">
        <v>3</v>
      </c>
      <c r="T1002" t="s">
        <v>1143</v>
      </c>
      <c r="U1002" s="11" t="str">
        <f t="shared" ref="U1002:U1065" si="80">TEXT(L1002,"hh:mm:ss AM/PM")</f>
        <v>04:20:52 PM</v>
      </c>
      <c r="BL1002" s="2" t="s">
        <v>2152</v>
      </c>
    </row>
    <row r="1003" spans="1:64" x14ac:dyDescent="0.35">
      <c r="A1003">
        <v>3209</v>
      </c>
      <c r="B1003" t="s">
        <v>25</v>
      </c>
      <c r="C1003" s="1">
        <v>45194</v>
      </c>
      <c r="D1003" t="s">
        <v>34</v>
      </c>
      <c r="E1003" t="s">
        <v>5</v>
      </c>
      <c r="F1003">
        <v>1</v>
      </c>
      <c r="G1003">
        <v>470.61</v>
      </c>
      <c r="H1003">
        <v>470.61</v>
      </c>
      <c r="I1003">
        <v>47.31</v>
      </c>
      <c r="J1003">
        <v>423.3</v>
      </c>
      <c r="K1003">
        <v>371</v>
      </c>
      <c r="L1003" s="11" t="s">
        <v>791</v>
      </c>
      <c r="M1003">
        <f t="shared" si="76"/>
        <v>25</v>
      </c>
      <c r="N1003">
        <f t="shared" si="77"/>
        <v>9</v>
      </c>
      <c r="O1003">
        <f t="shared" si="78"/>
        <v>2023</v>
      </c>
      <c r="P1003" s="4">
        <f t="shared" si="79"/>
        <v>45194</v>
      </c>
      <c r="Q1003" t="s">
        <v>1134</v>
      </c>
      <c r="R1003" t="s">
        <v>1137</v>
      </c>
      <c r="S1003">
        <v>1</v>
      </c>
      <c r="T1003" t="s">
        <v>1143</v>
      </c>
      <c r="U1003" s="11" t="str">
        <f t="shared" si="80"/>
        <v>07:50:51 AM</v>
      </c>
      <c r="BL1003" s="2" t="s">
        <v>2153</v>
      </c>
    </row>
    <row r="1004" spans="1:64" x14ac:dyDescent="0.35">
      <c r="A1004">
        <v>8498</v>
      </c>
      <c r="B1004" t="s">
        <v>25</v>
      </c>
      <c r="C1004" s="1">
        <v>45173</v>
      </c>
      <c r="D1004" t="s">
        <v>34</v>
      </c>
      <c r="E1004" t="s">
        <v>14</v>
      </c>
      <c r="F1004">
        <v>5</v>
      </c>
      <c r="G1004">
        <v>610.88</v>
      </c>
      <c r="H1004">
        <v>3054.4</v>
      </c>
      <c r="I1004">
        <v>366.03</v>
      </c>
      <c r="J1004">
        <v>2688.37</v>
      </c>
      <c r="K1004">
        <v>465</v>
      </c>
      <c r="L1004" s="11" t="s">
        <v>792</v>
      </c>
      <c r="M1004">
        <f t="shared" si="76"/>
        <v>4</v>
      </c>
      <c r="N1004">
        <f t="shared" si="77"/>
        <v>9</v>
      </c>
      <c r="O1004">
        <f t="shared" si="78"/>
        <v>2023</v>
      </c>
      <c r="P1004" s="4">
        <f t="shared" si="79"/>
        <v>45173</v>
      </c>
      <c r="Q1004" t="s">
        <v>1138</v>
      </c>
      <c r="R1004" t="s">
        <v>1135</v>
      </c>
      <c r="S1004">
        <v>2</v>
      </c>
      <c r="T1004" t="s">
        <v>1147</v>
      </c>
      <c r="U1004" s="11" t="str">
        <f t="shared" si="80"/>
        <v>04:26:09 AM</v>
      </c>
      <c r="BL1004" s="2" t="s">
        <v>2154</v>
      </c>
    </row>
    <row r="1005" spans="1:64" x14ac:dyDescent="0.35">
      <c r="A1005">
        <v>5807</v>
      </c>
      <c r="B1005" t="s">
        <v>15</v>
      </c>
      <c r="C1005" s="1">
        <v>45301</v>
      </c>
      <c r="D1005" t="s">
        <v>23</v>
      </c>
      <c r="E1005" t="s">
        <v>26</v>
      </c>
      <c r="F1005">
        <v>4</v>
      </c>
      <c r="G1005">
        <v>2392.06</v>
      </c>
      <c r="H1005">
        <v>9568.24</v>
      </c>
      <c r="I1005">
        <v>956.99</v>
      </c>
      <c r="J1005">
        <v>8611.25</v>
      </c>
      <c r="K1005">
        <v>426</v>
      </c>
      <c r="L1005" s="11" t="s">
        <v>793</v>
      </c>
      <c r="M1005">
        <f t="shared" si="76"/>
        <v>10</v>
      </c>
      <c r="N1005">
        <f t="shared" si="77"/>
        <v>1</v>
      </c>
      <c r="O1005">
        <f t="shared" si="78"/>
        <v>2024</v>
      </c>
      <c r="P1005" s="4">
        <f t="shared" si="79"/>
        <v>45301</v>
      </c>
      <c r="Q1005" t="s">
        <v>1138</v>
      </c>
      <c r="R1005" t="s">
        <v>1135</v>
      </c>
      <c r="S1005">
        <v>3</v>
      </c>
      <c r="T1005" t="s">
        <v>1147</v>
      </c>
      <c r="U1005" s="11" t="str">
        <f t="shared" si="80"/>
        <v>02:46:07 AM</v>
      </c>
      <c r="BL1005" s="2" t="s">
        <v>2155</v>
      </c>
    </row>
    <row r="1006" spans="1:64" x14ac:dyDescent="0.35">
      <c r="A1006">
        <v>1717</v>
      </c>
      <c r="B1006" t="s">
        <v>8</v>
      </c>
      <c r="C1006" s="1">
        <v>45759</v>
      </c>
      <c r="D1006" t="s">
        <v>17</v>
      </c>
      <c r="E1006" t="s">
        <v>33</v>
      </c>
      <c r="F1006">
        <v>3</v>
      </c>
      <c r="G1006">
        <v>1744.66</v>
      </c>
      <c r="H1006">
        <v>5233.9799999999996</v>
      </c>
      <c r="I1006">
        <v>1046.6300000000001</v>
      </c>
      <c r="J1006">
        <v>4187.3500000000004</v>
      </c>
      <c r="K1006">
        <v>44</v>
      </c>
      <c r="L1006" s="11" t="s">
        <v>794</v>
      </c>
      <c r="M1006">
        <f t="shared" si="76"/>
        <v>12</v>
      </c>
      <c r="N1006">
        <f t="shared" si="77"/>
        <v>4</v>
      </c>
      <c r="O1006">
        <f t="shared" si="78"/>
        <v>2025</v>
      </c>
      <c r="P1006" s="4">
        <f t="shared" si="79"/>
        <v>45759</v>
      </c>
      <c r="Q1006" t="s">
        <v>1138</v>
      </c>
      <c r="R1006" t="s">
        <v>1137</v>
      </c>
      <c r="S1006">
        <v>2</v>
      </c>
      <c r="T1006" t="s">
        <v>1149</v>
      </c>
      <c r="U1006" s="11" t="str">
        <f t="shared" si="80"/>
        <v>03:32:08 PM</v>
      </c>
      <c r="BL1006" s="2" t="s">
        <v>2156</v>
      </c>
    </row>
    <row r="1007" spans="1:64" x14ac:dyDescent="0.35">
      <c r="A1007">
        <v>4268</v>
      </c>
      <c r="B1007" t="s">
        <v>8</v>
      </c>
      <c r="C1007" s="1">
        <v>45833</v>
      </c>
      <c r="D1007" t="s">
        <v>6</v>
      </c>
      <c r="E1007" t="s">
        <v>18</v>
      </c>
      <c r="F1007">
        <v>5</v>
      </c>
      <c r="G1007">
        <v>1266.58</v>
      </c>
      <c r="H1007">
        <v>6332.9</v>
      </c>
      <c r="I1007">
        <v>633.29</v>
      </c>
      <c r="J1007">
        <v>5699.61</v>
      </c>
      <c r="K1007">
        <v>406</v>
      </c>
      <c r="L1007" s="11" t="s">
        <v>795</v>
      </c>
      <c r="M1007">
        <f t="shared" si="76"/>
        <v>25</v>
      </c>
      <c r="N1007">
        <f t="shared" si="77"/>
        <v>6</v>
      </c>
      <c r="O1007">
        <f t="shared" si="78"/>
        <v>2025</v>
      </c>
      <c r="P1007" s="4">
        <f t="shared" si="79"/>
        <v>45833</v>
      </c>
      <c r="Q1007" t="s">
        <v>1138</v>
      </c>
      <c r="R1007" t="s">
        <v>1137</v>
      </c>
      <c r="S1007">
        <v>5</v>
      </c>
      <c r="T1007" t="s">
        <v>1145</v>
      </c>
      <c r="U1007" s="11" t="str">
        <f t="shared" si="80"/>
        <v>09:38:49 AM</v>
      </c>
      <c r="BL1007" s="2" t="s">
        <v>2157</v>
      </c>
    </row>
    <row r="1008" spans="1:64" x14ac:dyDescent="0.35">
      <c r="A1008">
        <v>1686</v>
      </c>
      <c r="B1008" t="s">
        <v>19</v>
      </c>
      <c r="C1008" s="1">
        <v>45390</v>
      </c>
      <c r="D1008" t="s">
        <v>6</v>
      </c>
      <c r="E1008" t="s">
        <v>33</v>
      </c>
      <c r="F1008">
        <v>5</v>
      </c>
      <c r="G1008">
        <v>195.05</v>
      </c>
      <c r="H1008">
        <v>975.25</v>
      </c>
      <c r="I1008">
        <v>146.08000000000001</v>
      </c>
      <c r="J1008">
        <v>829.17</v>
      </c>
      <c r="K1008">
        <v>9</v>
      </c>
      <c r="L1008" s="11" t="s">
        <v>796</v>
      </c>
      <c r="M1008">
        <f t="shared" si="76"/>
        <v>8</v>
      </c>
      <c r="N1008">
        <f t="shared" si="77"/>
        <v>4</v>
      </c>
      <c r="O1008">
        <f t="shared" si="78"/>
        <v>2024</v>
      </c>
      <c r="P1008" s="4">
        <f t="shared" si="79"/>
        <v>45390</v>
      </c>
      <c r="Q1008" t="s">
        <v>1136</v>
      </c>
      <c r="R1008" t="s">
        <v>1137</v>
      </c>
      <c r="S1008">
        <v>2</v>
      </c>
      <c r="T1008" t="s">
        <v>1149</v>
      </c>
      <c r="U1008" s="11" t="str">
        <f t="shared" si="80"/>
        <v>10:54:21 PM</v>
      </c>
      <c r="BL1008" s="2" t="s">
        <v>2158</v>
      </c>
    </row>
    <row r="1009" spans="1:64" x14ac:dyDescent="0.35">
      <c r="A1009">
        <v>6080</v>
      </c>
      <c r="B1009" t="s">
        <v>25</v>
      </c>
      <c r="C1009" s="1">
        <v>45545</v>
      </c>
      <c r="D1009" t="s">
        <v>16</v>
      </c>
      <c r="E1009" t="s">
        <v>18</v>
      </c>
      <c r="F1009">
        <v>2</v>
      </c>
      <c r="G1009">
        <v>2075</v>
      </c>
      <c r="H1009">
        <v>4150</v>
      </c>
      <c r="I1009">
        <v>195.05</v>
      </c>
      <c r="J1009">
        <v>3954.95</v>
      </c>
      <c r="K1009">
        <v>457</v>
      </c>
      <c r="L1009" s="11" t="s">
        <v>797</v>
      </c>
      <c r="M1009">
        <f t="shared" si="76"/>
        <v>10</v>
      </c>
      <c r="N1009">
        <f t="shared" si="77"/>
        <v>9</v>
      </c>
      <c r="O1009">
        <f t="shared" si="78"/>
        <v>2024</v>
      </c>
      <c r="P1009" s="4">
        <f t="shared" si="79"/>
        <v>45545</v>
      </c>
      <c r="Q1009" t="s">
        <v>1138</v>
      </c>
      <c r="R1009" t="s">
        <v>1135</v>
      </c>
      <c r="S1009">
        <v>5</v>
      </c>
      <c r="T1009" t="s">
        <v>1146</v>
      </c>
      <c r="U1009" s="11" t="str">
        <f t="shared" si="80"/>
        <v>10:52:55 PM</v>
      </c>
      <c r="BL1009" s="2" t="s">
        <v>2159</v>
      </c>
    </row>
    <row r="1010" spans="1:64" x14ac:dyDescent="0.35">
      <c r="A1010">
        <v>7524</v>
      </c>
      <c r="B1010" t="s">
        <v>0</v>
      </c>
      <c r="C1010" s="1">
        <v>45778</v>
      </c>
      <c r="D1010" t="s">
        <v>17</v>
      </c>
      <c r="E1010" t="s">
        <v>14</v>
      </c>
      <c r="F1010">
        <v>1</v>
      </c>
      <c r="G1010">
        <v>1435.07</v>
      </c>
      <c r="H1010">
        <v>1435.07</v>
      </c>
      <c r="I1010">
        <v>214.97</v>
      </c>
      <c r="J1010">
        <v>1220.0999999999999</v>
      </c>
      <c r="K1010">
        <v>249</v>
      </c>
      <c r="L1010" s="11" t="s">
        <v>798</v>
      </c>
      <c r="M1010">
        <f t="shared" si="76"/>
        <v>1</v>
      </c>
      <c r="N1010">
        <f t="shared" si="77"/>
        <v>5</v>
      </c>
      <c r="O1010">
        <f t="shared" si="78"/>
        <v>2025</v>
      </c>
      <c r="P1010" s="4">
        <f t="shared" si="79"/>
        <v>45778</v>
      </c>
      <c r="Q1010" t="s">
        <v>1136</v>
      </c>
      <c r="R1010" t="s">
        <v>1135</v>
      </c>
      <c r="S1010">
        <v>5</v>
      </c>
      <c r="T1010" t="s">
        <v>1149</v>
      </c>
      <c r="U1010" s="11" t="str">
        <f t="shared" si="80"/>
        <v>03:43:01 AM</v>
      </c>
      <c r="BL1010" s="2" t="s">
        <v>2160</v>
      </c>
    </row>
    <row r="1011" spans="1:64" x14ac:dyDescent="0.35">
      <c r="A1011">
        <v>9897</v>
      </c>
      <c r="B1011" t="s">
        <v>25</v>
      </c>
      <c r="C1011" s="1">
        <v>45512</v>
      </c>
      <c r="D1011" t="s">
        <v>1</v>
      </c>
      <c r="E1011" t="s">
        <v>7</v>
      </c>
      <c r="F1011">
        <v>3</v>
      </c>
      <c r="G1011">
        <v>2239.34</v>
      </c>
      <c r="H1011">
        <v>6718.02</v>
      </c>
      <c r="I1011">
        <v>0</v>
      </c>
      <c r="J1011">
        <v>6718.02</v>
      </c>
      <c r="K1011">
        <v>436</v>
      </c>
      <c r="L1011" s="11" t="s">
        <v>799</v>
      </c>
      <c r="M1011">
        <f t="shared" si="76"/>
        <v>8</v>
      </c>
      <c r="N1011">
        <f t="shared" si="77"/>
        <v>8</v>
      </c>
      <c r="O1011">
        <f t="shared" si="78"/>
        <v>2024</v>
      </c>
      <c r="P1011" s="4">
        <f t="shared" si="79"/>
        <v>45512</v>
      </c>
      <c r="Q1011" t="s">
        <v>1136</v>
      </c>
      <c r="R1011" t="s">
        <v>1137</v>
      </c>
      <c r="S1011">
        <v>2</v>
      </c>
      <c r="T1011" t="s">
        <v>1150</v>
      </c>
      <c r="U1011" s="11" t="str">
        <f t="shared" si="80"/>
        <v>11:47:44 AM</v>
      </c>
      <c r="BL1011" s="2" t="s">
        <v>2161</v>
      </c>
    </row>
    <row r="1012" spans="1:64" x14ac:dyDescent="0.35">
      <c r="A1012">
        <v>5150</v>
      </c>
      <c r="B1012" t="s">
        <v>20</v>
      </c>
      <c r="C1012" s="1">
        <v>45173</v>
      </c>
      <c r="D1012" t="s">
        <v>34</v>
      </c>
      <c r="E1012" t="s">
        <v>22</v>
      </c>
      <c r="F1012">
        <v>1</v>
      </c>
      <c r="G1012">
        <v>2428.58</v>
      </c>
      <c r="H1012">
        <v>2428.58</v>
      </c>
      <c r="I1012">
        <v>97.11</v>
      </c>
      <c r="J1012">
        <v>2331.4699999999998</v>
      </c>
      <c r="K1012">
        <v>400</v>
      </c>
      <c r="L1012" s="11" t="s">
        <v>800</v>
      </c>
      <c r="M1012">
        <f t="shared" si="76"/>
        <v>4</v>
      </c>
      <c r="N1012">
        <f t="shared" si="77"/>
        <v>9</v>
      </c>
      <c r="O1012">
        <f t="shared" si="78"/>
        <v>2023</v>
      </c>
      <c r="P1012" s="4">
        <f t="shared" si="79"/>
        <v>45173</v>
      </c>
      <c r="Q1012" t="s">
        <v>1138</v>
      </c>
      <c r="R1012" t="s">
        <v>1137</v>
      </c>
      <c r="S1012">
        <v>2</v>
      </c>
      <c r="T1012" t="s">
        <v>1150</v>
      </c>
      <c r="U1012" s="11" t="str">
        <f t="shared" si="80"/>
        <v>07:45:39 AM</v>
      </c>
      <c r="BL1012" s="2" t="s">
        <v>2162</v>
      </c>
    </row>
    <row r="1013" spans="1:64" x14ac:dyDescent="0.35">
      <c r="A1013">
        <v>4131</v>
      </c>
      <c r="B1013" t="s">
        <v>0</v>
      </c>
      <c r="C1013" s="1">
        <v>45367</v>
      </c>
      <c r="D1013" t="s">
        <v>23</v>
      </c>
      <c r="E1013" t="s">
        <v>38</v>
      </c>
      <c r="F1013">
        <v>2</v>
      </c>
      <c r="G1013">
        <v>2275.0300000000002</v>
      </c>
      <c r="H1013">
        <v>4550.0600000000004</v>
      </c>
      <c r="I1013">
        <v>0</v>
      </c>
      <c r="J1013">
        <v>4550.0600000000004</v>
      </c>
      <c r="K1013">
        <v>80</v>
      </c>
      <c r="L1013" s="11" t="s">
        <v>801</v>
      </c>
      <c r="M1013">
        <f t="shared" si="76"/>
        <v>16</v>
      </c>
      <c r="N1013">
        <f t="shared" si="77"/>
        <v>3</v>
      </c>
      <c r="O1013">
        <f t="shared" si="78"/>
        <v>2024</v>
      </c>
      <c r="P1013" s="4">
        <f t="shared" si="79"/>
        <v>45367</v>
      </c>
      <c r="Q1013" t="s">
        <v>1138</v>
      </c>
      <c r="R1013" t="s">
        <v>1137</v>
      </c>
      <c r="S1013">
        <v>5</v>
      </c>
      <c r="T1013" t="s">
        <v>1146</v>
      </c>
      <c r="U1013" s="11" t="str">
        <f t="shared" si="80"/>
        <v>08:06:19 PM</v>
      </c>
      <c r="BL1013" s="2" t="s">
        <v>2163</v>
      </c>
    </row>
    <row r="1014" spans="1:64" x14ac:dyDescent="0.35">
      <c r="A1014">
        <v>6848</v>
      </c>
      <c r="B1014" t="s">
        <v>15</v>
      </c>
      <c r="C1014" s="1">
        <v>45814</v>
      </c>
      <c r="D1014" t="s">
        <v>27</v>
      </c>
      <c r="E1014" t="s">
        <v>37</v>
      </c>
      <c r="F1014">
        <v>1</v>
      </c>
      <c r="G1014">
        <v>453.18</v>
      </c>
      <c r="H1014">
        <v>453.18</v>
      </c>
      <c r="I1014">
        <v>90.47</v>
      </c>
      <c r="J1014">
        <v>362.71</v>
      </c>
      <c r="K1014">
        <v>186</v>
      </c>
      <c r="L1014" s="11" t="s">
        <v>802</v>
      </c>
      <c r="M1014">
        <f t="shared" si="76"/>
        <v>6</v>
      </c>
      <c r="N1014">
        <f t="shared" si="77"/>
        <v>6</v>
      </c>
      <c r="O1014">
        <f t="shared" si="78"/>
        <v>2025</v>
      </c>
      <c r="P1014" s="4">
        <f t="shared" si="79"/>
        <v>45814</v>
      </c>
      <c r="Q1014" t="s">
        <v>1139</v>
      </c>
      <c r="R1014" t="s">
        <v>1137</v>
      </c>
      <c r="S1014">
        <v>3</v>
      </c>
      <c r="T1014" t="s">
        <v>1146</v>
      </c>
      <c r="U1014" s="11" t="str">
        <f t="shared" si="80"/>
        <v>11:41:28 AM</v>
      </c>
      <c r="BL1014" s="2" t="s">
        <v>2164</v>
      </c>
    </row>
    <row r="1015" spans="1:64" x14ac:dyDescent="0.35">
      <c r="A1015">
        <v>1783</v>
      </c>
      <c r="B1015" t="s">
        <v>0</v>
      </c>
      <c r="C1015" s="1">
        <v>45817</v>
      </c>
      <c r="D1015" t="s">
        <v>6</v>
      </c>
      <c r="E1015" t="s">
        <v>22</v>
      </c>
      <c r="F1015">
        <v>4</v>
      </c>
      <c r="G1015">
        <v>1933.9</v>
      </c>
      <c r="H1015">
        <v>7735.6</v>
      </c>
      <c r="I1015">
        <v>773.56</v>
      </c>
      <c r="J1015">
        <v>6962.04</v>
      </c>
      <c r="K1015">
        <v>3</v>
      </c>
      <c r="L1015" s="11" t="s">
        <v>803</v>
      </c>
      <c r="M1015">
        <f t="shared" si="76"/>
        <v>9</v>
      </c>
      <c r="N1015">
        <f t="shared" si="77"/>
        <v>6</v>
      </c>
      <c r="O1015">
        <f t="shared" si="78"/>
        <v>2025</v>
      </c>
      <c r="P1015" s="4">
        <f t="shared" si="79"/>
        <v>45817</v>
      </c>
      <c r="Q1015" t="s">
        <v>1134</v>
      </c>
      <c r="R1015" t="s">
        <v>1137</v>
      </c>
      <c r="S1015">
        <v>5</v>
      </c>
      <c r="T1015" t="s">
        <v>1148</v>
      </c>
      <c r="U1015" s="11" t="str">
        <f t="shared" si="80"/>
        <v>11:48:17 PM</v>
      </c>
      <c r="BL1015" s="2" t="s">
        <v>2165</v>
      </c>
    </row>
    <row r="1016" spans="1:64" x14ac:dyDescent="0.35">
      <c r="A1016">
        <v>6438</v>
      </c>
      <c r="B1016" t="s">
        <v>25</v>
      </c>
      <c r="C1016" s="1">
        <v>45357</v>
      </c>
      <c r="D1016" t="s">
        <v>24</v>
      </c>
      <c r="E1016" t="s">
        <v>36</v>
      </c>
      <c r="F1016">
        <v>2</v>
      </c>
      <c r="G1016">
        <v>287.18</v>
      </c>
      <c r="H1016">
        <v>574.36</v>
      </c>
      <c r="I1016">
        <v>86.32</v>
      </c>
      <c r="J1016">
        <v>488.04</v>
      </c>
      <c r="K1016">
        <v>190</v>
      </c>
      <c r="L1016" s="11" t="s">
        <v>804</v>
      </c>
      <c r="M1016">
        <f t="shared" si="76"/>
        <v>6</v>
      </c>
      <c r="N1016">
        <f t="shared" si="77"/>
        <v>3</v>
      </c>
      <c r="O1016">
        <f t="shared" si="78"/>
        <v>2024</v>
      </c>
      <c r="P1016" s="4">
        <f t="shared" si="79"/>
        <v>45357</v>
      </c>
      <c r="Q1016" t="s">
        <v>1138</v>
      </c>
      <c r="R1016" t="s">
        <v>1137</v>
      </c>
      <c r="S1016">
        <v>4</v>
      </c>
      <c r="T1016" t="s">
        <v>1149</v>
      </c>
      <c r="U1016" s="11" t="str">
        <f t="shared" si="80"/>
        <v>07:47:28 AM</v>
      </c>
      <c r="BL1016" s="2" t="s">
        <v>2166</v>
      </c>
    </row>
    <row r="1017" spans="1:64" x14ac:dyDescent="0.35">
      <c r="A1017">
        <v>3039</v>
      </c>
      <c r="B1017" t="s">
        <v>31</v>
      </c>
      <c r="C1017" s="1">
        <v>45765</v>
      </c>
      <c r="D1017" t="s">
        <v>23</v>
      </c>
      <c r="E1017" t="s">
        <v>36</v>
      </c>
      <c r="F1017">
        <v>4</v>
      </c>
      <c r="G1017">
        <v>1977.06</v>
      </c>
      <c r="H1017">
        <v>7908.24</v>
      </c>
      <c r="I1017">
        <v>790.99</v>
      </c>
      <c r="J1017">
        <v>7117.25</v>
      </c>
      <c r="K1017">
        <v>70</v>
      </c>
      <c r="L1017" s="11" t="s">
        <v>805</v>
      </c>
      <c r="M1017">
        <f t="shared" si="76"/>
        <v>18</v>
      </c>
      <c r="N1017">
        <f t="shared" si="77"/>
        <v>4</v>
      </c>
      <c r="O1017">
        <f t="shared" si="78"/>
        <v>2025</v>
      </c>
      <c r="P1017" s="4">
        <f t="shared" si="79"/>
        <v>45765</v>
      </c>
      <c r="Q1017" t="s">
        <v>1139</v>
      </c>
      <c r="R1017" t="s">
        <v>1135</v>
      </c>
      <c r="S1017">
        <v>5</v>
      </c>
      <c r="T1017" t="s">
        <v>1150</v>
      </c>
      <c r="U1017" s="11" t="str">
        <f t="shared" si="80"/>
        <v>06:40:56 AM</v>
      </c>
      <c r="BL1017" s="2" t="s">
        <v>2167</v>
      </c>
    </row>
    <row r="1018" spans="1:64" x14ac:dyDescent="0.35">
      <c r="A1018">
        <v>7029</v>
      </c>
      <c r="B1018" t="s">
        <v>13</v>
      </c>
      <c r="C1018" s="1">
        <v>45484</v>
      </c>
      <c r="D1018" t="s">
        <v>34</v>
      </c>
      <c r="E1018" t="s">
        <v>36</v>
      </c>
      <c r="F1018">
        <v>3</v>
      </c>
      <c r="G1018">
        <v>2353.88</v>
      </c>
      <c r="H1018">
        <v>7061.64</v>
      </c>
      <c r="I1018">
        <v>321.20999999999998</v>
      </c>
      <c r="J1018">
        <v>6740.43</v>
      </c>
      <c r="K1018">
        <v>226</v>
      </c>
      <c r="L1018" s="11" t="s">
        <v>806</v>
      </c>
      <c r="M1018">
        <f t="shared" si="76"/>
        <v>11</v>
      </c>
      <c r="N1018">
        <f t="shared" si="77"/>
        <v>7</v>
      </c>
      <c r="O1018">
        <f t="shared" si="78"/>
        <v>2024</v>
      </c>
      <c r="P1018" s="4">
        <f t="shared" si="79"/>
        <v>45484</v>
      </c>
      <c r="Q1018" t="s">
        <v>1139</v>
      </c>
      <c r="R1018" t="s">
        <v>1135</v>
      </c>
      <c r="S1018">
        <v>3</v>
      </c>
      <c r="T1018" t="s">
        <v>1144</v>
      </c>
      <c r="U1018" s="11" t="str">
        <f t="shared" si="80"/>
        <v>06:11:15 PM</v>
      </c>
      <c r="BL1018" s="2" t="s">
        <v>2168</v>
      </c>
    </row>
    <row r="1019" spans="1:64" x14ac:dyDescent="0.35">
      <c r="A1019">
        <v>7553</v>
      </c>
      <c r="B1019" t="s">
        <v>3</v>
      </c>
      <c r="C1019" s="1">
        <v>45722</v>
      </c>
      <c r="D1019" t="s">
        <v>4</v>
      </c>
      <c r="E1019" t="s">
        <v>32</v>
      </c>
      <c r="F1019">
        <v>3</v>
      </c>
      <c r="G1019">
        <v>839.96</v>
      </c>
      <c r="H1019">
        <v>2519.88</v>
      </c>
      <c r="I1019">
        <v>252.32</v>
      </c>
      <c r="J1019">
        <v>2267.56</v>
      </c>
      <c r="K1019">
        <v>395</v>
      </c>
      <c r="L1019" s="11" t="s">
        <v>807</v>
      </c>
      <c r="M1019">
        <f t="shared" si="76"/>
        <v>6</v>
      </c>
      <c r="N1019">
        <f t="shared" si="77"/>
        <v>3</v>
      </c>
      <c r="O1019">
        <f t="shared" si="78"/>
        <v>2025</v>
      </c>
      <c r="P1019" s="4">
        <f t="shared" si="79"/>
        <v>45722</v>
      </c>
      <c r="Q1019" t="s">
        <v>1134</v>
      </c>
      <c r="R1019" t="s">
        <v>1135</v>
      </c>
      <c r="S1019">
        <v>4</v>
      </c>
      <c r="T1019" t="s">
        <v>1144</v>
      </c>
      <c r="U1019" s="11" t="str">
        <f t="shared" si="80"/>
        <v>10:41:22 AM</v>
      </c>
      <c r="BL1019" s="2" t="s">
        <v>2169</v>
      </c>
    </row>
    <row r="1020" spans="1:64" x14ac:dyDescent="0.35">
      <c r="A1020">
        <v>8204</v>
      </c>
      <c r="B1020" t="s">
        <v>20</v>
      </c>
      <c r="C1020" s="1">
        <v>45839</v>
      </c>
      <c r="D1020" t="s">
        <v>9</v>
      </c>
      <c r="E1020" t="s">
        <v>29</v>
      </c>
      <c r="F1020">
        <v>2</v>
      </c>
      <c r="G1020">
        <v>2254.2800000000002</v>
      </c>
      <c r="H1020">
        <v>4508.5600000000004</v>
      </c>
      <c r="I1020">
        <v>450.69</v>
      </c>
      <c r="J1020">
        <v>4057.87</v>
      </c>
      <c r="K1020">
        <v>29</v>
      </c>
      <c r="L1020" s="11" t="s">
        <v>808</v>
      </c>
      <c r="M1020">
        <f t="shared" si="76"/>
        <v>1</v>
      </c>
      <c r="N1020">
        <f t="shared" si="77"/>
        <v>7</v>
      </c>
      <c r="O1020">
        <f t="shared" si="78"/>
        <v>2025</v>
      </c>
      <c r="P1020" s="4">
        <f t="shared" si="79"/>
        <v>45839</v>
      </c>
      <c r="Q1020" t="s">
        <v>1136</v>
      </c>
      <c r="R1020" t="s">
        <v>1137</v>
      </c>
      <c r="S1020">
        <v>1</v>
      </c>
      <c r="T1020" t="s">
        <v>1147</v>
      </c>
      <c r="U1020" s="11" t="str">
        <f t="shared" si="80"/>
        <v>09:38:32 PM</v>
      </c>
      <c r="BL1020" s="2" t="s">
        <v>2170</v>
      </c>
    </row>
    <row r="1021" spans="1:64" x14ac:dyDescent="0.35">
      <c r="A1021">
        <v>7334</v>
      </c>
      <c r="B1021" t="s">
        <v>13</v>
      </c>
      <c r="C1021" s="1">
        <v>45408</v>
      </c>
      <c r="D1021" t="s">
        <v>16</v>
      </c>
      <c r="E1021" t="s">
        <v>7</v>
      </c>
      <c r="F1021">
        <v>3</v>
      </c>
      <c r="G1021">
        <v>1818.53</v>
      </c>
      <c r="H1021">
        <v>5455.59</v>
      </c>
      <c r="I1021">
        <v>357.73</v>
      </c>
      <c r="J1021">
        <v>5097.8599999999997</v>
      </c>
      <c r="K1021">
        <v>160</v>
      </c>
      <c r="L1021" s="11" t="s">
        <v>809</v>
      </c>
      <c r="M1021">
        <f t="shared" si="76"/>
        <v>26</v>
      </c>
      <c r="N1021">
        <f t="shared" si="77"/>
        <v>4</v>
      </c>
      <c r="O1021">
        <f t="shared" si="78"/>
        <v>2024</v>
      </c>
      <c r="P1021" s="4">
        <f t="shared" si="79"/>
        <v>45408</v>
      </c>
      <c r="Q1021" t="s">
        <v>1138</v>
      </c>
      <c r="R1021" t="s">
        <v>1137</v>
      </c>
      <c r="S1021">
        <v>1</v>
      </c>
      <c r="T1021" t="s">
        <v>1148</v>
      </c>
      <c r="U1021" s="11" t="str">
        <f t="shared" si="80"/>
        <v>04:51:36 PM</v>
      </c>
      <c r="BL1021" s="2" t="s">
        <v>2171</v>
      </c>
    </row>
    <row r="1022" spans="1:64" x14ac:dyDescent="0.35">
      <c r="A1022">
        <v>4060</v>
      </c>
      <c r="B1022" t="s">
        <v>3</v>
      </c>
      <c r="C1022" s="1">
        <v>45530</v>
      </c>
      <c r="D1022" t="s">
        <v>17</v>
      </c>
      <c r="E1022" t="s">
        <v>30</v>
      </c>
      <c r="F1022">
        <v>4</v>
      </c>
      <c r="G1022">
        <v>1156.19</v>
      </c>
      <c r="H1022">
        <v>4624.76</v>
      </c>
      <c r="I1022">
        <v>0</v>
      </c>
      <c r="J1022">
        <v>4624.76</v>
      </c>
      <c r="K1022">
        <v>105</v>
      </c>
      <c r="L1022" s="11" t="s">
        <v>810</v>
      </c>
      <c r="M1022">
        <f t="shared" si="76"/>
        <v>26</v>
      </c>
      <c r="N1022">
        <f t="shared" si="77"/>
        <v>8</v>
      </c>
      <c r="O1022">
        <f t="shared" si="78"/>
        <v>2024</v>
      </c>
      <c r="P1022" s="4">
        <f t="shared" si="79"/>
        <v>45530</v>
      </c>
      <c r="Q1022" t="s">
        <v>1134</v>
      </c>
      <c r="R1022" t="s">
        <v>1137</v>
      </c>
      <c r="S1022">
        <v>3</v>
      </c>
      <c r="T1022" t="s">
        <v>1144</v>
      </c>
      <c r="U1022" s="11" t="str">
        <f t="shared" si="80"/>
        <v>12:12:16 PM</v>
      </c>
      <c r="BL1022" s="2" t="s">
        <v>2172</v>
      </c>
    </row>
    <row r="1023" spans="1:64" x14ac:dyDescent="0.35">
      <c r="A1023">
        <v>9151</v>
      </c>
      <c r="B1023" t="s">
        <v>25</v>
      </c>
      <c r="C1023" s="1">
        <v>45430</v>
      </c>
      <c r="D1023" t="s">
        <v>16</v>
      </c>
      <c r="E1023" t="s">
        <v>21</v>
      </c>
      <c r="F1023">
        <v>2</v>
      </c>
      <c r="G1023">
        <v>2202.8200000000002</v>
      </c>
      <c r="H1023">
        <v>4405.6400000000003</v>
      </c>
      <c r="I1023">
        <v>194.22</v>
      </c>
      <c r="J1023">
        <v>4211.42</v>
      </c>
      <c r="K1023">
        <v>43</v>
      </c>
      <c r="L1023" s="11" t="s">
        <v>811</v>
      </c>
      <c r="M1023">
        <f t="shared" si="76"/>
        <v>18</v>
      </c>
      <c r="N1023">
        <f t="shared" si="77"/>
        <v>5</v>
      </c>
      <c r="O1023">
        <f t="shared" si="78"/>
        <v>2024</v>
      </c>
      <c r="P1023" s="4">
        <f t="shared" si="79"/>
        <v>45430</v>
      </c>
      <c r="Q1023" t="s">
        <v>1138</v>
      </c>
      <c r="R1023" t="s">
        <v>1137</v>
      </c>
      <c r="S1023">
        <v>5</v>
      </c>
      <c r="T1023" t="s">
        <v>1148</v>
      </c>
      <c r="U1023" s="11" t="str">
        <f t="shared" si="80"/>
        <v>11:43:43 AM</v>
      </c>
      <c r="BL1023" s="2" t="s">
        <v>2173</v>
      </c>
    </row>
    <row r="1024" spans="1:64" x14ac:dyDescent="0.35">
      <c r="A1024">
        <v>9507</v>
      </c>
      <c r="B1024" t="s">
        <v>8</v>
      </c>
      <c r="C1024" s="1">
        <v>45352</v>
      </c>
      <c r="D1024" t="s">
        <v>27</v>
      </c>
      <c r="E1024" t="s">
        <v>7</v>
      </c>
      <c r="F1024">
        <v>3</v>
      </c>
      <c r="G1024">
        <v>596.77</v>
      </c>
      <c r="H1024">
        <v>1790.31</v>
      </c>
      <c r="I1024">
        <v>195.88</v>
      </c>
      <c r="J1024">
        <v>1594.43</v>
      </c>
      <c r="K1024">
        <v>261</v>
      </c>
      <c r="L1024" s="11" t="s">
        <v>812</v>
      </c>
      <c r="M1024">
        <f t="shared" si="76"/>
        <v>1</v>
      </c>
      <c r="N1024">
        <f t="shared" si="77"/>
        <v>3</v>
      </c>
      <c r="O1024">
        <f t="shared" si="78"/>
        <v>2024</v>
      </c>
      <c r="P1024" s="4">
        <f t="shared" si="79"/>
        <v>45352</v>
      </c>
      <c r="Q1024" t="s">
        <v>1139</v>
      </c>
      <c r="R1024" t="s">
        <v>1137</v>
      </c>
      <c r="S1024">
        <v>2</v>
      </c>
      <c r="T1024" t="s">
        <v>1142</v>
      </c>
      <c r="U1024" s="11" t="str">
        <f t="shared" si="80"/>
        <v>07:25:01 PM</v>
      </c>
      <c r="BL1024" s="2" t="s">
        <v>2174</v>
      </c>
    </row>
    <row r="1025" spans="1:64" x14ac:dyDescent="0.35">
      <c r="A1025">
        <v>2353</v>
      </c>
      <c r="B1025" t="s">
        <v>8</v>
      </c>
      <c r="C1025" s="1">
        <v>45709</v>
      </c>
      <c r="D1025" t="s">
        <v>1</v>
      </c>
      <c r="E1025" t="s">
        <v>28</v>
      </c>
      <c r="F1025">
        <v>5</v>
      </c>
      <c r="G1025">
        <v>1508.11</v>
      </c>
      <c r="H1025">
        <v>7540.55</v>
      </c>
      <c r="I1025">
        <v>0</v>
      </c>
      <c r="J1025">
        <v>7540.55</v>
      </c>
      <c r="K1025">
        <v>123</v>
      </c>
      <c r="L1025" s="11" t="s">
        <v>813</v>
      </c>
      <c r="M1025">
        <f t="shared" si="76"/>
        <v>21</v>
      </c>
      <c r="N1025">
        <f t="shared" si="77"/>
        <v>2</v>
      </c>
      <c r="O1025">
        <f t="shared" si="78"/>
        <v>2025</v>
      </c>
      <c r="P1025" s="4">
        <f t="shared" si="79"/>
        <v>45709</v>
      </c>
      <c r="Q1025" t="s">
        <v>1139</v>
      </c>
      <c r="R1025" t="s">
        <v>1137</v>
      </c>
      <c r="S1025">
        <v>3</v>
      </c>
      <c r="T1025" t="s">
        <v>1150</v>
      </c>
      <c r="U1025" s="11" t="str">
        <f t="shared" si="80"/>
        <v>04:53:04 PM</v>
      </c>
      <c r="BL1025" s="2" t="s">
        <v>2175</v>
      </c>
    </row>
    <row r="1026" spans="1:64" x14ac:dyDescent="0.35">
      <c r="A1026">
        <v>7955</v>
      </c>
      <c r="B1026" t="s">
        <v>13</v>
      </c>
      <c r="C1026" s="1">
        <v>45206</v>
      </c>
      <c r="D1026" t="s">
        <v>27</v>
      </c>
      <c r="E1026" t="s">
        <v>38</v>
      </c>
      <c r="F1026">
        <v>1</v>
      </c>
      <c r="G1026">
        <v>2108.1999999999998</v>
      </c>
      <c r="H1026">
        <v>2108.1999999999998</v>
      </c>
      <c r="I1026">
        <v>98.77</v>
      </c>
      <c r="J1026">
        <v>2009.43</v>
      </c>
      <c r="K1026">
        <v>132</v>
      </c>
      <c r="L1026" s="11" t="s">
        <v>814</v>
      </c>
      <c r="M1026">
        <f t="shared" ref="M1026:M1089" si="81">DAY(C1026)</f>
        <v>7</v>
      </c>
      <c r="N1026">
        <f t="shared" ref="N1026:N1089" si="82">MONTH(C1026)</f>
        <v>10</v>
      </c>
      <c r="O1026">
        <f t="shared" ref="O1026:O1089" si="83">YEAR(C1026)</f>
        <v>2023</v>
      </c>
      <c r="P1026" s="4">
        <f t="shared" si="79"/>
        <v>45206</v>
      </c>
      <c r="Q1026" t="s">
        <v>1136</v>
      </c>
      <c r="R1026" t="s">
        <v>1135</v>
      </c>
      <c r="S1026">
        <v>4</v>
      </c>
      <c r="T1026" t="s">
        <v>1149</v>
      </c>
      <c r="U1026" s="11" t="str">
        <f t="shared" si="80"/>
        <v>11:46:37 PM</v>
      </c>
      <c r="BL1026" s="2" t="s">
        <v>2176</v>
      </c>
    </row>
    <row r="1027" spans="1:64" x14ac:dyDescent="0.35">
      <c r="A1027">
        <v>8055</v>
      </c>
      <c r="B1027" t="s">
        <v>0</v>
      </c>
      <c r="C1027" s="1">
        <v>45612</v>
      </c>
      <c r="D1027" t="s">
        <v>34</v>
      </c>
      <c r="E1027" t="s">
        <v>26</v>
      </c>
      <c r="F1027">
        <v>5</v>
      </c>
      <c r="G1027">
        <v>1855.88</v>
      </c>
      <c r="H1027">
        <v>9279.4</v>
      </c>
      <c r="I1027">
        <v>1855.88</v>
      </c>
      <c r="J1027">
        <v>7423.52</v>
      </c>
      <c r="K1027">
        <v>232</v>
      </c>
      <c r="L1027" s="11" t="s">
        <v>815</v>
      </c>
      <c r="M1027">
        <f t="shared" si="81"/>
        <v>16</v>
      </c>
      <c r="N1027">
        <f t="shared" si="82"/>
        <v>11</v>
      </c>
      <c r="O1027">
        <f t="shared" si="83"/>
        <v>2024</v>
      </c>
      <c r="P1027" s="4">
        <f t="shared" ref="P1027:P1090" si="84">DATE(O1027,N1027,M1027)</f>
        <v>45612</v>
      </c>
      <c r="Q1027" t="s">
        <v>1139</v>
      </c>
      <c r="R1027" t="s">
        <v>1135</v>
      </c>
      <c r="S1027">
        <v>4</v>
      </c>
      <c r="T1027" t="s">
        <v>1148</v>
      </c>
      <c r="U1027" s="11" t="str">
        <f t="shared" si="80"/>
        <v>07:27:42 AM</v>
      </c>
      <c r="BL1027" s="2" t="s">
        <v>2177</v>
      </c>
    </row>
    <row r="1028" spans="1:64" x14ac:dyDescent="0.35">
      <c r="A1028">
        <v>3956</v>
      </c>
      <c r="B1028" t="s">
        <v>3</v>
      </c>
      <c r="C1028" s="1">
        <v>45568</v>
      </c>
      <c r="D1028" t="s">
        <v>17</v>
      </c>
      <c r="E1028" t="s">
        <v>14</v>
      </c>
      <c r="F1028">
        <v>3</v>
      </c>
      <c r="G1028">
        <v>802.61</v>
      </c>
      <c r="H1028">
        <v>2407.83</v>
      </c>
      <c r="I1028">
        <v>0</v>
      </c>
      <c r="J1028">
        <v>2407.83</v>
      </c>
      <c r="K1028">
        <v>341</v>
      </c>
      <c r="L1028" s="11" t="s">
        <v>816</v>
      </c>
      <c r="M1028">
        <f t="shared" si="81"/>
        <v>3</v>
      </c>
      <c r="N1028">
        <f t="shared" si="82"/>
        <v>10</v>
      </c>
      <c r="O1028">
        <f t="shared" si="83"/>
        <v>2024</v>
      </c>
      <c r="P1028" s="4">
        <f t="shared" si="84"/>
        <v>45568</v>
      </c>
      <c r="Q1028" t="s">
        <v>1139</v>
      </c>
      <c r="R1028" t="s">
        <v>1137</v>
      </c>
      <c r="S1028">
        <v>1</v>
      </c>
      <c r="T1028" t="s">
        <v>1148</v>
      </c>
      <c r="U1028" s="11" t="str">
        <f t="shared" si="80"/>
        <v>08:48:58 PM</v>
      </c>
      <c r="BL1028" s="2" t="s">
        <v>2178</v>
      </c>
    </row>
    <row r="1029" spans="1:64" x14ac:dyDescent="0.35">
      <c r="A1029">
        <v>5813</v>
      </c>
      <c r="B1029" t="s">
        <v>13</v>
      </c>
      <c r="C1029" s="1">
        <v>45394</v>
      </c>
      <c r="D1029" t="s">
        <v>27</v>
      </c>
      <c r="E1029" t="s">
        <v>14</v>
      </c>
      <c r="F1029">
        <v>1</v>
      </c>
      <c r="G1029">
        <v>871.5</v>
      </c>
      <c r="H1029">
        <v>871.5</v>
      </c>
      <c r="I1029">
        <v>130.31</v>
      </c>
      <c r="J1029">
        <v>741.19</v>
      </c>
      <c r="K1029">
        <v>298</v>
      </c>
      <c r="L1029" s="11" t="s">
        <v>817</v>
      </c>
      <c r="M1029">
        <f t="shared" si="81"/>
        <v>12</v>
      </c>
      <c r="N1029">
        <f t="shared" si="82"/>
        <v>4</v>
      </c>
      <c r="O1029">
        <f t="shared" si="83"/>
        <v>2024</v>
      </c>
      <c r="P1029" s="4">
        <f t="shared" si="84"/>
        <v>45394</v>
      </c>
      <c r="Q1029" t="s">
        <v>1134</v>
      </c>
      <c r="R1029" t="s">
        <v>1135</v>
      </c>
      <c r="S1029">
        <v>4</v>
      </c>
      <c r="T1029" t="s">
        <v>1145</v>
      </c>
      <c r="U1029" s="11" t="str">
        <f t="shared" si="80"/>
        <v>04:39:04 AM</v>
      </c>
      <c r="BL1029" s="2" t="s">
        <v>2179</v>
      </c>
    </row>
    <row r="1030" spans="1:64" x14ac:dyDescent="0.35">
      <c r="A1030">
        <v>2680</v>
      </c>
      <c r="B1030" t="s">
        <v>15</v>
      </c>
      <c r="C1030" s="1">
        <v>45207</v>
      </c>
      <c r="D1030" t="s">
        <v>4</v>
      </c>
      <c r="E1030" t="s">
        <v>30</v>
      </c>
      <c r="F1030">
        <v>4</v>
      </c>
      <c r="G1030">
        <v>2075.83</v>
      </c>
      <c r="H1030">
        <v>8303.32</v>
      </c>
      <c r="I1030">
        <v>224.1</v>
      </c>
      <c r="J1030">
        <v>8079.22</v>
      </c>
      <c r="K1030">
        <v>41</v>
      </c>
      <c r="L1030" s="11" t="s">
        <v>818</v>
      </c>
      <c r="M1030">
        <f t="shared" si="81"/>
        <v>8</v>
      </c>
      <c r="N1030">
        <f t="shared" si="82"/>
        <v>10</v>
      </c>
      <c r="O1030">
        <f t="shared" si="83"/>
        <v>2023</v>
      </c>
      <c r="P1030" s="4">
        <f t="shared" si="84"/>
        <v>45207</v>
      </c>
      <c r="Q1030" t="s">
        <v>1138</v>
      </c>
      <c r="R1030" t="s">
        <v>1137</v>
      </c>
      <c r="S1030">
        <v>3</v>
      </c>
      <c r="T1030" t="s">
        <v>1149</v>
      </c>
      <c r="U1030" s="11" t="str">
        <f t="shared" si="80"/>
        <v>05:02:45 PM</v>
      </c>
      <c r="BL1030" s="2" t="s">
        <v>2180</v>
      </c>
    </row>
    <row r="1031" spans="1:64" x14ac:dyDescent="0.35">
      <c r="A1031">
        <v>6372</v>
      </c>
      <c r="B1031" t="s">
        <v>8</v>
      </c>
      <c r="C1031" s="1">
        <v>45658</v>
      </c>
      <c r="D1031" t="s">
        <v>34</v>
      </c>
      <c r="E1031" t="s">
        <v>33</v>
      </c>
      <c r="F1031">
        <v>4</v>
      </c>
      <c r="G1031">
        <v>269.75</v>
      </c>
      <c r="H1031">
        <v>1079</v>
      </c>
      <c r="I1031">
        <v>268.92</v>
      </c>
      <c r="J1031">
        <v>810.08</v>
      </c>
      <c r="K1031">
        <v>346</v>
      </c>
      <c r="L1031" s="11" t="s">
        <v>819</v>
      </c>
      <c r="M1031">
        <f t="shared" si="81"/>
        <v>1</v>
      </c>
      <c r="N1031">
        <f t="shared" si="82"/>
        <v>1</v>
      </c>
      <c r="O1031">
        <f t="shared" si="83"/>
        <v>2025</v>
      </c>
      <c r="P1031" s="4">
        <f t="shared" si="84"/>
        <v>45658</v>
      </c>
      <c r="Q1031" t="s">
        <v>1138</v>
      </c>
      <c r="R1031" t="s">
        <v>1135</v>
      </c>
      <c r="S1031">
        <v>4</v>
      </c>
      <c r="T1031" t="s">
        <v>1142</v>
      </c>
      <c r="U1031" s="11" t="str">
        <f t="shared" si="80"/>
        <v>10:49:36 AM</v>
      </c>
      <c r="BL1031" s="2" t="s">
        <v>2181</v>
      </c>
    </row>
    <row r="1032" spans="1:64" x14ac:dyDescent="0.35">
      <c r="A1032">
        <v>5843</v>
      </c>
      <c r="B1032" t="s">
        <v>13</v>
      </c>
      <c r="C1032" s="1">
        <v>45383</v>
      </c>
      <c r="D1032" t="s">
        <v>24</v>
      </c>
      <c r="E1032" t="s">
        <v>37</v>
      </c>
      <c r="F1032">
        <v>4</v>
      </c>
      <c r="G1032">
        <v>2480.87</v>
      </c>
      <c r="H1032">
        <v>9923.48</v>
      </c>
      <c r="I1032">
        <v>0</v>
      </c>
      <c r="J1032">
        <v>9923.48</v>
      </c>
      <c r="K1032">
        <v>352</v>
      </c>
      <c r="L1032" s="11" t="s">
        <v>820</v>
      </c>
      <c r="M1032">
        <f t="shared" si="81"/>
        <v>1</v>
      </c>
      <c r="N1032">
        <f t="shared" si="82"/>
        <v>4</v>
      </c>
      <c r="O1032">
        <f t="shared" si="83"/>
        <v>2024</v>
      </c>
      <c r="P1032" s="4">
        <f t="shared" si="84"/>
        <v>45383</v>
      </c>
      <c r="Q1032" t="s">
        <v>1134</v>
      </c>
      <c r="R1032" t="s">
        <v>1137</v>
      </c>
      <c r="S1032">
        <v>3</v>
      </c>
      <c r="T1032" t="s">
        <v>1145</v>
      </c>
      <c r="U1032" s="11" t="str">
        <f t="shared" si="80"/>
        <v>04:05:10 AM</v>
      </c>
      <c r="BL1032" s="2" t="s">
        <v>2182</v>
      </c>
    </row>
    <row r="1033" spans="1:64" x14ac:dyDescent="0.35">
      <c r="A1033">
        <v>8305</v>
      </c>
      <c r="B1033" t="s">
        <v>13</v>
      </c>
      <c r="C1033" s="1">
        <v>45613</v>
      </c>
      <c r="D1033" t="s">
        <v>23</v>
      </c>
      <c r="E1033" t="s">
        <v>30</v>
      </c>
      <c r="F1033">
        <v>5</v>
      </c>
      <c r="G1033">
        <v>388.44</v>
      </c>
      <c r="H1033">
        <v>1942.2</v>
      </c>
      <c r="I1033">
        <v>388.44</v>
      </c>
      <c r="J1033">
        <v>1553.76</v>
      </c>
      <c r="K1033">
        <v>364</v>
      </c>
      <c r="L1033" s="11" t="s">
        <v>821</v>
      </c>
      <c r="M1033">
        <f t="shared" si="81"/>
        <v>17</v>
      </c>
      <c r="N1033">
        <f t="shared" si="82"/>
        <v>11</v>
      </c>
      <c r="O1033">
        <f t="shared" si="83"/>
        <v>2024</v>
      </c>
      <c r="P1033" s="4">
        <f t="shared" si="84"/>
        <v>45613</v>
      </c>
      <c r="Q1033" t="s">
        <v>1136</v>
      </c>
      <c r="R1033" t="s">
        <v>1137</v>
      </c>
      <c r="S1033">
        <v>2</v>
      </c>
      <c r="T1033" t="s">
        <v>1146</v>
      </c>
      <c r="U1033" s="11" t="str">
        <f t="shared" si="80"/>
        <v>07:05:40 AM</v>
      </c>
      <c r="BL1033" s="2" t="s">
        <v>2183</v>
      </c>
    </row>
    <row r="1034" spans="1:64" x14ac:dyDescent="0.35">
      <c r="A1034">
        <v>7981</v>
      </c>
      <c r="B1034" t="s">
        <v>3</v>
      </c>
      <c r="C1034" s="1">
        <v>45274</v>
      </c>
      <c r="D1034" t="s">
        <v>27</v>
      </c>
      <c r="E1034" t="s">
        <v>38</v>
      </c>
      <c r="F1034">
        <v>2</v>
      </c>
      <c r="G1034">
        <v>1178.5999999999999</v>
      </c>
      <c r="H1034">
        <v>2357.1999999999998</v>
      </c>
      <c r="I1034">
        <v>205.84</v>
      </c>
      <c r="J1034">
        <v>2151.36</v>
      </c>
      <c r="K1034">
        <v>16</v>
      </c>
      <c r="L1034" s="11" t="s">
        <v>822</v>
      </c>
      <c r="M1034">
        <f t="shared" si="81"/>
        <v>14</v>
      </c>
      <c r="N1034">
        <f t="shared" si="82"/>
        <v>12</v>
      </c>
      <c r="O1034">
        <f t="shared" si="83"/>
        <v>2023</v>
      </c>
      <c r="P1034" s="4">
        <f t="shared" si="84"/>
        <v>45274</v>
      </c>
      <c r="Q1034" t="s">
        <v>1138</v>
      </c>
      <c r="R1034" t="s">
        <v>1135</v>
      </c>
      <c r="S1034">
        <v>1</v>
      </c>
      <c r="T1034" t="s">
        <v>1147</v>
      </c>
      <c r="U1034" s="11" t="str">
        <f t="shared" si="80"/>
        <v>06:47:59 PM</v>
      </c>
      <c r="BL1034" s="2" t="s">
        <v>2184</v>
      </c>
    </row>
    <row r="1035" spans="1:64" x14ac:dyDescent="0.35">
      <c r="A1035">
        <v>8272</v>
      </c>
      <c r="B1035" t="s">
        <v>0</v>
      </c>
      <c r="C1035" s="1">
        <v>45418</v>
      </c>
      <c r="D1035" t="s">
        <v>17</v>
      </c>
      <c r="E1035" t="s">
        <v>5</v>
      </c>
      <c r="F1035">
        <v>1</v>
      </c>
      <c r="G1035">
        <v>373.5</v>
      </c>
      <c r="H1035">
        <v>373.5</v>
      </c>
      <c r="I1035">
        <v>256.47000000000003</v>
      </c>
      <c r="J1035">
        <v>117.03</v>
      </c>
      <c r="K1035">
        <v>292</v>
      </c>
      <c r="L1035" s="11" t="s">
        <v>823</v>
      </c>
      <c r="M1035">
        <f t="shared" si="81"/>
        <v>6</v>
      </c>
      <c r="N1035">
        <f t="shared" si="82"/>
        <v>5</v>
      </c>
      <c r="O1035">
        <f t="shared" si="83"/>
        <v>2024</v>
      </c>
      <c r="P1035" s="4">
        <f t="shared" si="84"/>
        <v>45418</v>
      </c>
      <c r="Q1035" t="s">
        <v>1139</v>
      </c>
      <c r="R1035" t="s">
        <v>1135</v>
      </c>
      <c r="S1035">
        <v>4</v>
      </c>
      <c r="T1035" t="s">
        <v>1150</v>
      </c>
      <c r="U1035" s="11" t="str">
        <f t="shared" si="80"/>
        <v>04:12:53 AM</v>
      </c>
      <c r="BL1035" s="2" t="s">
        <v>2185</v>
      </c>
    </row>
    <row r="1036" spans="1:64" x14ac:dyDescent="0.35">
      <c r="A1036">
        <v>8325</v>
      </c>
      <c r="B1036" t="s">
        <v>0</v>
      </c>
      <c r="C1036" s="1">
        <v>45177</v>
      </c>
      <c r="D1036" t="s">
        <v>11</v>
      </c>
      <c r="E1036" t="s">
        <v>26</v>
      </c>
      <c r="F1036">
        <v>3</v>
      </c>
      <c r="G1036">
        <v>811.74</v>
      </c>
      <c r="H1036">
        <v>2435.2199999999998</v>
      </c>
      <c r="I1036">
        <v>487.21</v>
      </c>
      <c r="J1036">
        <v>1948.01</v>
      </c>
      <c r="K1036">
        <v>248</v>
      </c>
      <c r="L1036" s="11" t="s">
        <v>824</v>
      </c>
      <c r="M1036">
        <f t="shared" si="81"/>
        <v>8</v>
      </c>
      <c r="N1036">
        <f t="shared" si="82"/>
        <v>9</v>
      </c>
      <c r="O1036">
        <f t="shared" si="83"/>
        <v>2023</v>
      </c>
      <c r="P1036" s="4">
        <f t="shared" si="84"/>
        <v>45177</v>
      </c>
      <c r="Q1036" t="s">
        <v>1138</v>
      </c>
      <c r="R1036" t="s">
        <v>1137</v>
      </c>
      <c r="S1036">
        <v>3</v>
      </c>
      <c r="T1036" t="s">
        <v>1141</v>
      </c>
      <c r="U1036" s="11" t="str">
        <f t="shared" si="80"/>
        <v>02:45:36 AM</v>
      </c>
      <c r="BL1036" s="2" t="s">
        <v>2186</v>
      </c>
    </row>
    <row r="1037" spans="1:64" x14ac:dyDescent="0.35">
      <c r="A1037">
        <v>6776</v>
      </c>
      <c r="B1037" t="s">
        <v>8</v>
      </c>
      <c r="C1037" s="1">
        <v>45622</v>
      </c>
      <c r="D1037" t="s">
        <v>17</v>
      </c>
      <c r="E1037" t="s">
        <v>5</v>
      </c>
      <c r="F1037">
        <v>1</v>
      </c>
      <c r="G1037">
        <v>2337.2800000000002</v>
      </c>
      <c r="H1037">
        <v>2337.2800000000002</v>
      </c>
      <c r="I1037">
        <v>467.29</v>
      </c>
      <c r="J1037">
        <v>1869.99</v>
      </c>
      <c r="K1037">
        <v>156</v>
      </c>
      <c r="L1037" s="11" t="s">
        <v>825</v>
      </c>
      <c r="M1037">
        <f t="shared" si="81"/>
        <v>26</v>
      </c>
      <c r="N1037">
        <f t="shared" si="82"/>
        <v>11</v>
      </c>
      <c r="O1037">
        <f t="shared" si="83"/>
        <v>2024</v>
      </c>
      <c r="P1037" s="4">
        <f t="shared" si="84"/>
        <v>45622</v>
      </c>
      <c r="Q1037" t="s">
        <v>1139</v>
      </c>
      <c r="R1037" t="s">
        <v>1137</v>
      </c>
      <c r="S1037">
        <v>5</v>
      </c>
      <c r="T1037" t="s">
        <v>1149</v>
      </c>
      <c r="U1037" s="11" t="str">
        <f t="shared" si="80"/>
        <v>01:04:40 AM</v>
      </c>
      <c r="BL1037" s="2" t="s">
        <v>2187</v>
      </c>
    </row>
    <row r="1038" spans="1:64" x14ac:dyDescent="0.35">
      <c r="A1038">
        <v>8126</v>
      </c>
      <c r="B1038" t="s">
        <v>8</v>
      </c>
      <c r="C1038" s="1">
        <v>45358</v>
      </c>
      <c r="D1038" t="s">
        <v>34</v>
      </c>
      <c r="E1038" t="s">
        <v>28</v>
      </c>
      <c r="F1038">
        <v>1</v>
      </c>
      <c r="G1038">
        <v>1400.21</v>
      </c>
      <c r="H1038">
        <v>1400.21</v>
      </c>
      <c r="I1038">
        <v>140.27000000000001</v>
      </c>
      <c r="J1038">
        <v>1259.94</v>
      </c>
      <c r="K1038">
        <v>34</v>
      </c>
      <c r="L1038" s="11" t="s">
        <v>826</v>
      </c>
      <c r="M1038">
        <f t="shared" si="81"/>
        <v>7</v>
      </c>
      <c r="N1038">
        <f t="shared" si="82"/>
        <v>3</v>
      </c>
      <c r="O1038">
        <f t="shared" si="83"/>
        <v>2024</v>
      </c>
      <c r="P1038" s="4">
        <f t="shared" si="84"/>
        <v>45358</v>
      </c>
      <c r="Q1038" t="s">
        <v>1136</v>
      </c>
      <c r="R1038" t="s">
        <v>1135</v>
      </c>
      <c r="S1038">
        <v>1</v>
      </c>
      <c r="T1038" t="s">
        <v>1141</v>
      </c>
      <c r="U1038" s="11" t="str">
        <f t="shared" si="80"/>
        <v>02:35:32 AM</v>
      </c>
      <c r="BL1038" s="2" t="s">
        <v>2188</v>
      </c>
    </row>
    <row r="1039" spans="1:64" x14ac:dyDescent="0.35">
      <c r="A1039">
        <v>1939</v>
      </c>
      <c r="B1039" t="s">
        <v>15</v>
      </c>
      <c r="C1039" s="1">
        <v>45203</v>
      </c>
      <c r="D1039" t="s">
        <v>17</v>
      </c>
      <c r="E1039" t="s">
        <v>26</v>
      </c>
      <c r="F1039">
        <v>5</v>
      </c>
      <c r="G1039">
        <v>1171.1300000000001</v>
      </c>
      <c r="H1039">
        <v>5855.65</v>
      </c>
      <c r="I1039">
        <v>585.15</v>
      </c>
      <c r="J1039">
        <v>5270.5</v>
      </c>
      <c r="K1039">
        <v>172</v>
      </c>
      <c r="L1039" s="11" t="s">
        <v>827</v>
      </c>
      <c r="M1039">
        <f t="shared" si="81"/>
        <v>4</v>
      </c>
      <c r="N1039">
        <f t="shared" si="82"/>
        <v>10</v>
      </c>
      <c r="O1039">
        <f t="shared" si="83"/>
        <v>2023</v>
      </c>
      <c r="P1039" s="4">
        <f t="shared" si="84"/>
        <v>45203</v>
      </c>
      <c r="Q1039" t="s">
        <v>1134</v>
      </c>
      <c r="R1039" t="s">
        <v>1135</v>
      </c>
      <c r="S1039">
        <v>2</v>
      </c>
      <c r="T1039" t="s">
        <v>1146</v>
      </c>
      <c r="U1039" s="11" t="str">
        <f t="shared" si="80"/>
        <v>08:33:11 AM</v>
      </c>
      <c r="BL1039" s="2" t="s">
        <v>2189</v>
      </c>
    </row>
    <row r="1040" spans="1:64" x14ac:dyDescent="0.35">
      <c r="A1040">
        <v>7655</v>
      </c>
      <c r="B1040" t="s">
        <v>8</v>
      </c>
      <c r="C1040" s="1">
        <v>45427</v>
      </c>
      <c r="D1040" t="s">
        <v>23</v>
      </c>
      <c r="E1040" t="s">
        <v>36</v>
      </c>
      <c r="F1040">
        <v>4</v>
      </c>
      <c r="G1040">
        <v>1915.64</v>
      </c>
      <c r="H1040">
        <v>7662.56</v>
      </c>
      <c r="I1040">
        <v>1532.18</v>
      </c>
      <c r="J1040">
        <v>6130.38</v>
      </c>
      <c r="K1040">
        <v>341</v>
      </c>
      <c r="L1040" s="11" t="s">
        <v>828</v>
      </c>
      <c r="M1040">
        <f t="shared" si="81"/>
        <v>15</v>
      </c>
      <c r="N1040">
        <f t="shared" si="82"/>
        <v>5</v>
      </c>
      <c r="O1040">
        <f t="shared" si="83"/>
        <v>2024</v>
      </c>
      <c r="P1040" s="4">
        <f t="shared" si="84"/>
        <v>45427</v>
      </c>
      <c r="Q1040" t="s">
        <v>1138</v>
      </c>
      <c r="R1040" t="s">
        <v>1137</v>
      </c>
      <c r="S1040">
        <v>3</v>
      </c>
      <c r="T1040" t="s">
        <v>1149</v>
      </c>
      <c r="U1040" s="11" t="str">
        <f t="shared" si="80"/>
        <v>10:57:30 PM</v>
      </c>
      <c r="BL1040" s="2" t="s">
        <v>2190</v>
      </c>
    </row>
    <row r="1041" spans="1:64" x14ac:dyDescent="0.35">
      <c r="A1041">
        <v>9406</v>
      </c>
      <c r="B1041" t="s">
        <v>25</v>
      </c>
      <c r="C1041" s="1">
        <v>45767</v>
      </c>
      <c r="D1041" t="s">
        <v>4</v>
      </c>
      <c r="E1041" t="s">
        <v>5</v>
      </c>
      <c r="F1041">
        <v>4</v>
      </c>
      <c r="G1041">
        <v>642.41999999999996</v>
      </c>
      <c r="H1041">
        <v>2569.6799999999998</v>
      </c>
      <c r="I1041">
        <v>97.94</v>
      </c>
      <c r="J1041">
        <v>2471.7399999999998</v>
      </c>
      <c r="K1041">
        <v>202</v>
      </c>
      <c r="L1041" s="11" t="s">
        <v>829</v>
      </c>
      <c r="M1041">
        <f t="shared" si="81"/>
        <v>20</v>
      </c>
      <c r="N1041">
        <f t="shared" si="82"/>
        <v>4</v>
      </c>
      <c r="O1041">
        <f t="shared" si="83"/>
        <v>2025</v>
      </c>
      <c r="P1041" s="4">
        <f t="shared" si="84"/>
        <v>45767</v>
      </c>
      <c r="Q1041" t="s">
        <v>1134</v>
      </c>
      <c r="R1041" t="s">
        <v>1135</v>
      </c>
      <c r="S1041">
        <v>2</v>
      </c>
      <c r="T1041" t="s">
        <v>1142</v>
      </c>
      <c r="U1041" s="11" t="str">
        <f t="shared" si="80"/>
        <v>02:11:16 PM</v>
      </c>
      <c r="BL1041" s="2" t="s">
        <v>2191</v>
      </c>
    </row>
    <row r="1042" spans="1:64" x14ac:dyDescent="0.35">
      <c r="A1042">
        <v>3621</v>
      </c>
      <c r="B1042" t="s">
        <v>15</v>
      </c>
      <c r="C1042" s="1">
        <v>45169</v>
      </c>
      <c r="D1042" t="s">
        <v>24</v>
      </c>
      <c r="E1042" t="s">
        <v>32</v>
      </c>
      <c r="F1042">
        <v>2</v>
      </c>
      <c r="G1042">
        <v>1784.5</v>
      </c>
      <c r="H1042">
        <v>3569</v>
      </c>
      <c r="I1042">
        <v>297.14</v>
      </c>
      <c r="J1042">
        <v>3271.86</v>
      </c>
      <c r="K1042">
        <v>292</v>
      </c>
      <c r="L1042" s="11" t="s">
        <v>830</v>
      </c>
      <c r="M1042">
        <f t="shared" si="81"/>
        <v>31</v>
      </c>
      <c r="N1042">
        <f t="shared" si="82"/>
        <v>8</v>
      </c>
      <c r="O1042">
        <f t="shared" si="83"/>
        <v>2023</v>
      </c>
      <c r="P1042" s="4">
        <f t="shared" si="84"/>
        <v>45169</v>
      </c>
      <c r="Q1042" t="s">
        <v>1138</v>
      </c>
      <c r="R1042" t="s">
        <v>1137</v>
      </c>
      <c r="S1042">
        <v>2</v>
      </c>
      <c r="T1042" t="s">
        <v>1145</v>
      </c>
      <c r="U1042" s="11" t="str">
        <f t="shared" si="80"/>
        <v>04:30:04 PM</v>
      </c>
      <c r="BL1042" s="2" t="s">
        <v>2192</v>
      </c>
    </row>
    <row r="1043" spans="1:64" x14ac:dyDescent="0.35">
      <c r="A1043">
        <v>3339</v>
      </c>
      <c r="B1043" t="s">
        <v>3</v>
      </c>
      <c r="C1043" s="1">
        <v>45804</v>
      </c>
      <c r="D1043" t="s">
        <v>4</v>
      </c>
      <c r="E1043" t="s">
        <v>33</v>
      </c>
      <c r="F1043">
        <v>5</v>
      </c>
      <c r="G1043">
        <v>1386.1</v>
      </c>
      <c r="H1043">
        <v>6930.5</v>
      </c>
      <c r="I1043">
        <v>256.47000000000003</v>
      </c>
      <c r="J1043">
        <v>6674.03</v>
      </c>
      <c r="K1043">
        <v>387</v>
      </c>
      <c r="L1043" s="11" t="s">
        <v>831</v>
      </c>
      <c r="M1043">
        <f t="shared" si="81"/>
        <v>27</v>
      </c>
      <c r="N1043">
        <f t="shared" si="82"/>
        <v>5</v>
      </c>
      <c r="O1043">
        <f t="shared" si="83"/>
        <v>2025</v>
      </c>
      <c r="P1043" s="4">
        <f t="shared" si="84"/>
        <v>45804</v>
      </c>
      <c r="Q1043" t="s">
        <v>1139</v>
      </c>
      <c r="R1043" t="s">
        <v>1137</v>
      </c>
      <c r="S1043">
        <v>4</v>
      </c>
      <c r="T1043" t="s">
        <v>1148</v>
      </c>
      <c r="U1043" s="11" t="str">
        <f t="shared" si="80"/>
        <v>12:28:13 PM</v>
      </c>
      <c r="BL1043" s="2" t="s">
        <v>2193</v>
      </c>
    </row>
    <row r="1044" spans="1:64" x14ac:dyDescent="0.35">
      <c r="A1044">
        <v>8179</v>
      </c>
      <c r="B1044" t="s">
        <v>15</v>
      </c>
      <c r="C1044" s="1">
        <v>45172</v>
      </c>
      <c r="D1044" t="s">
        <v>27</v>
      </c>
      <c r="E1044" t="s">
        <v>28</v>
      </c>
      <c r="F1044">
        <v>1</v>
      </c>
      <c r="G1044">
        <v>1666.64</v>
      </c>
      <c r="H1044">
        <v>1666.64</v>
      </c>
      <c r="I1044">
        <v>174.3</v>
      </c>
      <c r="J1044">
        <v>1492.34</v>
      </c>
      <c r="K1044">
        <v>272</v>
      </c>
      <c r="L1044" s="11" t="s">
        <v>832</v>
      </c>
      <c r="M1044">
        <f t="shared" si="81"/>
        <v>3</v>
      </c>
      <c r="N1044">
        <f t="shared" si="82"/>
        <v>9</v>
      </c>
      <c r="O1044">
        <f t="shared" si="83"/>
        <v>2023</v>
      </c>
      <c r="P1044" s="4">
        <f t="shared" si="84"/>
        <v>45172</v>
      </c>
      <c r="Q1044" t="s">
        <v>1134</v>
      </c>
      <c r="R1044" t="s">
        <v>1137</v>
      </c>
      <c r="S1044">
        <v>4</v>
      </c>
      <c r="T1044" t="s">
        <v>1145</v>
      </c>
      <c r="U1044" s="11" t="str">
        <f t="shared" si="80"/>
        <v>07:26:25 AM</v>
      </c>
      <c r="BL1044" s="2" t="s">
        <v>2194</v>
      </c>
    </row>
    <row r="1045" spans="1:64" x14ac:dyDescent="0.35">
      <c r="A1045">
        <v>3068</v>
      </c>
      <c r="B1045" t="s">
        <v>31</v>
      </c>
      <c r="C1045" s="1">
        <v>45197</v>
      </c>
      <c r="D1045" t="s">
        <v>6</v>
      </c>
      <c r="E1045" t="s">
        <v>22</v>
      </c>
      <c r="F1045">
        <v>1</v>
      </c>
      <c r="G1045">
        <v>2024.37</v>
      </c>
      <c r="H1045">
        <v>2024.37</v>
      </c>
      <c r="I1045">
        <v>202.52</v>
      </c>
      <c r="J1045">
        <v>1821.85</v>
      </c>
      <c r="K1045">
        <v>310</v>
      </c>
      <c r="L1045" s="11" t="s">
        <v>833</v>
      </c>
      <c r="M1045">
        <f t="shared" si="81"/>
        <v>28</v>
      </c>
      <c r="N1045">
        <f t="shared" si="82"/>
        <v>9</v>
      </c>
      <c r="O1045">
        <f t="shared" si="83"/>
        <v>2023</v>
      </c>
      <c r="P1045" s="4">
        <f t="shared" si="84"/>
        <v>45197</v>
      </c>
      <c r="Q1045" t="s">
        <v>1138</v>
      </c>
      <c r="R1045" t="s">
        <v>1137</v>
      </c>
      <c r="S1045">
        <v>3</v>
      </c>
      <c r="T1045" t="s">
        <v>1141</v>
      </c>
      <c r="U1045" s="11" t="str">
        <f t="shared" si="80"/>
        <v>01:00:49 AM</v>
      </c>
      <c r="BL1045" s="2" t="s">
        <v>2195</v>
      </c>
    </row>
    <row r="1046" spans="1:64" x14ac:dyDescent="0.35">
      <c r="A1046">
        <v>4866</v>
      </c>
      <c r="B1046" t="s">
        <v>20</v>
      </c>
      <c r="C1046" s="1">
        <v>45749</v>
      </c>
      <c r="D1046" t="s">
        <v>34</v>
      </c>
      <c r="E1046" t="s">
        <v>28</v>
      </c>
      <c r="F1046">
        <v>3</v>
      </c>
      <c r="G1046">
        <v>1133.78</v>
      </c>
      <c r="H1046">
        <v>3401.34</v>
      </c>
      <c r="I1046">
        <v>188.41</v>
      </c>
      <c r="J1046">
        <v>3212.93</v>
      </c>
      <c r="K1046">
        <v>212</v>
      </c>
      <c r="L1046" s="11" t="s">
        <v>834</v>
      </c>
      <c r="M1046">
        <f t="shared" si="81"/>
        <v>2</v>
      </c>
      <c r="N1046">
        <f t="shared" si="82"/>
        <v>4</v>
      </c>
      <c r="O1046">
        <f t="shared" si="83"/>
        <v>2025</v>
      </c>
      <c r="P1046" s="4">
        <f t="shared" si="84"/>
        <v>45749</v>
      </c>
      <c r="Q1046" t="s">
        <v>1139</v>
      </c>
      <c r="R1046" t="s">
        <v>1135</v>
      </c>
      <c r="S1046">
        <v>5</v>
      </c>
      <c r="T1046" t="s">
        <v>1149</v>
      </c>
      <c r="U1046" s="11" t="str">
        <f t="shared" si="80"/>
        <v>03:57:10 PM</v>
      </c>
      <c r="BL1046" s="2" t="s">
        <v>2196</v>
      </c>
    </row>
    <row r="1047" spans="1:64" x14ac:dyDescent="0.35">
      <c r="A1047">
        <v>7001</v>
      </c>
      <c r="B1047" t="s">
        <v>19</v>
      </c>
      <c r="C1047" s="1">
        <v>45426</v>
      </c>
      <c r="D1047" t="s">
        <v>4</v>
      </c>
      <c r="E1047" t="s">
        <v>38</v>
      </c>
      <c r="F1047">
        <v>1</v>
      </c>
      <c r="G1047">
        <v>1386.1</v>
      </c>
      <c r="H1047">
        <v>1386.1</v>
      </c>
      <c r="I1047">
        <v>277.22000000000003</v>
      </c>
      <c r="J1047">
        <v>1108.8800000000001</v>
      </c>
      <c r="K1047">
        <v>146</v>
      </c>
      <c r="L1047" s="11" t="s">
        <v>835</v>
      </c>
      <c r="M1047">
        <f t="shared" si="81"/>
        <v>14</v>
      </c>
      <c r="N1047">
        <f t="shared" si="82"/>
        <v>5</v>
      </c>
      <c r="O1047">
        <f t="shared" si="83"/>
        <v>2024</v>
      </c>
      <c r="P1047" s="4">
        <f t="shared" si="84"/>
        <v>45426</v>
      </c>
      <c r="Q1047" t="s">
        <v>1134</v>
      </c>
      <c r="R1047" t="s">
        <v>1135</v>
      </c>
      <c r="S1047">
        <v>3</v>
      </c>
      <c r="T1047" t="s">
        <v>1143</v>
      </c>
      <c r="U1047" s="11" t="str">
        <f t="shared" si="80"/>
        <v>04:18:38 AM</v>
      </c>
      <c r="BL1047" s="2" t="s">
        <v>2197</v>
      </c>
    </row>
    <row r="1048" spans="1:64" x14ac:dyDescent="0.35">
      <c r="A1048">
        <v>7272</v>
      </c>
      <c r="B1048" t="s">
        <v>19</v>
      </c>
      <c r="C1048" s="1">
        <v>45585</v>
      </c>
      <c r="D1048" t="s">
        <v>4</v>
      </c>
      <c r="E1048" t="s">
        <v>30</v>
      </c>
      <c r="F1048">
        <v>3</v>
      </c>
      <c r="G1048">
        <v>2373.8000000000002</v>
      </c>
      <c r="H1048">
        <v>7121.4</v>
      </c>
      <c r="I1048">
        <v>287.18</v>
      </c>
      <c r="J1048">
        <v>6834.22</v>
      </c>
      <c r="K1048">
        <v>347</v>
      </c>
      <c r="L1048" s="11" t="s">
        <v>836</v>
      </c>
      <c r="M1048">
        <f t="shared" si="81"/>
        <v>20</v>
      </c>
      <c r="N1048">
        <f t="shared" si="82"/>
        <v>10</v>
      </c>
      <c r="O1048">
        <f t="shared" si="83"/>
        <v>2024</v>
      </c>
      <c r="P1048" s="4">
        <f t="shared" si="84"/>
        <v>45585</v>
      </c>
      <c r="Q1048" t="s">
        <v>1134</v>
      </c>
      <c r="R1048" t="s">
        <v>1135</v>
      </c>
      <c r="S1048">
        <v>5</v>
      </c>
      <c r="T1048" t="s">
        <v>1150</v>
      </c>
      <c r="U1048" s="11" t="str">
        <f t="shared" si="80"/>
        <v>11:30:33 PM</v>
      </c>
      <c r="BL1048" s="2" t="s">
        <v>2198</v>
      </c>
    </row>
    <row r="1049" spans="1:64" x14ac:dyDescent="0.35">
      <c r="A1049">
        <v>1530</v>
      </c>
      <c r="B1049" t="s">
        <v>25</v>
      </c>
      <c r="C1049" s="1">
        <v>45614</v>
      </c>
      <c r="D1049" t="s">
        <v>23</v>
      </c>
      <c r="E1049" t="s">
        <v>28</v>
      </c>
      <c r="F1049">
        <v>1</v>
      </c>
      <c r="G1049">
        <v>799.29</v>
      </c>
      <c r="H1049">
        <v>799.29</v>
      </c>
      <c r="I1049">
        <v>160.19</v>
      </c>
      <c r="J1049">
        <v>639.1</v>
      </c>
      <c r="K1049">
        <v>50</v>
      </c>
      <c r="L1049" s="11" t="s">
        <v>837</v>
      </c>
      <c r="M1049">
        <f t="shared" si="81"/>
        <v>18</v>
      </c>
      <c r="N1049">
        <f t="shared" si="82"/>
        <v>11</v>
      </c>
      <c r="O1049">
        <f t="shared" si="83"/>
        <v>2024</v>
      </c>
      <c r="P1049" s="4">
        <f t="shared" si="84"/>
        <v>45614</v>
      </c>
      <c r="Q1049" t="s">
        <v>1138</v>
      </c>
      <c r="R1049" t="s">
        <v>1135</v>
      </c>
      <c r="S1049">
        <v>2</v>
      </c>
      <c r="T1049" t="s">
        <v>1147</v>
      </c>
      <c r="U1049" s="11" t="str">
        <f t="shared" si="80"/>
        <v>07:03:13 PM</v>
      </c>
      <c r="BL1049" s="2" t="s">
        <v>2199</v>
      </c>
    </row>
    <row r="1050" spans="1:64" x14ac:dyDescent="0.35">
      <c r="A1050">
        <v>3513</v>
      </c>
      <c r="B1050" t="s">
        <v>13</v>
      </c>
      <c r="C1050" s="1">
        <v>45672</v>
      </c>
      <c r="D1050" t="s">
        <v>11</v>
      </c>
      <c r="E1050" t="s">
        <v>2</v>
      </c>
      <c r="F1050">
        <v>4</v>
      </c>
      <c r="G1050">
        <v>2348.9</v>
      </c>
      <c r="H1050">
        <v>9395.6</v>
      </c>
      <c r="I1050">
        <v>150.22999999999999</v>
      </c>
      <c r="J1050">
        <v>9245.3700000000008</v>
      </c>
      <c r="K1050">
        <v>460</v>
      </c>
      <c r="L1050" s="11" t="s">
        <v>838</v>
      </c>
      <c r="M1050">
        <f t="shared" si="81"/>
        <v>15</v>
      </c>
      <c r="N1050">
        <f t="shared" si="82"/>
        <v>1</v>
      </c>
      <c r="O1050">
        <f t="shared" si="83"/>
        <v>2025</v>
      </c>
      <c r="P1050" s="4">
        <f t="shared" si="84"/>
        <v>45672</v>
      </c>
      <c r="Q1050" t="s">
        <v>1138</v>
      </c>
      <c r="R1050" t="s">
        <v>1135</v>
      </c>
      <c r="S1050">
        <v>1</v>
      </c>
      <c r="T1050" t="s">
        <v>1148</v>
      </c>
      <c r="U1050" s="11" t="str">
        <f t="shared" si="80"/>
        <v>02:55:05 PM</v>
      </c>
      <c r="BL1050" s="2" t="s">
        <v>2200</v>
      </c>
    </row>
    <row r="1051" spans="1:64" x14ac:dyDescent="0.35">
      <c r="A1051">
        <v>8371</v>
      </c>
      <c r="B1051" t="s">
        <v>31</v>
      </c>
      <c r="C1051" s="1">
        <v>45433</v>
      </c>
      <c r="D1051" t="s">
        <v>34</v>
      </c>
      <c r="E1051" t="s">
        <v>36</v>
      </c>
      <c r="F1051">
        <v>5</v>
      </c>
      <c r="G1051">
        <v>1009.28</v>
      </c>
      <c r="H1051">
        <v>5046.3999999999996</v>
      </c>
      <c r="I1051">
        <v>188.41</v>
      </c>
      <c r="J1051">
        <v>4857.99</v>
      </c>
      <c r="K1051">
        <v>58</v>
      </c>
      <c r="L1051" s="11" t="s">
        <v>839</v>
      </c>
      <c r="M1051">
        <f t="shared" si="81"/>
        <v>21</v>
      </c>
      <c r="N1051">
        <f t="shared" si="82"/>
        <v>5</v>
      </c>
      <c r="O1051">
        <f t="shared" si="83"/>
        <v>2024</v>
      </c>
      <c r="P1051" s="4">
        <f t="shared" si="84"/>
        <v>45433</v>
      </c>
      <c r="Q1051" t="s">
        <v>1138</v>
      </c>
      <c r="R1051" t="s">
        <v>1135</v>
      </c>
      <c r="S1051">
        <v>3</v>
      </c>
      <c r="T1051" t="s">
        <v>1141</v>
      </c>
      <c r="U1051" s="11" t="str">
        <f t="shared" si="80"/>
        <v>08:37:11 AM</v>
      </c>
      <c r="BL1051" s="2" t="s">
        <v>2201</v>
      </c>
    </row>
    <row r="1052" spans="1:64" x14ac:dyDescent="0.35">
      <c r="A1052">
        <v>7095</v>
      </c>
      <c r="B1052" t="s">
        <v>3</v>
      </c>
      <c r="C1052" s="1">
        <v>45489</v>
      </c>
      <c r="D1052" t="s">
        <v>9</v>
      </c>
      <c r="E1052" t="s">
        <v>32</v>
      </c>
      <c r="F1052">
        <v>4</v>
      </c>
      <c r="G1052">
        <v>151.88999999999999</v>
      </c>
      <c r="H1052">
        <v>607.55999999999995</v>
      </c>
      <c r="I1052">
        <v>172.64</v>
      </c>
      <c r="J1052">
        <v>434.92</v>
      </c>
      <c r="K1052">
        <v>324</v>
      </c>
      <c r="L1052" s="11" t="s">
        <v>840</v>
      </c>
      <c r="M1052">
        <f t="shared" si="81"/>
        <v>16</v>
      </c>
      <c r="N1052">
        <f t="shared" si="82"/>
        <v>7</v>
      </c>
      <c r="O1052">
        <f t="shared" si="83"/>
        <v>2024</v>
      </c>
      <c r="P1052" s="4">
        <f t="shared" si="84"/>
        <v>45489</v>
      </c>
      <c r="Q1052" t="s">
        <v>1139</v>
      </c>
      <c r="R1052" t="s">
        <v>1135</v>
      </c>
      <c r="S1052">
        <v>3</v>
      </c>
      <c r="T1052" t="s">
        <v>1150</v>
      </c>
      <c r="U1052" s="11" t="str">
        <f t="shared" si="80"/>
        <v>04:10:40 PM</v>
      </c>
      <c r="BL1052" s="2" t="s">
        <v>2202</v>
      </c>
    </row>
    <row r="1053" spans="1:64" x14ac:dyDescent="0.35">
      <c r="A1053">
        <v>2259</v>
      </c>
      <c r="B1053" t="s">
        <v>0</v>
      </c>
      <c r="C1053" s="1">
        <v>45590</v>
      </c>
      <c r="D1053" t="s">
        <v>6</v>
      </c>
      <c r="E1053" t="s">
        <v>7</v>
      </c>
      <c r="F1053">
        <v>2</v>
      </c>
      <c r="G1053">
        <v>815.06</v>
      </c>
      <c r="H1053">
        <v>1630.12</v>
      </c>
      <c r="I1053">
        <v>364.37</v>
      </c>
      <c r="J1053">
        <v>1265.75</v>
      </c>
      <c r="K1053">
        <v>208</v>
      </c>
      <c r="L1053" s="11" t="s">
        <v>841</v>
      </c>
      <c r="M1053">
        <f t="shared" si="81"/>
        <v>25</v>
      </c>
      <c r="N1053">
        <f t="shared" si="82"/>
        <v>10</v>
      </c>
      <c r="O1053">
        <f t="shared" si="83"/>
        <v>2024</v>
      </c>
      <c r="P1053" s="4">
        <f t="shared" si="84"/>
        <v>45590</v>
      </c>
      <c r="Q1053" t="s">
        <v>1138</v>
      </c>
      <c r="R1053" t="s">
        <v>1137</v>
      </c>
      <c r="S1053">
        <v>5</v>
      </c>
      <c r="T1053" t="s">
        <v>1146</v>
      </c>
      <c r="U1053" s="11" t="str">
        <f t="shared" si="80"/>
        <v>12:45:20 PM</v>
      </c>
      <c r="BL1053" s="2" t="s">
        <v>2203</v>
      </c>
    </row>
    <row r="1054" spans="1:64" x14ac:dyDescent="0.35">
      <c r="A1054">
        <v>3255</v>
      </c>
      <c r="B1054" t="s">
        <v>3</v>
      </c>
      <c r="C1054" s="1">
        <v>45556</v>
      </c>
      <c r="D1054" t="s">
        <v>6</v>
      </c>
      <c r="E1054" t="s">
        <v>30</v>
      </c>
      <c r="F1054">
        <v>3</v>
      </c>
      <c r="G1054">
        <v>1382.78</v>
      </c>
      <c r="H1054">
        <v>4148.34</v>
      </c>
      <c r="I1054">
        <v>399.23</v>
      </c>
      <c r="J1054">
        <v>3749.11</v>
      </c>
      <c r="K1054">
        <v>86</v>
      </c>
      <c r="L1054" s="11" t="s">
        <v>842</v>
      </c>
      <c r="M1054">
        <f t="shared" si="81"/>
        <v>21</v>
      </c>
      <c r="N1054">
        <f t="shared" si="82"/>
        <v>9</v>
      </c>
      <c r="O1054">
        <f t="shared" si="83"/>
        <v>2024</v>
      </c>
      <c r="P1054" s="4">
        <f t="shared" si="84"/>
        <v>45556</v>
      </c>
      <c r="Q1054" t="s">
        <v>1134</v>
      </c>
      <c r="R1054" t="s">
        <v>1135</v>
      </c>
      <c r="S1054">
        <v>2</v>
      </c>
      <c r="T1054" t="s">
        <v>1148</v>
      </c>
      <c r="U1054" s="11" t="str">
        <f t="shared" si="80"/>
        <v>08:39:44 AM</v>
      </c>
      <c r="BL1054" s="2" t="s">
        <v>2204</v>
      </c>
    </row>
    <row r="1055" spans="1:64" x14ac:dyDescent="0.35">
      <c r="A1055">
        <v>7012</v>
      </c>
      <c r="B1055" t="s">
        <v>3</v>
      </c>
      <c r="C1055" s="1">
        <v>45454</v>
      </c>
      <c r="D1055" t="s">
        <v>34</v>
      </c>
      <c r="E1055" t="s">
        <v>29</v>
      </c>
      <c r="F1055">
        <v>1</v>
      </c>
      <c r="G1055">
        <v>2038.48</v>
      </c>
      <c r="H1055">
        <v>2038.48</v>
      </c>
      <c r="I1055">
        <v>0</v>
      </c>
      <c r="J1055">
        <v>2038.48</v>
      </c>
      <c r="K1055">
        <v>492</v>
      </c>
      <c r="L1055" s="11" t="s">
        <v>843</v>
      </c>
      <c r="M1055">
        <f t="shared" si="81"/>
        <v>11</v>
      </c>
      <c r="N1055">
        <f t="shared" si="82"/>
        <v>6</v>
      </c>
      <c r="O1055">
        <f t="shared" si="83"/>
        <v>2024</v>
      </c>
      <c r="P1055" s="4">
        <f t="shared" si="84"/>
        <v>45454</v>
      </c>
      <c r="Q1055" t="s">
        <v>1134</v>
      </c>
      <c r="R1055" t="s">
        <v>1135</v>
      </c>
      <c r="S1055">
        <v>2</v>
      </c>
      <c r="T1055" t="s">
        <v>1150</v>
      </c>
      <c r="U1055" s="11" t="str">
        <f t="shared" si="80"/>
        <v>04:32:37 AM</v>
      </c>
      <c r="BL1055" s="2" t="s">
        <v>2205</v>
      </c>
    </row>
    <row r="1056" spans="1:64" x14ac:dyDescent="0.35">
      <c r="A1056">
        <v>6150</v>
      </c>
      <c r="B1056" t="s">
        <v>8</v>
      </c>
      <c r="C1056" s="1">
        <v>45649</v>
      </c>
      <c r="D1056" t="s">
        <v>1</v>
      </c>
      <c r="E1056" t="s">
        <v>29</v>
      </c>
      <c r="F1056">
        <v>4</v>
      </c>
      <c r="G1056">
        <v>740.36</v>
      </c>
      <c r="H1056">
        <v>2961.44</v>
      </c>
      <c r="I1056">
        <v>444.05</v>
      </c>
      <c r="J1056">
        <v>2517.39</v>
      </c>
      <c r="K1056">
        <v>128</v>
      </c>
      <c r="L1056" s="11" t="s">
        <v>844</v>
      </c>
      <c r="M1056">
        <f t="shared" si="81"/>
        <v>23</v>
      </c>
      <c r="N1056">
        <f t="shared" si="82"/>
        <v>12</v>
      </c>
      <c r="O1056">
        <f t="shared" si="83"/>
        <v>2024</v>
      </c>
      <c r="P1056" s="4">
        <f t="shared" si="84"/>
        <v>45649</v>
      </c>
      <c r="Q1056" t="s">
        <v>1138</v>
      </c>
      <c r="R1056" t="s">
        <v>1137</v>
      </c>
      <c r="S1056">
        <v>5</v>
      </c>
      <c r="T1056" t="s">
        <v>1149</v>
      </c>
      <c r="U1056" s="11" t="str">
        <f t="shared" si="80"/>
        <v>07:39:26 AM</v>
      </c>
      <c r="BL1056" s="2" t="s">
        <v>2206</v>
      </c>
    </row>
    <row r="1057" spans="1:64" x14ac:dyDescent="0.35">
      <c r="A1057">
        <v>5566</v>
      </c>
      <c r="B1057" t="s">
        <v>31</v>
      </c>
      <c r="C1057" s="1">
        <v>45338</v>
      </c>
      <c r="D1057" t="s">
        <v>17</v>
      </c>
      <c r="E1057" t="s">
        <v>36</v>
      </c>
      <c r="F1057">
        <v>3</v>
      </c>
      <c r="G1057">
        <v>191.73</v>
      </c>
      <c r="H1057">
        <v>575.19000000000005</v>
      </c>
      <c r="I1057">
        <v>86.32</v>
      </c>
      <c r="J1057">
        <v>488.87</v>
      </c>
      <c r="K1057">
        <v>378</v>
      </c>
      <c r="L1057" s="11" t="s">
        <v>845</v>
      </c>
      <c r="M1057">
        <f t="shared" si="81"/>
        <v>16</v>
      </c>
      <c r="N1057">
        <f t="shared" si="82"/>
        <v>2</v>
      </c>
      <c r="O1057">
        <f t="shared" si="83"/>
        <v>2024</v>
      </c>
      <c r="P1057" s="4">
        <f t="shared" si="84"/>
        <v>45338</v>
      </c>
      <c r="Q1057" t="s">
        <v>1138</v>
      </c>
      <c r="R1057" t="s">
        <v>1135</v>
      </c>
      <c r="S1057">
        <v>2</v>
      </c>
      <c r="T1057" t="s">
        <v>1146</v>
      </c>
      <c r="U1057" s="11" t="str">
        <f t="shared" si="80"/>
        <v>10:53:10 AM</v>
      </c>
      <c r="BL1057" s="2" t="s">
        <v>2207</v>
      </c>
    </row>
    <row r="1058" spans="1:64" x14ac:dyDescent="0.35">
      <c r="A1058">
        <v>2858</v>
      </c>
      <c r="B1058" t="s">
        <v>0</v>
      </c>
      <c r="C1058" s="1">
        <v>45165</v>
      </c>
      <c r="D1058" t="s">
        <v>9</v>
      </c>
      <c r="E1058" t="s">
        <v>38</v>
      </c>
      <c r="F1058">
        <v>2</v>
      </c>
      <c r="G1058">
        <v>1827.66</v>
      </c>
      <c r="H1058">
        <v>3655.32</v>
      </c>
      <c r="I1058">
        <v>731.23</v>
      </c>
      <c r="J1058">
        <v>2924.09</v>
      </c>
      <c r="K1058">
        <v>143</v>
      </c>
      <c r="L1058" s="11" t="s">
        <v>846</v>
      </c>
      <c r="M1058">
        <f t="shared" si="81"/>
        <v>27</v>
      </c>
      <c r="N1058">
        <f t="shared" si="82"/>
        <v>8</v>
      </c>
      <c r="O1058">
        <f t="shared" si="83"/>
        <v>2023</v>
      </c>
      <c r="P1058" s="4">
        <f t="shared" si="84"/>
        <v>45165</v>
      </c>
      <c r="Q1058" t="s">
        <v>1136</v>
      </c>
      <c r="R1058" t="s">
        <v>1135</v>
      </c>
      <c r="S1058">
        <v>4</v>
      </c>
      <c r="T1058" t="s">
        <v>1142</v>
      </c>
      <c r="U1058" s="11" t="str">
        <f t="shared" si="80"/>
        <v>08:16:14 AM</v>
      </c>
      <c r="BL1058" s="2" t="s">
        <v>2208</v>
      </c>
    </row>
    <row r="1059" spans="1:64" x14ac:dyDescent="0.35">
      <c r="A1059">
        <v>4048</v>
      </c>
      <c r="B1059" t="s">
        <v>3</v>
      </c>
      <c r="C1059" s="1">
        <v>45532</v>
      </c>
      <c r="D1059" t="s">
        <v>11</v>
      </c>
      <c r="E1059" t="s">
        <v>10</v>
      </c>
      <c r="F1059">
        <v>3</v>
      </c>
      <c r="G1059">
        <v>2440.1999999999998</v>
      </c>
      <c r="H1059">
        <v>7320.6</v>
      </c>
      <c r="I1059">
        <v>1098.0899999999999</v>
      </c>
      <c r="J1059">
        <v>6222.51</v>
      </c>
      <c r="K1059">
        <v>362</v>
      </c>
      <c r="L1059" s="11" t="s">
        <v>847</v>
      </c>
      <c r="M1059">
        <f t="shared" si="81"/>
        <v>28</v>
      </c>
      <c r="N1059">
        <f t="shared" si="82"/>
        <v>8</v>
      </c>
      <c r="O1059">
        <f t="shared" si="83"/>
        <v>2024</v>
      </c>
      <c r="P1059" s="4">
        <f t="shared" si="84"/>
        <v>45532</v>
      </c>
      <c r="Q1059" t="s">
        <v>1134</v>
      </c>
      <c r="R1059" t="s">
        <v>1137</v>
      </c>
      <c r="S1059">
        <v>1</v>
      </c>
      <c r="T1059" t="s">
        <v>1147</v>
      </c>
      <c r="U1059" s="11" t="str">
        <f t="shared" si="80"/>
        <v>10:03:38 AM</v>
      </c>
      <c r="BL1059" s="2" t="s">
        <v>2209</v>
      </c>
    </row>
    <row r="1060" spans="1:64" x14ac:dyDescent="0.35">
      <c r="A1060">
        <v>9482</v>
      </c>
      <c r="B1060" t="s">
        <v>31</v>
      </c>
      <c r="C1060" s="1">
        <v>45445</v>
      </c>
      <c r="D1060" t="s">
        <v>16</v>
      </c>
      <c r="E1060" t="s">
        <v>10</v>
      </c>
      <c r="F1060">
        <v>3</v>
      </c>
      <c r="G1060">
        <v>589.29999999999995</v>
      </c>
      <c r="H1060">
        <v>1767.9</v>
      </c>
      <c r="I1060">
        <v>386.78</v>
      </c>
      <c r="J1060">
        <v>1381.12</v>
      </c>
      <c r="K1060">
        <v>491</v>
      </c>
      <c r="L1060" s="11" t="s">
        <v>848</v>
      </c>
      <c r="M1060">
        <f t="shared" si="81"/>
        <v>2</v>
      </c>
      <c r="N1060">
        <f t="shared" si="82"/>
        <v>6</v>
      </c>
      <c r="O1060">
        <f t="shared" si="83"/>
        <v>2024</v>
      </c>
      <c r="P1060" s="4">
        <f t="shared" si="84"/>
        <v>45445</v>
      </c>
      <c r="Q1060" t="s">
        <v>1139</v>
      </c>
      <c r="R1060" t="s">
        <v>1135</v>
      </c>
      <c r="S1060">
        <v>3</v>
      </c>
      <c r="T1060" t="s">
        <v>1141</v>
      </c>
      <c r="U1060" s="11" t="str">
        <f t="shared" si="80"/>
        <v>10:14:48 AM</v>
      </c>
      <c r="BL1060" s="2" t="s">
        <v>2210</v>
      </c>
    </row>
    <row r="1061" spans="1:64" x14ac:dyDescent="0.35">
      <c r="A1061">
        <v>2929</v>
      </c>
      <c r="B1061" t="s">
        <v>8</v>
      </c>
      <c r="C1061" s="1">
        <v>45348</v>
      </c>
      <c r="D1061" t="s">
        <v>16</v>
      </c>
      <c r="E1061" t="s">
        <v>28</v>
      </c>
      <c r="F1061">
        <v>5</v>
      </c>
      <c r="G1061">
        <v>1229.23</v>
      </c>
      <c r="H1061">
        <v>6146.15</v>
      </c>
      <c r="I1061">
        <v>0</v>
      </c>
      <c r="J1061">
        <v>6146.15</v>
      </c>
      <c r="K1061">
        <v>461</v>
      </c>
      <c r="L1061" s="11" t="s">
        <v>849</v>
      </c>
      <c r="M1061">
        <f t="shared" si="81"/>
        <v>26</v>
      </c>
      <c r="N1061">
        <f t="shared" si="82"/>
        <v>2</v>
      </c>
      <c r="O1061">
        <f t="shared" si="83"/>
        <v>2024</v>
      </c>
      <c r="P1061" s="4">
        <f t="shared" si="84"/>
        <v>45348</v>
      </c>
      <c r="Q1061" t="s">
        <v>1136</v>
      </c>
      <c r="R1061" t="s">
        <v>1135</v>
      </c>
      <c r="S1061">
        <v>1</v>
      </c>
      <c r="T1061" t="s">
        <v>1144</v>
      </c>
      <c r="U1061" s="11" t="str">
        <f t="shared" si="80"/>
        <v>02:04:34 PM</v>
      </c>
      <c r="BL1061" s="2" t="s">
        <v>2211</v>
      </c>
    </row>
    <row r="1062" spans="1:64" x14ac:dyDescent="0.35">
      <c r="A1062">
        <v>5264</v>
      </c>
      <c r="B1062" t="s">
        <v>8</v>
      </c>
      <c r="C1062" s="1">
        <v>45691</v>
      </c>
      <c r="D1062" t="s">
        <v>9</v>
      </c>
      <c r="E1062" t="s">
        <v>7</v>
      </c>
      <c r="F1062">
        <v>4</v>
      </c>
      <c r="G1062">
        <v>1917.3</v>
      </c>
      <c r="H1062">
        <v>7669.2</v>
      </c>
      <c r="I1062">
        <v>0</v>
      </c>
      <c r="J1062">
        <v>7669.2</v>
      </c>
      <c r="K1062">
        <v>275</v>
      </c>
      <c r="L1062" s="11" t="s">
        <v>850</v>
      </c>
      <c r="M1062">
        <f t="shared" si="81"/>
        <v>3</v>
      </c>
      <c r="N1062">
        <f t="shared" si="82"/>
        <v>2</v>
      </c>
      <c r="O1062">
        <f t="shared" si="83"/>
        <v>2025</v>
      </c>
      <c r="P1062" s="4">
        <f t="shared" si="84"/>
        <v>45691</v>
      </c>
      <c r="Q1062" t="s">
        <v>1138</v>
      </c>
      <c r="R1062" t="s">
        <v>1135</v>
      </c>
      <c r="S1062">
        <v>3</v>
      </c>
      <c r="T1062" t="s">
        <v>1143</v>
      </c>
      <c r="U1062" s="11" t="str">
        <f t="shared" si="80"/>
        <v>09:09:25 PM</v>
      </c>
      <c r="BL1062" s="2" t="s">
        <v>2212</v>
      </c>
    </row>
    <row r="1063" spans="1:64" x14ac:dyDescent="0.35">
      <c r="A1063">
        <v>8311</v>
      </c>
      <c r="B1063" t="s">
        <v>0</v>
      </c>
      <c r="C1063" s="1">
        <v>45311</v>
      </c>
      <c r="D1063" t="s">
        <v>27</v>
      </c>
      <c r="E1063" t="s">
        <v>28</v>
      </c>
      <c r="F1063">
        <v>4</v>
      </c>
      <c r="G1063">
        <v>1700.67</v>
      </c>
      <c r="H1063">
        <v>6802.68</v>
      </c>
      <c r="I1063">
        <v>201.69</v>
      </c>
      <c r="J1063">
        <v>6600.99</v>
      </c>
      <c r="K1063">
        <v>180</v>
      </c>
      <c r="L1063" s="11" t="s">
        <v>851</v>
      </c>
      <c r="M1063">
        <f t="shared" si="81"/>
        <v>20</v>
      </c>
      <c r="N1063">
        <f t="shared" si="82"/>
        <v>1</v>
      </c>
      <c r="O1063">
        <f t="shared" si="83"/>
        <v>2024</v>
      </c>
      <c r="P1063" s="4">
        <f t="shared" si="84"/>
        <v>45311</v>
      </c>
      <c r="Q1063" t="s">
        <v>1138</v>
      </c>
      <c r="R1063" t="s">
        <v>1137</v>
      </c>
      <c r="S1063">
        <v>4</v>
      </c>
      <c r="T1063" t="s">
        <v>1144</v>
      </c>
      <c r="U1063" s="11" t="str">
        <f t="shared" si="80"/>
        <v>05:04:13 PM</v>
      </c>
      <c r="BL1063" s="2" t="s">
        <v>2213</v>
      </c>
    </row>
    <row r="1064" spans="1:64" x14ac:dyDescent="0.35">
      <c r="A1064">
        <v>5678</v>
      </c>
      <c r="B1064" t="s">
        <v>8</v>
      </c>
      <c r="C1064" s="1">
        <v>45684</v>
      </c>
      <c r="D1064" t="s">
        <v>1</v>
      </c>
      <c r="E1064" t="s">
        <v>38</v>
      </c>
      <c r="F1064">
        <v>4</v>
      </c>
      <c r="G1064">
        <v>973.59</v>
      </c>
      <c r="H1064">
        <v>3894.36</v>
      </c>
      <c r="I1064">
        <v>156.87</v>
      </c>
      <c r="J1064">
        <v>3737.49</v>
      </c>
      <c r="K1064">
        <v>98</v>
      </c>
      <c r="L1064" s="11" t="s">
        <v>852</v>
      </c>
      <c r="M1064">
        <f t="shared" si="81"/>
        <v>27</v>
      </c>
      <c r="N1064">
        <f t="shared" si="82"/>
        <v>1</v>
      </c>
      <c r="O1064">
        <f t="shared" si="83"/>
        <v>2025</v>
      </c>
      <c r="P1064" s="4">
        <f t="shared" si="84"/>
        <v>45684</v>
      </c>
      <c r="Q1064" t="s">
        <v>1134</v>
      </c>
      <c r="R1064" t="s">
        <v>1135</v>
      </c>
      <c r="S1064">
        <v>2</v>
      </c>
      <c r="T1064" t="s">
        <v>1141</v>
      </c>
      <c r="U1064" s="11" t="str">
        <f t="shared" si="80"/>
        <v>02:42:53 PM</v>
      </c>
      <c r="BL1064" s="2" t="s">
        <v>2214</v>
      </c>
    </row>
    <row r="1065" spans="1:64" x14ac:dyDescent="0.35">
      <c r="A1065">
        <v>9047</v>
      </c>
      <c r="B1065" t="s">
        <v>20</v>
      </c>
      <c r="C1065" s="1">
        <v>45300</v>
      </c>
      <c r="D1065" t="s">
        <v>24</v>
      </c>
      <c r="E1065" t="s">
        <v>12</v>
      </c>
      <c r="F1065">
        <v>2</v>
      </c>
      <c r="G1065">
        <v>298.8</v>
      </c>
      <c r="H1065">
        <v>597.6</v>
      </c>
      <c r="I1065">
        <v>0</v>
      </c>
      <c r="J1065">
        <v>597.6</v>
      </c>
      <c r="K1065">
        <v>314</v>
      </c>
      <c r="L1065" s="11" t="s">
        <v>853</v>
      </c>
      <c r="M1065">
        <f t="shared" si="81"/>
        <v>9</v>
      </c>
      <c r="N1065">
        <f t="shared" si="82"/>
        <v>1</v>
      </c>
      <c r="O1065">
        <f t="shared" si="83"/>
        <v>2024</v>
      </c>
      <c r="P1065" s="4">
        <f t="shared" si="84"/>
        <v>45300</v>
      </c>
      <c r="Q1065" t="s">
        <v>1138</v>
      </c>
      <c r="R1065" t="s">
        <v>1135</v>
      </c>
      <c r="S1065">
        <v>5</v>
      </c>
      <c r="T1065" t="s">
        <v>1148</v>
      </c>
      <c r="U1065" s="11" t="str">
        <f t="shared" si="80"/>
        <v>05:26:22 PM</v>
      </c>
      <c r="BL1065" s="2" t="s">
        <v>2215</v>
      </c>
    </row>
    <row r="1066" spans="1:64" x14ac:dyDescent="0.35">
      <c r="A1066">
        <v>3009</v>
      </c>
      <c r="B1066" t="s">
        <v>31</v>
      </c>
      <c r="C1066" s="1">
        <v>45250</v>
      </c>
      <c r="D1066" t="s">
        <v>6</v>
      </c>
      <c r="E1066" t="s">
        <v>37</v>
      </c>
      <c r="F1066">
        <v>3</v>
      </c>
      <c r="G1066">
        <v>170.98</v>
      </c>
      <c r="H1066">
        <v>512.94000000000005</v>
      </c>
      <c r="I1066">
        <v>147.74</v>
      </c>
      <c r="J1066">
        <v>365.2</v>
      </c>
      <c r="K1066">
        <v>252</v>
      </c>
      <c r="L1066" s="11" t="s">
        <v>854</v>
      </c>
      <c r="M1066">
        <f t="shared" si="81"/>
        <v>20</v>
      </c>
      <c r="N1066">
        <f t="shared" si="82"/>
        <v>11</v>
      </c>
      <c r="O1066">
        <f t="shared" si="83"/>
        <v>2023</v>
      </c>
      <c r="P1066" s="4">
        <f t="shared" si="84"/>
        <v>45250</v>
      </c>
      <c r="Q1066" t="s">
        <v>1139</v>
      </c>
      <c r="R1066" t="s">
        <v>1137</v>
      </c>
      <c r="S1066">
        <v>4</v>
      </c>
      <c r="T1066" t="s">
        <v>1141</v>
      </c>
      <c r="U1066" s="11" t="str">
        <f t="shared" ref="U1066:U1129" si="85">TEXT(L1066,"hh:mm:ss AM/PM")</f>
        <v>06:07:49 AM</v>
      </c>
      <c r="BL1066" s="2" t="s">
        <v>2216</v>
      </c>
    </row>
    <row r="1067" spans="1:64" x14ac:dyDescent="0.35">
      <c r="A1067">
        <v>2213</v>
      </c>
      <c r="B1067" t="s">
        <v>13</v>
      </c>
      <c r="C1067" s="1">
        <v>45496</v>
      </c>
      <c r="D1067" t="s">
        <v>4</v>
      </c>
      <c r="E1067" t="s">
        <v>2</v>
      </c>
      <c r="F1067">
        <v>5</v>
      </c>
      <c r="G1067">
        <v>1286.5</v>
      </c>
      <c r="H1067">
        <v>6432.5</v>
      </c>
      <c r="I1067">
        <v>0</v>
      </c>
      <c r="J1067">
        <v>6432.5</v>
      </c>
      <c r="K1067">
        <v>87</v>
      </c>
      <c r="L1067" s="11" t="s">
        <v>855</v>
      </c>
      <c r="M1067">
        <f t="shared" si="81"/>
        <v>23</v>
      </c>
      <c r="N1067">
        <f t="shared" si="82"/>
        <v>7</v>
      </c>
      <c r="O1067">
        <f t="shared" si="83"/>
        <v>2024</v>
      </c>
      <c r="P1067" s="4">
        <f t="shared" si="84"/>
        <v>45496</v>
      </c>
      <c r="Q1067" t="s">
        <v>1134</v>
      </c>
      <c r="R1067" t="s">
        <v>1135</v>
      </c>
      <c r="S1067">
        <v>1</v>
      </c>
      <c r="T1067" t="s">
        <v>1141</v>
      </c>
      <c r="U1067" s="11" t="str">
        <f t="shared" si="85"/>
        <v>12:13:32 AM</v>
      </c>
      <c r="BL1067" s="2" t="s">
        <v>2217</v>
      </c>
    </row>
    <row r="1068" spans="1:64" x14ac:dyDescent="0.35">
      <c r="A1068">
        <v>3828</v>
      </c>
      <c r="B1068" t="s">
        <v>8</v>
      </c>
      <c r="C1068" s="1">
        <v>45843</v>
      </c>
      <c r="D1068" t="s">
        <v>4</v>
      </c>
      <c r="E1068" t="s">
        <v>30</v>
      </c>
      <c r="F1068">
        <v>1</v>
      </c>
      <c r="G1068">
        <v>389.27</v>
      </c>
      <c r="H1068">
        <v>389.27</v>
      </c>
      <c r="I1068">
        <v>325.36</v>
      </c>
      <c r="J1068">
        <v>63.91</v>
      </c>
      <c r="K1068">
        <v>477</v>
      </c>
      <c r="L1068" s="11" t="s">
        <v>856</v>
      </c>
      <c r="M1068">
        <f t="shared" si="81"/>
        <v>5</v>
      </c>
      <c r="N1068">
        <f t="shared" si="82"/>
        <v>7</v>
      </c>
      <c r="O1068">
        <f t="shared" si="83"/>
        <v>2025</v>
      </c>
      <c r="P1068" s="4">
        <f t="shared" si="84"/>
        <v>45843</v>
      </c>
      <c r="Q1068" t="s">
        <v>1138</v>
      </c>
      <c r="R1068" t="s">
        <v>1137</v>
      </c>
      <c r="S1068">
        <v>5</v>
      </c>
      <c r="T1068" t="s">
        <v>1149</v>
      </c>
      <c r="U1068" s="11" t="str">
        <f t="shared" si="85"/>
        <v>01:23:43 PM</v>
      </c>
      <c r="BL1068" s="2" t="s">
        <v>2218</v>
      </c>
    </row>
    <row r="1069" spans="1:64" x14ac:dyDescent="0.35">
      <c r="A1069">
        <v>8292</v>
      </c>
      <c r="B1069" t="s">
        <v>19</v>
      </c>
      <c r="C1069" s="1">
        <v>45213</v>
      </c>
      <c r="D1069" t="s">
        <v>6</v>
      </c>
      <c r="E1069" t="s">
        <v>28</v>
      </c>
      <c r="F1069">
        <v>5</v>
      </c>
      <c r="G1069">
        <v>1561.23</v>
      </c>
      <c r="H1069">
        <v>7806.15</v>
      </c>
      <c r="I1069">
        <v>394.25</v>
      </c>
      <c r="J1069">
        <v>7411.9</v>
      </c>
      <c r="K1069">
        <v>348</v>
      </c>
      <c r="L1069" s="11" t="s">
        <v>857</v>
      </c>
      <c r="M1069">
        <f t="shared" si="81"/>
        <v>14</v>
      </c>
      <c r="N1069">
        <f t="shared" si="82"/>
        <v>10</v>
      </c>
      <c r="O1069">
        <f t="shared" si="83"/>
        <v>2023</v>
      </c>
      <c r="P1069" s="4">
        <f t="shared" si="84"/>
        <v>45213</v>
      </c>
      <c r="Q1069" t="s">
        <v>1134</v>
      </c>
      <c r="R1069" t="s">
        <v>1137</v>
      </c>
      <c r="S1069">
        <v>2</v>
      </c>
      <c r="T1069" t="s">
        <v>1145</v>
      </c>
      <c r="U1069" s="11" t="str">
        <f t="shared" si="85"/>
        <v>07:38:30 PM</v>
      </c>
      <c r="BL1069" s="2" t="s">
        <v>2219</v>
      </c>
    </row>
    <row r="1070" spans="1:64" x14ac:dyDescent="0.35">
      <c r="A1070">
        <v>6236</v>
      </c>
      <c r="B1070" t="s">
        <v>20</v>
      </c>
      <c r="C1070" s="1">
        <v>45663</v>
      </c>
      <c r="D1070" t="s">
        <v>11</v>
      </c>
      <c r="E1070" t="s">
        <v>5</v>
      </c>
      <c r="F1070">
        <v>4</v>
      </c>
      <c r="G1070">
        <v>742.02</v>
      </c>
      <c r="H1070">
        <v>2968.08</v>
      </c>
      <c r="I1070">
        <v>297.14</v>
      </c>
      <c r="J1070">
        <v>2670.94</v>
      </c>
      <c r="K1070">
        <v>348</v>
      </c>
      <c r="L1070" s="11" t="s">
        <v>858</v>
      </c>
      <c r="M1070">
        <f t="shared" si="81"/>
        <v>6</v>
      </c>
      <c r="N1070">
        <f t="shared" si="82"/>
        <v>1</v>
      </c>
      <c r="O1070">
        <f t="shared" si="83"/>
        <v>2025</v>
      </c>
      <c r="P1070" s="4">
        <f t="shared" si="84"/>
        <v>45663</v>
      </c>
      <c r="Q1070" t="s">
        <v>1138</v>
      </c>
      <c r="R1070" t="s">
        <v>1135</v>
      </c>
      <c r="S1070">
        <v>4</v>
      </c>
      <c r="T1070" t="s">
        <v>1143</v>
      </c>
      <c r="U1070" s="11" t="str">
        <f t="shared" si="85"/>
        <v>06:17:33 PM</v>
      </c>
      <c r="BL1070" s="2" t="s">
        <v>2220</v>
      </c>
    </row>
    <row r="1071" spans="1:64" x14ac:dyDescent="0.35">
      <c r="A1071">
        <v>6692</v>
      </c>
      <c r="B1071" t="s">
        <v>25</v>
      </c>
      <c r="C1071" s="1">
        <v>45696</v>
      </c>
      <c r="D1071" t="s">
        <v>27</v>
      </c>
      <c r="E1071" t="s">
        <v>29</v>
      </c>
      <c r="F1071">
        <v>2</v>
      </c>
      <c r="G1071">
        <v>195.05</v>
      </c>
      <c r="H1071">
        <v>390.1</v>
      </c>
      <c r="I1071">
        <v>232.4</v>
      </c>
      <c r="J1071">
        <v>157.69999999999999</v>
      </c>
      <c r="K1071">
        <v>470</v>
      </c>
      <c r="L1071" s="11" t="s">
        <v>859</v>
      </c>
      <c r="M1071">
        <f t="shared" si="81"/>
        <v>8</v>
      </c>
      <c r="N1071">
        <f t="shared" si="82"/>
        <v>2</v>
      </c>
      <c r="O1071">
        <f t="shared" si="83"/>
        <v>2025</v>
      </c>
      <c r="P1071" s="4">
        <f t="shared" si="84"/>
        <v>45696</v>
      </c>
      <c r="Q1071" t="s">
        <v>1138</v>
      </c>
      <c r="R1071" t="s">
        <v>1137</v>
      </c>
      <c r="S1071">
        <v>5</v>
      </c>
      <c r="T1071" t="s">
        <v>1142</v>
      </c>
      <c r="U1071" s="11" t="str">
        <f t="shared" si="85"/>
        <v>02:06:12 PM</v>
      </c>
      <c r="BL1071" s="2" t="s">
        <v>2221</v>
      </c>
    </row>
    <row r="1072" spans="1:64" x14ac:dyDescent="0.35">
      <c r="A1072">
        <v>2063</v>
      </c>
      <c r="B1072" t="s">
        <v>20</v>
      </c>
      <c r="C1072" s="1">
        <v>45572</v>
      </c>
      <c r="D1072" t="s">
        <v>9</v>
      </c>
      <c r="E1072" t="s">
        <v>33</v>
      </c>
      <c r="F1072">
        <v>3</v>
      </c>
      <c r="G1072">
        <v>278.88</v>
      </c>
      <c r="H1072">
        <v>836.64</v>
      </c>
      <c r="I1072">
        <v>0</v>
      </c>
      <c r="J1072">
        <v>836.64</v>
      </c>
      <c r="K1072">
        <v>292</v>
      </c>
      <c r="L1072" s="11" t="s">
        <v>860</v>
      </c>
      <c r="M1072">
        <f t="shared" si="81"/>
        <v>7</v>
      </c>
      <c r="N1072">
        <f t="shared" si="82"/>
        <v>10</v>
      </c>
      <c r="O1072">
        <f t="shared" si="83"/>
        <v>2024</v>
      </c>
      <c r="P1072" s="4">
        <f t="shared" si="84"/>
        <v>45572</v>
      </c>
      <c r="Q1072" t="s">
        <v>1138</v>
      </c>
      <c r="R1072" t="s">
        <v>1137</v>
      </c>
      <c r="S1072">
        <v>4</v>
      </c>
      <c r="T1072" t="s">
        <v>1142</v>
      </c>
      <c r="U1072" s="11" t="str">
        <f t="shared" si="85"/>
        <v>05:28:46 PM</v>
      </c>
      <c r="BL1072" s="2" t="s">
        <v>2222</v>
      </c>
    </row>
    <row r="1073" spans="1:64" x14ac:dyDescent="0.35">
      <c r="A1073">
        <v>9882</v>
      </c>
      <c r="B1073" t="s">
        <v>31</v>
      </c>
      <c r="C1073" s="1">
        <v>45370</v>
      </c>
      <c r="D1073" t="s">
        <v>9</v>
      </c>
      <c r="E1073" t="s">
        <v>32</v>
      </c>
      <c r="F1073">
        <v>2</v>
      </c>
      <c r="G1073">
        <v>556.1</v>
      </c>
      <c r="H1073">
        <v>1112.2</v>
      </c>
      <c r="I1073">
        <v>290.5</v>
      </c>
      <c r="J1073">
        <v>821.7</v>
      </c>
      <c r="K1073">
        <v>168</v>
      </c>
      <c r="L1073" s="11" t="s">
        <v>861</v>
      </c>
      <c r="M1073">
        <f t="shared" si="81"/>
        <v>19</v>
      </c>
      <c r="N1073">
        <f t="shared" si="82"/>
        <v>3</v>
      </c>
      <c r="O1073">
        <f t="shared" si="83"/>
        <v>2024</v>
      </c>
      <c r="P1073" s="4">
        <f t="shared" si="84"/>
        <v>45370</v>
      </c>
      <c r="Q1073" t="s">
        <v>1139</v>
      </c>
      <c r="R1073" t="s">
        <v>1135</v>
      </c>
      <c r="S1073">
        <v>4</v>
      </c>
      <c r="T1073" t="s">
        <v>1150</v>
      </c>
      <c r="U1073" s="11" t="str">
        <f t="shared" si="85"/>
        <v>02:44:25 AM</v>
      </c>
      <c r="BL1073" s="2" t="s">
        <v>2223</v>
      </c>
    </row>
    <row r="1074" spans="1:64" x14ac:dyDescent="0.35">
      <c r="A1074">
        <v>5914</v>
      </c>
      <c r="B1074" t="s">
        <v>0</v>
      </c>
      <c r="C1074" s="1">
        <v>45806</v>
      </c>
      <c r="D1074" t="s">
        <v>1</v>
      </c>
      <c r="E1074" t="s">
        <v>37</v>
      </c>
      <c r="F1074">
        <v>4</v>
      </c>
      <c r="G1074">
        <v>2026.86</v>
      </c>
      <c r="H1074">
        <v>8107.44</v>
      </c>
      <c r="I1074">
        <v>1215.95</v>
      </c>
      <c r="J1074">
        <v>6891.49</v>
      </c>
      <c r="K1074">
        <v>303</v>
      </c>
      <c r="L1074" s="11" t="s">
        <v>862</v>
      </c>
      <c r="M1074">
        <f t="shared" si="81"/>
        <v>29</v>
      </c>
      <c r="N1074">
        <f t="shared" si="82"/>
        <v>5</v>
      </c>
      <c r="O1074">
        <f t="shared" si="83"/>
        <v>2025</v>
      </c>
      <c r="P1074" s="4">
        <f t="shared" si="84"/>
        <v>45806</v>
      </c>
      <c r="Q1074" t="s">
        <v>1139</v>
      </c>
      <c r="R1074" t="s">
        <v>1137</v>
      </c>
      <c r="S1074">
        <v>2</v>
      </c>
      <c r="T1074" t="s">
        <v>1142</v>
      </c>
      <c r="U1074" s="11" t="str">
        <f t="shared" si="85"/>
        <v>04:44:25 AM</v>
      </c>
      <c r="BL1074" s="2" t="s">
        <v>2224</v>
      </c>
    </row>
    <row r="1075" spans="1:64" x14ac:dyDescent="0.35">
      <c r="A1075">
        <v>3580</v>
      </c>
      <c r="B1075" t="s">
        <v>31</v>
      </c>
      <c r="C1075" s="1">
        <v>45697</v>
      </c>
      <c r="D1075" t="s">
        <v>4</v>
      </c>
      <c r="E1075" t="s">
        <v>37</v>
      </c>
      <c r="F1075">
        <v>2</v>
      </c>
      <c r="G1075">
        <v>2390.4</v>
      </c>
      <c r="H1075">
        <v>4780.8</v>
      </c>
      <c r="I1075">
        <v>717.12</v>
      </c>
      <c r="J1075">
        <v>4063.68</v>
      </c>
      <c r="K1075">
        <v>426</v>
      </c>
      <c r="L1075" s="11" t="s">
        <v>863</v>
      </c>
      <c r="M1075">
        <f t="shared" si="81"/>
        <v>9</v>
      </c>
      <c r="N1075">
        <f t="shared" si="82"/>
        <v>2</v>
      </c>
      <c r="O1075">
        <f t="shared" si="83"/>
        <v>2025</v>
      </c>
      <c r="P1075" s="4">
        <f t="shared" si="84"/>
        <v>45697</v>
      </c>
      <c r="Q1075" t="s">
        <v>1134</v>
      </c>
      <c r="R1075" t="s">
        <v>1137</v>
      </c>
      <c r="S1075">
        <v>3</v>
      </c>
      <c r="T1075" t="s">
        <v>1143</v>
      </c>
      <c r="U1075" s="11" t="str">
        <f t="shared" si="85"/>
        <v>10:51:55 PM</v>
      </c>
      <c r="BL1075" s="2" t="s">
        <v>2225</v>
      </c>
    </row>
    <row r="1076" spans="1:64" x14ac:dyDescent="0.35">
      <c r="A1076">
        <v>3852</v>
      </c>
      <c r="B1076" t="s">
        <v>3</v>
      </c>
      <c r="C1076" s="1">
        <v>45761</v>
      </c>
      <c r="D1076" t="s">
        <v>6</v>
      </c>
      <c r="E1076" t="s">
        <v>32</v>
      </c>
      <c r="F1076">
        <v>5</v>
      </c>
      <c r="G1076">
        <v>1573.68</v>
      </c>
      <c r="H1076">
        <v>7868.4</v>
      </c>
      <c r="I1076">
        <v>0</v>
      </c>
      <c r="J1076">
        <v>7868.4</v>
      </c>
      <c r="K1076">
        <v>391</v>
      </c>
      <c r="L1076" s="11" t="s">
        <v>864</v>
      </c>
      <c r="M1076">
        <f t="shared" si="81"/>
        <v>14</v>
      </c>
      <c r="N1076">
        <f t="shared" si="82"/>
        <v>4</v>
      </c>
      <c r="O1076">
        <f t="shared" si="83"/>
        <v>2025</v>
      </c>
      <c r="P1076" s="4">
        <f t="shared" si="84"/>
        <v>45761</v>
      </c>
      <c r="Q1076" t="s">
        <v>1138</v>
      </c>
      <c r="R1076" t="s">
        <v>1135</v>
      </c>
      <c r="S1076">
        <v>5</v>
      </c>
      <c r="T1076" t="s">
        <v>1150</v>
      </c>
      <c r="U1076" s="11" t="str">
        <f t="shared" si="85"/>
        <v>11:32:11 PM</v>
      </c>
      <c r="BL1076" s="2" t="s">
        <v>2226</v>
      </c>
    </row>
    <row r="1077" spans="1:64" x14ac:dyDescent="0.35">
      <c r="A1077">
        <v>6922</v>
      </c>
      <c r="B1077" t="s">
        <v>15</v>
      </c>
      <c r="C1077" s="1">
        <v>45540</v>
      </c>
      <c r="D1077" t="s">
        <v>17</v>
      </c>
      <c r="E1077" t="s">
        <v>38</v>
      </c>
      <c r="F1077">
        <v>1</v>
      </c>
      <c r="G1077">
        <v>2427.75</v>
      </c>
      <c r="H1077">
        <v>2427.75</v>
      </c>
      <c r="I1077">
        <v>243.19</v>
      </c>
      <c r="J1077">
        <v>2184.56</v>
      </c>
      <c r="K1077">
        <v>469</v>
      </c>
      <c r="L1077" s="11" t="s">
        <v>865</v>
      </c>
      <c r="M1077">
        <f t="shared" si="81"/>
        <v>5</v>
      </c>
      <c r="N1077">
        <f t="shared" si="82"/>
        <v>9</v>
      </c>
      <c r="O1077">
        <f t="shared" si="83"/>
        <v>2024</v>
      </c>
      <c r="P1077" s="4">
        <f t="shared" si="84"/>
        <v>45540</v>
      </c>
      <c r="Q1077" t="s">
        <v>1138</v>
      </c>
      <c r="R1077" t="s">
        <v>1135</v>
      </c>
      <c r="S1077">
        <v>2</v>
      </c>
      <c r="T1077" t="s">
        <v>1150</v>
      </c>
      <c r="U1077" s="11" t="str">
        <f t="shared" si="85"/>
        <v>09:22:37 PM</v>
      </c>
      <c r="BL1077" s="2" t="s">
        <v>2227</v>
      </c>
    </row>
    <row r="1078" spans="1:64" x14ac:dyDescent="0.35">
      <c r="A1078">
        <v>4673</v>
      </c>
      <c r="B1078" t="s">
        <v>25</v>
      </c>
      <c r="C1078" s="1">
        <v>45239</v>
      </c>
      <c r="D1078" t="s">
        <v>4</v>
      </c>
      <c r="E1078" t="s">
        <v>30</v>
      </c>
      <c r="F1078">
        <v>1</v>
      </c>
      <c r="G1078">
        <v>2294.12</v>
      </c>
      <c r="H1078">
        <v>2294.12</v>
      </c>
      <c r="I1078">
        <v>344.45</v>
      </c>
      <c r="J1078">
        <v>1949.67</v>
      </c>
      <c r="K1078">
        <v>226</v>
      </c>
      <c r="L1078" s="11" t="s">
        <v>866</v>
      </c>
      <c r="M1078">
        <f t="shared" si="81"/>
        <v>9</v>
      </c>
      <c r="N1078">
        <f t="shared" si="82"/>
        <v>11</v>
      </c>
      <c r="O1078">
        <f t="shared" si="83"/>
        <v>2023</v>
      </c>
      <c r="P1078" s="4">
        <f t="shared" si="84"/>
        <v>45239</v>
      </c>
      <c r="Q1078" t="s">
        <v>1139</v>
      </c>
      <c r="R1078" t="s">
        <v>1135</v>
      </c>
      <c r="S1078">
        <v>4</v>
      </c>
      <c r="T1078" t="s">
        <v>1148</v>
      </c>
      <c r="U1078" s="11" t="str">
        <f t="shared" si="85"/>
        <v>01:49:42 AM</v>
      </c>
      <c r="BL1078" s="2" t="s">
        <v>2228</v>
      </c>
    </row>
    <row r="1079" spans="1:64" x14ac:dyDescent="0.35">
      <c r="A1079">
        <v>4292</v>
      </c>
      <c r="B1079" t="s">
        <v>13</v>
      </c>
      <c r="C1079" s="1">
        <v>45760</v>
      </c>
      <c r="D1079" t="s">
        <v>4</v>
      </c>
      <c r="E1079" t="s">
        <v>38</v>
      </c>
      <c r="F1079">
        <v>1</v>
      </c>
      <c r="G1079">
        <v>1428.43</v>
      </c>
      <c r="H1079">
        <v>1428.43</v>
      </c>
      <c r="I1079">
        <v>142.76</v>
      </c>
      <c r="J1079">
        <v>1285.67</v>
      </c>
      <c r="K1079">
        <v>150</v>
      </c>
      <c r="L1079" s="11" t="s">
        <v>867</v>
      </c>
      <c r="M1079">
        <f t="shared" si="81"/>
        <v>13</v>
      </c>
      <c r="N1079">
        <f t="shared" si="82"/>
        <v>4</v>
      </c>
      <c r="O1079">
        <f t="shared" si="83"/>
        <v>2025</v>
      </c>
      <c r="P1079" s="4">
        <f t="shared" si="84"/>
        <v>45760</v>
      </c>
      <c r="Q1079" t="s">
        <v>1138</v>
      </c>
      <c r="R1079" t="s">
        <v>1137</v>
      </c>
      <c r="S1079">
        <v>2</v>
      </c>
      <c r="T1079" t="s">
        <v>1145</v>
      </c>
      <c r="U1079" s="11" t="str">
        <f t="shared" si="85"/>
        <v>07:51:16 PM</v>
      </c>
      <c r="BL1079" s="2" t="s">
        <v>2229</v>
      </c>
    </row>
    <row r="1080" spans="1:64" x14ac:dyDescent="0.35">
      <c r="A1080">
        <v>3275</v>
      </c>
      <c r="B1080" t="s">
        <v>0</v>
      </c>
      <c r="C1080" s="1">
        <v>45328</v>
      </c>
      <c r="D1080" t="s">
        <v>17</v>
      </c>
      <c r="E1080" t="s">
        <v>5</v>
      </c>
      <c r="F1080">
        <v>2</v>
      </c>
      <c r="G1080">
        <v>2162.98</v>
      </c>
      <c r="H1080">
        <v>4325.96</v>
      </c>
      <c r="I1080">
        <v>432.43</v>
      </c>
      <c r="J1080">
        <v>3893.53</v>
      </c>
      <c r="K1080">
        <v>403</v>
      </c>
      <c r="L1080" s="11" t="s">
        <v>868</v>
      </c>
      <c r="M1080">
        <f t="shared" si="81"/>
        <v>6</v>
      </c>
      <c r="N1080">
        <f t="shared" si="82"/>
        <v>2</v>
      </c>
      <c r="O1080">
        <f t="shared" si="83"/>
        <v>2024</v>
      </c>
      <c r="P1080" s="4">
        <f t="shared" si="84"/>
        <v>45328</v>
      </c>
      <c r="Q1080" t="s">
        <v>1139</v>
      </c>
      <c r="R1080" t="s">
        <v>1135</v>
      </c>
      <c r="S1080">
        <v>3</v>
      </c>
      <c r="T1080" t="s">
        <v>1144</v>
      </c>
      <c r="U1080" s="11" t="str">
        <f t="shared" si="85"/>
        <v>05:17:59 AM</v>
      </c>
      <c r="BL1080" s="2" t="s">
        <v>2230</v>
      </c>
    </row>
    <row r="1081" spans="1:64" x14ac:dyDescent="0.35">
      <c r="A1081">
        <v>9094</v>
      </c>
      <c r="B1081" t="s">
        <v>13</v>
      </c>
      <c r="C1081" s="1">
        <v>45165</v>
      </c>
      <c r="D1081" t="s">
        <v>34</v>
      </c>
      <c r="E1081" t="s">
        <v>5</v>
      </c>
      <c r="F1081">
        <v>5</v>
      </c>
      <c r="G1081">
        <v>1572.85</v>
      </c>
      <c r="H1081">
        <v>7864.25</v>
      </c>
      <c r="I1081">
        <v>786.01</v>
      </c>
      <c r="J1081">
        <v>7078.24</v>
      </c>
      <c r="K1081">
        <v>173</v>
      </c>
      <c r="L1081" s="11" t="s">
        <v>869</v>
      </c>
      <c r="M1081">
        <f t="shared" si="81"/>
        <v>27</v>
      </c>
      <c r="N1081">
        <f t="shared" si="82"/>
        <v>8</v>
      </c>
      <c r="O1081">
        <f t="shared" si="83"/>
        <v>2023</v>
      </c>
      <c r="P1081" s="4">
        <f t="shared" si="84"/>
        <v>45165</v>
      </c>
      <c r="Q1081" t="s">
        <v>1138</v>
      </c>
      <c r="R1081" t="s">
        <v>1137</v>
      </c>
      <c r="S1081">
        <v>5</v>
      </c>
      <c r="T1081" t="s">
        <v>1146</v>
      </c>
      <c r="U1081" s="11" t="str">
        <f t="shared" si="85"/>
        <v>07:40:37 PM</v>
      </c>
      <c r="BL1081" s="2" t="s">
        <v>2231</v>
      </c>
    </row>
    <row r="1082" spans="1:64" x14ac:dyDescent="0.35">
      <c r="A1082">
        <v>6912</v>
      </c>
      <c r="B1082" t="s">
        <v>3</v>
      </c>
      <c r="C1082" s="1">
        <v>45575</v>
      </c>
      <c r="D1082" t="s">
        <v>11</v>
      </c>
      <c r="E1082" t="s">
        <v>33</v>
      </c>
      <c r="F1082">
        <v>1</v>
      </c>
      <c r="G1082">
        <v>329.51</v>
      </c>
      <c r="H1082">
        <v>329.51</v>
      </c>
      <c r="I1082">
        <v>345.28</v>
      </c>
      <c r="J1082">
        <v>-15.77</v>
      </c>
      <c r="K1082">
        <v>304</v>
      </c>
      <c r="L1082" s="11" t="s">
        <v>870</v>
      </c>
      <c r="M1082">
        <f t="shared" si="81"/>
        <v>10</v>
      </c>
      <c r="N1082">
        <f t="shared" si="82"/>
        <v>10</v>
      </c>
      <c r="O1082">
        <f t="shared" si="83"/>
        <v>2024</v>
      </c>
      <c r="P1082" s="4">
        <f t="shared" si="84"/>
        <v>45575</v>
      </c>
      <c r="Q1082" t="s">
        <v>1134</v>
      </c>
      <c r="R1082" t="s">
        <v>1137</v>
      </c>
      <c r="S1082">
        <v>3</v>
      </c>
      <c r="T1082" t="s">
        <v>1148</v>
      </c>
      <c r="U1082" s="11" t="str">
        <f t="shared" si="85"/>
        <v>07:55:44 PM</v>
      </c>
      <c r="BL1082" s="2" t="s">
        <v>2232</v>
      </c>
    </row>
    <row r="1083" spans="1:64" x14ac:dyDescent="0.35">
      <c r="A1083">
        <v>7044</v>
      </c>
      <c r="B1083" t="s">
        <v>31</v>
      </c>
      <c r="C1083" s="1">
        <v>45508</v>
      </c>
      <c r="D1083" t="s">
        <v>17</v>
      </c>
      <c r="E1083" t="s">
        <v>30</v>
      </c>
      <c r="F1083">
        <v>5</v>
      </c>
      <c r="G1083">
        <v>698.86</v>
      </c>
      <c r="H1083">
        <v>3494.3</v>
      </c>
      <c r="I1083">
        <v>0</v>
      </c>
      <c r="J1083">
        <v>3494.3</v>
      </c>
      <c r="K1083">
        <v>215</v>
      </c>
      <c r="L1083" s="11" t="s">
        <v>871</v>
      </c>
      <c r="M1083">
        <f t="shared" si="81"/>
        <v>4</v>
      </c>
      <c r="N1083">
        <f t="shared" si="82"/>
        <v>8</v>
      </c>
      <c r="O1083">
        <f t="shared" si="83"/>
        <v>2024</v>
      </c>
      <c r="P1083" s="4">
        <f t="shared" si="84"/>
        <v>45508</v>
      </c>
      <c r="Q1083" t="s">
        <v>1138</v>
      </c>
      <c r="R1083" t="s">
        <v>1137</v>
      </c>
      <c r="S1083">
        <v>1</v>
      </c>
      <c r="T1083" t="s">
        <v>1147</v>
      </c>
      <c r="U1083" s="11" t="str">
        <f t="shared" si="85"/>
        <v>05:46:17 AM</v>
      </c>
      <c r="BL1083" s="2" t="s">
        <v>2233</v>
      </c>
    </row>
    <row r="1084" spans="1:64" x14ac:dyDescent="0.35">
      <c r="A1084">
        <v>3126</v>
      </c>
      <c r="B1084" t="s">
        <v>15</v>
      </c>
      <c r="C1084" s="1">
        <v>45620</v>
      </c>
      <c r="D1084" t="s">
        <v>23</v>
      </c>
      <c r="E1084" t="s">
        <v>14</v>
      </c>
      <c r="F1084">
        <v>2</v>
      </c>
      <c r="G1084">
        <v>2000.3</v>
      </c>
      <c r="H1084">
        <v>4000.6</v>
      </c>
      <c r="I1084">
        <v>600.09</v>
      </c>
      <c r="J1084">
        <v>3400.51</v>
      </c>
      <c r="K1084">
        <v>30</v>
      </c>
      <c r="L1084" s="11" t="s">
        <v>872</v>
      </c>
      <c r="M1084">
        <f t="shared" si="81"/>
        <v>24</v>
      </c>
      <c r="N1084">
        <f t="shared" si="82"/>
        <v>11</v>
      </c>
      <c r="O1084">
        <f t="shared" si="83"/>
        <v>2024</v>
      </c>
      <c r="P1084" s="4">
        <f t="shared" si="84"/>
        <v>45620</v>
      </c>
      <c r="Q1084" t="s">
        <v>1138</v>
      </c>
      <c r="R1084" t="s">
        <v>1137</v>
      </c>
      <c r="S1084">
        <v>5</v>
      </c>
      <c r="T1084" t="s">
        <v>1145</v>
      </c>
      <c r="U1084" s="11" t="str">
        <f t="shared" si="85"/>
        <v>04:25:33 AM</v>
      </c>
      <c r="BL1084" s="2" t="s">
        <v>2234</v>
      </c>
    </row>
    <row r="1085" spans="1:64" x14ac:dyDescent="0.35">
      <c r="A1085">
        <v>2412</v>
      </c>
      <c r="B1085" t="s">
        <v>13</v>
      </c>
      <c r="C1085" s="1">
        <v>45196</v>
      </c>
      <c r="D1085" t="s">
        <v>27</v>
      </c>
      <c r="E1085" t="s">
        <v>12</v>
      </c>
      <c r="F1085">
        <v>3</v>
      </c>
      <c r="G1085">
        <v>1487.36</v>
      </c>
      <c r="H1085">
        <v>4462.08</v>
      </c>
      <c r="I1085">
        <v>892.25</v>
      </c>
      <c r="J1085">
        <v>3569.83</v>
      </c>
      <c r="K1085">
        <v>277</v>
      </c>
      <c r="L1085" s="11" t="s">
        <v>873</v>
      </c>
      <c r="M1085">
        <f t="shared" si="81"/>
        <v>27</v>
      </c>
      <c r="N1085">
        <f t="shared" si="82"/>
        <v>9</v>
      </c>
      <c r="O1085">
        <f t="shared" si="83"/>
        <v>2023</v>
      </c>
      <c r="P1085" s="4">
        <f t="shared" si="84"/>
        <v>45196</v>
      </c>
      <c r="Q1085" t="s">
        <v>1136</v>
      </c>
      <c r="R1085" t="s">
        <v>1137</v>
      </c>
      <c r="S1085">
        <v>3</v>
      </c>
      <c r="T1085" t="s">
        <v>1145</v>
      </c>
      <c r="U1085" s="11" t="str">
        <f t="shared" si="85"/>
        <v>01:57:04 AM</v>
      </c>
      <c r="BL1085" s="2" t="s">
        <v>2235</v>
      </c>
    </row>
    <row r="1086" spans="1:64" x14ac:dyDescent="0.35">
      <c r="A1086">
        <v>6067</v>
      </c>
      <c r="B1086" t="s">
        <v>15</v>
      </c>
      <c r="C1086" s="1">
        <v>45454</v>
      </c>
      <c r="D1086" t="s">
        <v>24</v>
      </c>
      <c r="E1086" t="s">
        <v>10</v>
      </c>
      <c r="F1086">
        <v>3</v>
      </c>
      <c r="G1086">
        <v>970.27</v>
      </c>
      <c r="H1086">
        <v>2910.81</v>
      </c>
      <c r="I1086">
        <v>161.85</v>
      </c>
      <c r="J1086">
        <v>2748.96</v>
      </c>
      <c r="K1086">
        <v>4</v>
      </c>
      <c r="L1086" s="11" t="s">
        <v>874</v>
      </c>
      <c r="M1086">
        <f t="shared" si="81"/>
        <v>11</v>
      </c>
      <c r="N1086">
        <f t="shared" si="82"/>
        <v>6</v>
      </c>
      <c r="O1086">
        <f t="shared" si="83"/>
        <v>2024</v>
      </c>
      <c r="P1086" s="4">
        <f t="shared" si="84"/>
        <v>45454</v>
      </c>
      <c r="Q1086" t="s">
        <v>1139</v>
      </c>
      <c r="R1086" t="s">
        <v>1137</v>
      </c>
      <c r="S1086">
        <v>4</v>
      </c>
      <c r="T1086" t="s">
        <v>1145</v>
      </c>
      <c r="U1086" s="11" t="str">
        <f t="shared" si="85"/>
        <v>01:44:35 AM</v>
      </c>
      <c r="BL1086" s="2" t="s">
        <v>2236</v>
      </c>
    </row>
    <row r="1087" spans="1:64" x14ac:dyDescent="0.35">
      <c r="A1087">
        <v>8842</v>
      </c>
      <c r="B1087" t="s">
        <v>3</v>
      </c>
      <c r="C1087" s="1">
        <v>45553</v>
      </c>
      <c r="D1087" t="s">
        <v>1</v>
      </c>
      <c r="E1087" t="s">
        <v>5</v>
      </c>
      <c r="F1087">
        <v>3</v>
      </c>
      <c r="G1087">
        <v>552.78</v>
      </c>
      <c r="H1087">
        <v>1658.34</v>
      </c>
      <c r="I1087">
        <v>196.71</v>
      </c>
      <c r="J1087">
        <v>1461.63</v>
      </c>
      <c r="K1087">
        <v>102</v>
      </c>
      <c r="L1087" s="11" t="s">
        <v>875</v>
      </c>
      <c r="M1087">
        <f t="shared" si="81"/>
        <v>18</v>
      </c>
      <c r="N1087">
        <f t="shared" si="82"/>
        <v>9</v>
      </c>
      <c r="O1087">
        <f t="shared" si="83"/>
        <v>2024</v>
      </c>
      <c r="P1087" s="4">
        <f t="shared" si="84"/>
        <v>45553</v>
      </c>
      <c r="Q1087" t="s">
        <v>1138</v>
      </c>
      <c r="R1087" t="s">
        <v>1137</v>
      </c>
      <c r="S1087">
        <v>5</v>
      </c>
      <c r="T1087" t="s">
        <v>1141</v>
      </c>
      <c r="U1087" s="11" t="str">
        <f t="shared" si="85"/>
        <v>02:14:12 AM</v>
      </c>
      <c r="BL1087" s="2" t="s">
        <v>2237</v>
      </c>
    </row>
    <row r="1088" spans="1:64" x14ac:dyDescent="0.35">
      <c r="A1088">
        <v>7730</v>
      </c>
      <c r="B1088" t="s">
        <v>15</v>
      </c>
      <c r="C1088" s="1">
        <v>45742</v>
      </c>
      <c r="D1088" t="s">
        <v>34</v>
      </c>
      <c r="E1088" t="s">
        <v>10</v>
      </c>
      <c r="F1088">
        <v>5</v>
      </c>
      <c r="G1088">
        <v>1445.03</v>
      </c>
      <c r="H1088">
        <v>7225.15</v>
      </c>
      <c r="I1088">
        <v>722.93</v>
      </c>
      <c r="J1088">
        <v>6502.22</v>
      </c>
      <c r="K1088">
        <v>171</v>
      </c>
      <c r="L1088" s="11" t="s">
        <v>876</v>
      </c>
      <c r="M1088">
        <f t="shared" si="81"/>
        <v>26</v>
      </c>
      <c r="N1088">
        <f t="shared" si="82"/>
        <v>3</v>
      </c>
      <c r="O1088">
        <f t="shared" si="83"/>
        <v>2025</v>
      </c>
      <c r="P1088" s="4">
        <f t="shared" si="84"/>
        <v>45742</v>
      </c>
      <c r="Q1088" t="s">
        <v>1138</v>
      </c>
      <c r="R1088" t="s">
        <v>1135</v>
      </c>
      <c r="S1088">
        <v>5</v>
      </c>
      <c r="T1088" t="s">
        <v>1147</v>
      </c>
      <c r="U1088" s="11" t="str">
        <f t="shared" si="85"/>
        <v>12:23:11 AM</v>
      </c>
      <c r="BL1088" s="2" t="s">
        <v>2238</v>
      </c>
    </row>
    <row r="1089" spans="1:64" x14ac:dyDescent="0.35">
      <c r="A1089">
        <v>7708</v>
      </c>
      <c r="B1089" t="s">
        <v>25</v>
      </c>
      <c r="C1089" s="1">
        <v>45784</v>
      </c>
      <c r="D1089" t="s">
        <v>23</v>
      </c>
      <c r="E1089" t="s">
        <v>38</v>
      </c>
      <c r="F1089">
        <v>4</v>
      </c>
      <c r="G1089">
        <v>2191.1999999999998</v>
      </c>
      <c r="H1089">
        <v>8764.7999999999993</v>
      </c>
      <c r="I1089">
        <v>876.48</v>
      </c>
      <c r="J1089">
        <v>7888.32</v>
      </c>
      <c r="K1089">
        <v>466</v>
      </c>
      <c r="L1089" s="11" t="s">
        <v>877</v>
      </c>
      <c r="M1089">
        <f t="shared" si="81"/>
        <v>7</v>
      </c>
      <c r="N1089">
        <f t="shared" si="82"/>
        <v>5</v>
      </c>
      <c r="O1089">
        <f t="shared" si="83"/>
        <v>2025</v>
      </c>
      <c r="P1089" s="4">
        <f t="shared" si="84"/>
        <v>45784</v>
      </c>
      <c r="Q1089" t="s">
        <v>1136</v>
      </c>
      <c r="R1089" t="s">
        <v>1135</v>
      </c>
      <c r="S1089">
        <v>2</v>
      </c>
      <c r="T1089" t="s">
        <v>1148</v>
      </c>
      <c r="U1089" s="11" t="str">
        <f t="shared" si="85"/>
        <v>10:06:43 PM</v>
      </c>
      <c r="BL1089" s="2" t="s">
        <v>2239</v>
      </c>
    </row>
    <row r="1090" spans="1:64" x14ac:dyDescent="0.35">
      <c r="A1090">
        <v>2208</v>
      </c>
      <c r="B1090" t="s">
        <v>31</v>
      </c>
      <c r="C1090" s="1">
        <v>45242</v>
      </c>
      <c r="D1090" t="s">
        <v>1</v>
      </c>
      <c r="E1090" t="s">
        <v>14</v>
      </c>
      <c r="F1090">
        <v>2</v>
      </c>
      <c r="G1090">
        <v>1205.1600000000001</v>
      </c>
      <c r="H1090">
        <v>2410.3200000000002</v>
      </c>
      <c r="I1090">
        <v>240.7</v>
      </c>
      <c r="J1090">
        <v>2169.62</v>
      </c>
      <c r="K1090">
        <v>109</v>
      </c>
      <c r="L1090" s="11" t="s">
        <v>878</v>
      </c>
      <c r="M1090">
        <f t="shared" ref="M1090:M1153" si="86">DAY(C1090)</f>
        <v>12</v>
      </c>
      <c r="N1090">
        <f t="shared" ref="N1090:N1153" si="87">MONTH(C1090)</f>
        <v>11</v>
      </c>
      <c r="O1090">
        <f t="shared" ref="O1090:O1153" si="88">YEAR(C1090)</f>
        <v>2023</v>
      </c>
      <c r="P1090" s="4">
        <f t="shared" si="84"/>
        <v>45242</v>
      </c>
      <c r="Q1090" t="s">
        <v>1136</v>
      </c>
      <c r="R1090" t="s">
        <v>1137</v>
      </c>
      <c r="S1090">
        <v>4</v>
      </c>
      <c r="T1090" t="s">
        <v>1147</v>
      </c>
      <c r="U1090" s="11" t="str">
        <f t="shared" si="85"/>
        <v>08:55:50 PM</v>
      </c>
      <c r="BL1090" s="2" t="s">
        <v>2240</v>
      </c>
    </row>
    <row r="1091" spans="1:64" x14ac:dyDescent="0.35">
      <c r="A1091">
        <v>6194</v>
      </c>
      <c r="B1091" t="s">
        <v>25</v>
      </c>
      <c r="C1091" s="1">
        <v>45643</v>
      </c>
      <c r="D1091" t="s">
        <v>9</v>
      </c>
      <c r="E1091" t="s">
        <v>33</v>
      </c>
      <c r="F1091">
        <v>4</v>
      </c>
      <c r="G1091">
        <v>525.39</v>
      </c>
      <c r="H1091">
        <v>2101.56</v>
      </c>
      <c r="I1091">
        <v>107.07</v>
      </c>
      <c r="J1091">
        <v>1994.49</v>
      </c>
      <c r="K1091">
        <v>3</v>
      </c>
      <c r="L1091" s="11" t="s">
        <v>879</v>
      </c>
      <c r="M1091">
        <f t="shared" si="86"/>
        <v>17</v>
      </c>
      <c r="N1091">
        <f t="shared" si="87"/>
        <v>12</v>
      </c>
      <c r="O1091">
        <f t="shared" si="88"/>
        <v>2024</v>
      </c>
      <c r="P1091" s="4">
        <f t="shared" ref="P1091:P1154" si="89">DATE(O1091,N1091,M1091)</f>
        <v>45643</v>
      </c>
      <c r="Q1091" t="s">
        <v>1139</v>
      </c>
      <c r="R1091" t="s">
        <v>1137</v>
      </c>
      <c r="S1091">
        <v>1</v>
      </c>
      <c r="T1091" t="s">
        <v>1144</v>
      </c>
      <c r="U1091" s="11" t="str">
        <f t="shared" si="85"/>
        <v>01:01:53 PM</v>
      </c>
      <c r="BL1091" s="2" t="s">
        <v>2241</v>
      </c>
    </row>
    <row r="1092" spans="1:64" x14ac:dyDescent="0.35">
      <c r="A1092">
        <v>2215</v>
      </c>
      <c r="B1092" t="s">
        <v>20</v>
      </c>
      <c r="C1092" s="1">
        <v>45494</v>
      </c>
      <c r="D1092" t="s">
        <v>27</v>
      </c>
      <c r="E1092" t="s">
        <v>38</v>
      </c>
      <c r="F1092">
        <v>2</v>
      </c>
      <c r="G1092">
        <v>781.86</v>
      </c>
      <c r="H1092">
        <v>1563.72</v>
      </c>
      <c r="I1092">
        <v>406.7</v>
      </c>
      <c r="J1092">
        <v>1157.02</v>
      </c>
      <c r="K1092">
        <v>99</v>
      </c>
      <c r="L1092" s="11" t="s">
        <v>880</v>
      </c>
      <c r="M1092">
        <f t="shared" si="86"/>
        <v>21</v>
      </c>
      <c r="N1092">
        <f t="shared" si="87"/>
        <v>7</v>
      </c>
      <c r="O1092">
        <f t="shared" si="88"/>
        <v>2024</v>
      </c>
      <c r="P1092" s="4">
        <f t="shared" si="89"/>
        <v>45494</v>
      </c>
      <c r="Q1092" t="s">
        <v>1136</v>
      </c>
      <c r="R1092" t="s">
        <v>1135</v>
      </c>
      <c r="S1092">
        <v>3</v>
      </c>
      <c r="T1092" t="s">
        <v>1149</v>
      </c>
      <c r="U1092" s="11" t="str">
        <f t="shared" si="85"/>
        <v>12:20:25 PM</v>
      </c>
      <c r="BL1092" s="2" t="s">
        <v>2242</v>
      </c>
    </row>
    <row r="1093" spans="1:64" x14ac:dyDescent="0.35">
      <c r="A1093">
        <v>8632</v>
      </c>
      <c r="B1093" t="s">
        <v>31</v>
      </c>
      <c r="C1093" s="1">
        <v>45673</v>
      </c>
      <c r="D1093" t="s">
        <v>6</v>
      </c>
      <c r="E1093" t="s">
        <v>26</v>
      </c>
      <c r="F1093">
        <v>2</v>
      </c>
      <c r="G1093">
        <v>609.22</v>
      </c>
      <c r="H1093">
        <v>1218.44</v>
      </c>
      <c r="I1093">
        <v>182.6</v>
      </c>
      <c r="J1093">
        <v>1035.8399999999999</v>
      </c>
      <c r="K1093">
        <v>134</v>
      </c>
      <c r="L1093" s="11" t="s">
        <v>881</v>
      </c>
      <c r="M1093">
        <f t="shared" si="86"/>
        <v>16</v>
      </c>
      <c r="N1093">
        <f t="shared" si="87"/>
        <v>1</v>
      </c>
      <c r="O1093">
        <f t="shared" si="88"/>
        <v>2025</v>
      </c>
      <c r="P1093" s="4">
        <f t="shared" si="89"/>
        <v>45673</v>
      </c>
      <c r="Q1093" t="s">
        <v>1134</v>
      </c>
      <c r="R1093" t="s">
        <v>1137</v>
      </c>
      <c r="S1093">
        <v>2</v>
      </c>
      <c r="T1093" t="s">
        <v>1147</v>
      </c>
      <c r="U1093" s="11" t="str">
        <f t="shared" si="85"/>
        <v>07:45:38 AM</v>
      </c>
      <c r="BL1093" s="2" t="s">
        <v>2243</v>
      </c>
    </row>
    <row r="1094" spans="1:64" x14ac:dyDescent="0.35">
      <c r="A1094">
        <v>9476</v>
      </c>
      <c r="B1094" t="s">
        <v>3</v>
      </c>
      <c r="C1094" s="1">
        <v>45412</v>
      </c>
      <c r="D1094" t="s">
        <v>6</v>
      </c>
      <c r="E1094" t="s">
        <v>18</v>
      </c>
      <c r="F1094">
        <v>2</v>
      </c>
      <c r="G1094">
        <v>133.63</v>
      </c>
      <c r="H1094">
        <v>267.26</v>
      </c>
      <c r="I1094">
        <v>89.64</v>
      </c>
      <c r="J1094">
        <v>177.62</v>
      </c>
      <c r="K1094">
        <v>431</v>
      </c>
      <c r="L1094" s="11" t="s">
        <v>882</v>
      </c>
      <c r="M1094">
        <f t="shared" si="86"/>
        <v>30</v>
      </c>
      <c r="N1094">
        <f t="shared" si="87"/>
        <v>4</v>
      </c>
      <c r="O1094">
        <f t="shared" si="88"/>
        <v>2024</v>
      </c>
      <c r="P1094" s="4">
        <f t="shared" si="89"/>
        <v>45412</v>
      </c>
      <c r="Q1094" t="s">
        <v>1136</v>
      </c>
      <c r="R1094" t="s">
        <v>1135</v>
      </c>
      <c r="S1094">
        <v>3</v>
      </c>
      <c r="T1094" t="s">
        <v>1145</v>
      </c>
      <c r="U1094" s="11" t="str">
        <f t="shared" si="85"/>
        <v>01:35:06 AM</v>
      </c>
      <c r="BL1094" s="2" t="s">
        <v>2244</v>
      </c>
    </row>
    <row r="1095" spans="1:64" x14ac:dyDescent="0.35">
      <c r="A1095">
        <v>3102</v>
      </c>
      <c r="B1095" t="s">
        <v>8</v>
      </c>
      <c r="C1095" s="1">
        <v>45826</v>
      </c>
      <c r="D1095" t="s">
        <v>9</v>
      </c>
      <c r="E1095" t="s">
        <v>38</v>
      </c>
      <c r="F1095">
        <v>3</v>
      </c>
      <c r="G1095">
        <v>2335.62</v>
      </c>
      <c r="H1095">
        <v>7006.86</v>
      </c>
      <c r="I1095">
        <v>1401.04</v>
      </c>
      <c r="J1095">
        <v>5605.82</v>
      </c>
      <c r="K1095">
        <v>156</v>
      </c>
      <c r="L1095" s="11" t="s">
        <v>883</v>
      </c>
      <c r="M1095">
        <f t="shared" si="86"/>
        <v>18</v>
      </c>
      <c r="N1095">
        <f t="shared" si="87"/>
        <v>6</v>
      </c>
      <c r="O1095">
        <f t="shared" si="88"/>
        <v>2025</v>
      </c>
      <c r="P1095" s="4">
        <f t="shared" si="89"/>
        <v>45826</v>
      </c>
      <c r="Q1095" t="s">
        <v>1134</v>
      </c>
      <c r="R1095" t="s">
        <v>1135</v>
      </c>
      <c r="S1095">
        <v>1</v>
      </c>
      <c r="T1095" t="s">
        <v>1144</v>
      </c>
      <c r="U1095" s="11" t="str">
        <f t="shared" si="85"/>
        <v>03:35:33 PM</v>
      </c>
      <c r="BL1095" s="2" t="s">
        <v>2245</v>
      </c>
    </row>
    <row r="1096" spans="1:64" x14ac:dyDescent="0.35">
      <c r="A1096">
        <v>3981</v>
      </c>
      <c r="B1096" t="s">
        <v>25</v>
      </c>
      <c r="C1096" s="1">
        <v>45741</v>
      </c>
      <c r="D1096" t="s">
        <v>11</v>
      </c>
      <c r="E1096" t="s">
        <v>18</v>
      </c>
      <c r="F1096">
        <v>5</v>
      </c>
      <c r="G1096">
        <v>2434.39</v>
      </c>
      <c r="H1096">
        <v>12171.95</v>
      </c>
      <c r="I1096">
        <v>0</v>
      </c>
      <c r="J1096">
        <v>12171.95</v>
      </c>
      <c r="K1096">
        <v>319</v>
      </c>
      <c r="L1096" s="11" t="s">
        <v>884</v>
      </c>
      <c r="M1096">
        <f t="shared" si="86"/>
        <v>25</v>
      </c>
      <c r="N1096">
        <f t="shared" si="87"/>
        <v>3</v>
      </c>
      <c r="O1096">
        <f t="shared" si="88"/>
        <v>2025</v>
      </c>
      <c r="P1096" s="4">
        <f t="shared" si="89"/>
        <v>45741</v>
      </c>
      <c r="Q1096" t="s">
        <v>1139</v>
      </c>
      <c r="R1096" t="s">
        <v>1135</v>
      </c>
      <c r="S1096">
        <v>1</v>
      </c>
      <c r="T1096" t="s">
        <v>1149</v>
      </c>
      <c r="U1096" s="11" t="str">
        <f t="shared" si="85"/>
        <v>02:59:09 PM</v>
      </c>
      <c r="BL1096" s="2" t="s">
        <v>2246</v>
      </c>
    </row>
    <row r="1097" spans="1:64" x14ac:dyDescent="0.35">
      <c r="A1097">
        <v>3114</v>
      </c>
      <c r="B1097" t="s">
        <v>0</v>
      </c>
      <c r="C1097" s="1">
        <v>45481</v>
      </c>
      <c r="D1097" t="s">
        <v>4</v>
      </c>
      <c r="E1097" t="s">
        <v>30</v>
      </c>
      <c r="F1097">
        <v>2</v>
      </c>
      <c r="G1097">
        <v>1995.32</v>
      </c>
      <c r="H1097">
        <v>3990.64</v>
      </c>
      <c r="I1097">
        <v>0</v>
      </c>
      <c r="J1097">
        <v>3990.64</v>
      </c>
      <c r="K1097">
        <v>98</v>
      </c>
      <c r="L1097" s="11" t="s">
        <v>885</v>
      </c>
      <c r="M1097">
        <f t="shared" si="86"/>
        <v>8</v>
      </c>
      <c r="N1097">
        <f t="shared" si="87"/>
        <v>7</v>
      </c>
      <c r="O1097">
        <f t="shared" si="88"/>
        <v>2024</v>
      </c>
      <c r="P1097" s="4">
        <f t="shared" si="89"/>
        <v>45481</v>
      </c>
      <c r="Q1097" t="s">
        <v>1139</v>
      </c>
      <c r="R1097" t="s">
        <v>1137</v>
      </c>
      <c r="S1097">
        <v>5</v>
      </c>
      <c r="T1097" t="s">
        <v>1143</v>
      </c>
      <c r="U1097" s="11" t="str">
        <f t="shared" si="85"/>
        <v>04:37:05 AM</v>
      </c>
      <c r="BL1097" s="2" t="s">
        <v>2247</v>
      </c>
    </row>
    <row r="1098" spans="1:64" x14ac:dyDescent="0.35">
      <c r="A1098">
        <v>9238</v>
      </c>
      <c r="B1098" t="s">
        <v>25</v>
      </c>
      <c r="C1098" s="1">
        <v>45852</v>
      </c>
      <c r="D1098" t="s">
        <v>11</v>
      </c>
      <c r="E1098" t="s">
        <v>5</v>
      </c>
      <c r="F1098">
        <v>2</v>
      </c>
      <c r="G1098">
        <v>2299.1</v>
      </c>
      <c r="H1098">
        <v>4598.2</v>
      </c>
      <c r="I1098">
        <v>180.94</v>
      </c>
      <c r="J1098">
        <v>4417.26</v>
      </c>
      <c r="K1098">
        <v>390</v>
      </c>
      <c r="L1098" s="11" t="s">
        <v>886</v>
      </c>
      <c r="M1098">
        <f t="shared" si="86"/>
        <v>14</v>
      </c>
      <c r="N1098">
        <f t="shared" si="87"/>
        <v>7</v>
      </c>
      <c r="O1098">
        <f t="shared" si="88"/>
        <v>2025</v>
      </c>
      <c r="P1098" s="4">
        <f t="shared" si="89"/>
        <v>45852</v>
      </c>
      <c r="Q1098" t="s">
        <v>1139</v>
      </c>
      <c r="R1098" t="s">
        <v>1137</v>
      </c>
      <c r="S1098">
        <v>1</v>
      </c>
      <c r="T1098" t="s">
        <v>1149</v>
      </c>
      <c r="U1098" s="11" t="str">
        <f t="shared" si="85"/>
        <v>08:18:10 PM</v>
      </c>
      <c r="BL1098" s="2" t="s">
        <v>2248</v>
      </c>
    </row>
    <row r="1099" spans="1:64" x14ac:dyDescent="0.35">
      <c r="A1099">
        <v>1907</v>
      </c>
      <c r="B1099" t="s">
        <v>8</v>
      </c>
      <c r="C1099" s="1">
        <v>45790</v>
      </c>
      <c r="D1099" t="s">
        <v>11</v>
      </c>
      <c r="E1099" t="s">
        <v>14</v>
      </c>
      <c r="F1099">
        <v>1</v>
      </c>
      <c r="G1099">
        <v>1596.92</v>
      </c>
      <c r="H1099">
        <v>1596.92</v>
      </c>
      <c r="I1099">
        <v>404.21</v>
      </c>
      <c r="J1099">
        <v>1192.71</v>
      </c>
      <c r="K1099">
        <v>143</v>
      </c>
      <c r="L1099" s="11" t="s">
        <v>887</v>
      </c>
      <c r="M1099">
        <f t="shared" si="86"/>
        <v>13</v>
      </c>
      <c r="N1099">
        <f t="shared" si="87"/>
        <v>5</v>
      </c>
      <c r="O1099">
        <f t="shared" si="88"/>
        <v>2025</v>
      </c>
      <c r="P1099" s="4">
        <f t="shared" si="89"/>
        <v>45790</v>
      </c>
      <c r="Q1099" t="s">
        <v>1139</v>
      </c>
      <c r="R1099" t="s">
        <v>1135</v>
      </c>
      <c r="S1099">
        <v>3</v>
      </c>
      <c r="T1099" t="s">
        <v>1143</v>
      </c>
      <c r="U1099" s="11" t="str">
        <f t="shared" si="85"/>
        <v>06:41:38 PM</v>
      </c>
      <c r="BL1099" s="2" t="s">
        <v>2249</v>
      </c>
    </row>
    <row r="1100" spans="1:64" x14ac:dyDescent="0.35">
      <c r="A1100">
        <v>3034</v>
      </c>
      <c r="B1100" t="s">
        <v>15</v>
      </c>
      <c r="C1100" s="1">
        <v>45547</v>
      </c>
      <c r="D1100" t="s">
        <v>6</v>
      </c>
      <c r="E1100" t="s">
        <v>32</v>
      </c>
      <c r="F1100">
        <v>4</v>
      </c>
      <c r="G1100">
        <v>1986.19</v>
      </c>
      <c r="H1100">
        <v>7944.76</v>
      </c>
      <c r="I1100">
        <v>1588.62</v>
      </c>
      <c r="J1100">
        <v>6356.14</v>
      </c>
      <c r="K1100">
        <v>314</v>
      </c>
      <c r="L1100" s="11" t="s">
        <v>888</v>
      </c>
      <c r="M1100">
        <f t="shared" si="86"/>
        <v>12</v>
      </c>
      <c r="N1100">
        <f t="shared" si="87"/>
        <v>9</v>
      </c>
      <c r="O1100">
        <f t="shared" si="88"/>
        <v>2024</v>
      </c>
      <c r="P1100" s="4">
        <f t="shared" si="89"/>
        <v>45547</v>
      </c>
      <c r="Q1100" t="s">
        <v>1139</v>
      </c>
      <c r="R1100" t="s">
        <v>1135</v>
      </c>
      <c r="S1100">
        <v>4</v>
      </c>
      <c r="T1100" t="s">
        <v>1142</v>
      </c>
      <c r="U1100" s="11" t="str">
        <f t="shared" si="85"/>
        <v>01:00:27 PM</v>
      </c>
      <c r="BL1100" s="2" t="s">
        <v>2250</v>
      </c>
    </row>
    <row r="1101" spans="1:64" x14ac:dyDescent="0.35">
      <c r="A1101">
        <v>3507</v>
      </c>
      <c r="B1101" t="s">
        <v>3</v>
      </c>
      <c r="C1101" s="1">
        <v>45381</v>
      </c>
      <c r="D1101" t="s">
        <v>9</v>
      </c>
      <c r="E1101" t="s">
        <v>36</v>
      </c>
      <c r="F1101">
        <v>3</v>
      </c>
      <c r="G1101">
        <v>1282.3499999999999</v>
      </c>
      <c r="H1101">
        <v>3847.05</v>
      </c>
      <c r="I1101">
        <v>576.85</v>
      </c>
      <c r="J1101">
        <v>3270.2</v>
      </c>
      <c r="K1101">
        <v>237</v>
      </c>
      <c r="L1101" s="11" t="s">
        <v>889</v>
      </c>
      <c r="M1101">
        <f t="shared" si="86"/>
        <v>30</v>
      </c>
      <c r="N1101">
        <f t="shared" si="87"/>
        <v>3</v>
      </c>
      <c r="O1101">
        <f t="shared" si="88"/>
        <v>2024</v>
      </c>
      <c r="P1101" s="4">
        <f t="shared" si="89"/>
        <v>45381</v>
      </c>
      <c r="Q1101" t="s">
        <v>1134</v>
      </c>
      <c r="R1101" t="s">
        <v>1135</v>
      </c>
      <c r="S1101">
        <v>4</v>
      </c>
      <c r="T1101" t="s">
        <v>1149</v>
      </c>
      <c r="U1101" s="11" t="str">
        <f t="shared" si="85"/>
        <v>09:33:08 PM</v>
      </c>
      <c r="BL1101" s="2" t="s">
        <v>2251</v>
      </c>
    </row>
    <row r="1102" spans="1:64" x14ac:dyDescent="0.35">
      <c r="A1102">
        <v>3697</v>
      </c>
      <c r="B1102" t="s">
        <v>25</v>
      </c>
      <c r="C1102" s="1">
        <v>45270</v>
      </c>
      <c r="D1102" t="s">
        <v>27</v>
      </c>
      <c r="E1102" t="s">
        <v>37</v>
      </c>
      <c r="F1102">
        <v>4</v>
      </c>
      <c r="G1102">
        <v>1222.5899999999999</v>
      </c>
      <c r="H1102">
        <v>4890.3599999999997</v>
      </c>
      <c r="I1102">
        <v>0</v>
      </c>
      <c r="J1102">
        <v>4890.3599999999997</v>
      </c>
      <c r="K1102">
        <v>297</v>
      </c>
      <c r="L1102" s="11" t="s">
        <v>890</v>
      </c>
      <c r="M1102">
        <f t="shared" si="86"/>
        <v>10</v>
      </c>
      <c r="N1102">
        <f t="shared" si="87"/>
        <v>12</v>
      </c>
      <c r="O1102">
        <f t="shared" si="88"/>
        <v>2023</v>
      </c>
      <c r="P1102" s="4">
        <f t="shared" si="89"/>
        <v>45270</v>
      </c>
      <c r="Q1102" t="s">
        <v>1134</v>
      </c>
      <c r="R1102" t="s">
        <v>1135</v>
      </c>
      <c r="S1102">
        <v>5</v>
      </c>
      <c r="T1102" t="s">
        <v>1143</v>
      </c>
      <c r="U1102" s="11" t="str">
        <f t="shared" si="85"/>
        <v>06:35:20 AM</v>
      </c>
      <c r="BL1102" s="2" t="s">
        <v>2252</v>
      </c>
    </row>
    <row r="1103" spans="1:64" x14ac:dyDescent="0.35">
      <c r="A1103">
        <v>6286</v>
      </c>
      <c r="B1103" t="s">
        <v>20</v>
      </c>
      <c r="C1103" s="1">
        <v>45871</v>
      </c>
      <c r="D1103" t="s">
        <v>6</v>
      </c>
      <c r="E1103" t="s">
        <v>14</v>
      </c>
      <c r="F1103">
        <v>2</v>
      </c>
      <c r="G1103">
        <v>1170.3</v>
      </c>
      <c r="H1103">
        <v>2340.6</v>
      </c>
      <c r="I1103">
        <v>468.12</v>
      </c>
      <c r="J1103">
        <v>1872.48</v>
      </c>
      <c r="K1103">
        <v>120</v>
      </c>
      <c r="L1103" s="11" t="s">
        <v>891</v>
      </c>
      <c r="M1103">
        <f t="shared" si="86"/>
        <v>2</v>
      </c>
      <c r="N1103">
        <f t="shared" si="87"/>
        <v>8</v>
      </c>
      <c r="O1103">
        <f t="shared" si="88"/>
        <v>2025</v>
      </c>
      <c r="P1103" s="4">
        <f t="shared" si="89"/>
        <v>45871</v>
      </c>
      <c r="Q1103" t="s">
        <v>1139</v>
      </c>
      <c r="R1103" t="s">
        <v>1135</v>
      </c>
      <c r="S1103">
        <v>3</v>
      </c>
      <c r="T1103" t="s">
        <v>1146</v>
      </c>
      <c r="U1103" s="11" t="str">
        <f t="shared" si="85"/>
        <v>06:08:53 PM</v>
      </c>
      <c r="BL1103" s="2" t="s">
        <v>2253</v>
      </c>
    </row>
    <row r="1104" spans="1:64" x14ac:dyDescent="0.35">
      <c r="A1104">
        <v>4694</v>
      </c>
      <c r="B1104" t="s">
        <v>19</v>
      </c>
      <c r="C1104" s="1">
        <v>45413</v>
      </c>
      <c r="D1104" t="s">
        <v>9</v>
      </c>
      <c r="E1104" t="s">
        <v>21</v>
      </c>
      <c r="F1104">
        <v>5</v>
      </c>
      <c r="G1104">
        <v>460.65</v>
      </c>
      <c r="H1104">
        <v>2303.25</v>
      </c>
      <c r="I1104">
        <v>345.28</v>
      </c>
      <c r="J1104">
        <v>1957.97</v>
      </c>
      <c r="K1104">
        <v>431</v>
      </c>
      <c r="L1104" s="11" t="s">
        <v>892</v>
      </c>
      <c r="M1104">
        <f t="shared" si="86"/>
        <v>1</v>
      </c>
      <c r="N1104">
        <f t="shared" si="87"/>
        <v>5</v>
      </c>
      <c r="O1104">
        <f t="shared" si="88"/>
        <v>2024</v>
      </c>
      <c r="P1104" s="4">
        <f t="shared" si="89"/>
        <v>45413</v>
      </c>
      <c r="Q1104" t="s">
        <v>1136</v>
      </c>
      <c r="R1104" t="s">
        <v>1137</v>
      </c>
      <c r="S1104">
        <v>3</v>
      </c>
      <c r="T1104" t="s">
        <v>1145</v>
      </c>
      <c r="U1104" s="11" t="str">
        <f t="shared" si="85"/>
        <v>04:49:29 PM</v>
      </c>
      <c r="BL1104" s="2" t="s">
        <v>2254</v>
      </c>
    </row>
    <row r="1105" spans="1:64" x14ac:dyDescent="0.35">
      <c r="A1105">
        <v>9501</v>
      </c>
      <c r="B1105" t="s">
        <v>3</v>
      </c>
      <c r="C1105" s="1">
        <v>45840</v>
      </c>
      <c r="D1105" t="s">
        <v>4</v>
      </c>
      <c r="E1105" t="s">
        <v>30</v>
      </c>
      <c r="F1105">
        <v>1</v>
      </c>
      <c r="G1105">
        <v>792.65</v>
      </c>
      <c r="H1105">
        <v>792.65</v>
      </c>
      <c r="I1105">
        <v>158.53</v>
      </c>
      <c r="J1105">
        <v>634.12</v>
      </c>
      <c r="K1105">
        <v>265</v>
      </c>
      <c r="L1105" s="11" t="s">
        <v>893</v>
      </c>
      <c r="M1105">
        <f t="shared" si="86"/>
        <v>2</v>
      </c>
      <c r="N1105">
        <f t="shared" si="87"/>
        <v>7</v>
      </c>
      <c r="O1105">
        <f t="shared" si="88"/>
        <v>2025</v>
      </c>
      <c r="P1105" s="4">
        <f t="shared" si="89"/>
        <v>45840</v>
      </c>
      <c r="Q1105" t="s">
        <v>1138</v>
      </c>
      <c r="R1105" t="s">
        <v>1135</v>
      </c>
      <c r="S1105">
        <v>1</v>
      </c>
      <c r="T1105" t="s">
        <v>1141</v>
      </c>
      <c r="U1105" s="11" t="str">
        <f t="shared" si="85"/>
        <v>10:47:32 PM</v>
      </c>
      <c r="BL1105" s="2" t="s">
        <v>2255</v>
      </c>
    </row>
    <row r="1106" spans="1:64" x14ac:dyDescent="0.35">
      <c r="A1106">
        <v>5653</v>
      </c>
      <c r="B1106" t="s">
        <v>20</v>
      </c>
      <c r="C1106" s="1">
        <v>45802</v>
      </c>
      <c r="D1106" t="s">
        <v>34</v>
      </c>
      <c r="E1106" t="s">
        <v>36</v>
      </c>
      <c r="F1106">
        <v>5</v>
      </c>
      <c r="G1106">
        <v>891.42</v>
      </c>
      <c r="H1106">
        <v>4457.1000000000004</v>
      </c>
      <c r="I1106">
        <v>445.71</v>
      </c>
      <c r="J1106">
        <v>4011.39</v>
      </c>
      <c r="K1106">
        <v>230</v>
      </c>
      <c r="L1106" s="11" t="s">
        <v>894</v>
      </c>
      <c r="M1106">
        <f t="shared" si="86"/>
        <v>25</v>
      </c>
      <c r="N1106">
        <f t="shared" si="87"/>
        <v>5</v>
      </c>
      <c r="O1106">
        <f t="shared" si="88"/>
        <v>2025</v>
      </c>
      <c r="P1106" s="4">
        <f t="shared" si="89"/>
        <v>45802</v>
      </c>
      <c r="Q1106" t="s">
        <v>1139</v>
      </c>
      <c r="R1106" t="s">
        <v>1137</v>
      </c>
      <c r="S1106">
        <v>3</v>
      </c>
      <c r="T1106" t="s">
        <v>1149</v>
      </c>
      <c r="U1106" s="11" t="str">
        <f t="shared" si="85"/>
        <v>08:10:16 AM</v>
      </c>
      <c r="BL1106" s="2" t="s">
        <v>2256</v>
      </c>
    </row>
    <row r="1107" spans="1:64" x14ac:dyDescent="0.35">
      <c r="A1107">
        <v>2292</v>
      </c>
      <c r="B1107" t="s">
        <v>13</v>
      </c>
      <c r="C1107" s="1">
        <v>45339</v>
      </c>
      <c r="D1107" t="s">
        <v>11</v>
      </c>
      <c r="E1107" t="s">
        <v>37</v>
      </c>
      <c r="F1107">
        <v>3</v>
      </c>
      <c r="G1107">
        <v>739.53</v>
      </c>
      <c r="H1107">
        <v>2218.59</v>
      </c>
      <c r="I1107">
        <v>221.61</v>
      </c>
      <c r="J1107">
        <v>1996.98</v>
      </c>
      <c r="K1107">
        <v>12</v>
      </c>
      <c r="L1107" s="11" t="s">
        <v>895</v>
      </c>
      <c r="M1107">
        <f t="shared" si="86"/>
        <v>17</v>
      </c>
      <c r="N1107">
        <f t="shared" si="87"/>
        <v>2</v>
      </c>
      <c r="O1107">
        <f t="shared" si="88"/>
        <v>2024</v>
      </c>
      <c r="P1107" s="4">
        <f t="shared" si="89"/>
        <v>45339</v>
      </c>
      <c r="Q1107" t="s">
        <v>1136</v>
      </c>
      <c r="R1107" t="s">
        <v>1135</v>
      </c>
      <c r="S1107">
        <v>2</v>
      </c>
      <c r="T1107" t="s">
        <v>1150</v>
      </c>
      <c r="U1107" s="11" t="str">
        <f t="shared" si="85"/>
        <v>05:02:02 AM</v>
      </c>
      <c r="BL1107" s="2" t="s">
        <v>2257</v>
      </c>
    </row>
    <row r="1108" spans="1:64" x14ac:dyDescent="0.35">
      <c r="A1108">
        <v>4216</v>
      </c>
      <c r="B1108" t="s">
        <v>31</v>
      </c>
      <c r="C1108" s="1">
        <v>45638</v>
      </c>
      <c r="D1108" t="s">
        <v>24</v>
      </c>
      <c r="E1108" t="s">
        <v>32</v>
      </c>
      <c r="F1108">
        <v>3</v>
      </c>
      <c r="G1108">
        <v>2251.79</v>
      </c>
      <c r="H1108">
        <v>6755.37</v>
      </c>
      <c r="I1108">
        <v>1013.43</v>
      </c>
      <c r="J1108">
        <v>5741.94</v>
      </c>
      <c r="K1108">
        <v>150</v>
      </c>
      <c r="L1108" s="11" t="s">
        <v>896</v>
      </c>
      <c r="M1108">
        <f t="shared" si="86"/>
        <v>12</v>
      </c>
      <c r="N1108">
        <f t="shared" si="87"/>
        <v>12</v>
      </c>
      <c r="O1108">
        <f t="shared" si="88"/>
        <v>2024</v>
      </c>
      <c r="P1108" s="4">
        <f t="shared" si="89"/>
        <v>45638</v>
      </c>
      <c r="Q1108" t="s">
        <v>1138</v>
      </c>
      <c r="R1108" t="s">
        <v>1137</v>
      </c>
      <c r="S1108">
        <v>1</v>
      </c>
      <c r="T1108" t="s">
        <v>1147</v>
      </c>
      <c r="U1108" s="11" t="str">
        <f t="shared" si="85"/>
        <v>05:13:39 AM</v>
      </c>
      <c r="BL1108" s="2" t="s">
        <v>2258</v>
      </c>
    </row>
    <row r="1109" spans="1:64" x14ac:dyDescent="0.35">
      <c r="A1109">
        <v>5496</v>
      </c>
      <c r="B1109" t="s">
        <v>31</v>
      </c>
      <c r="C1109" s="1">
        <v>45242</v>
      </c>
      <c r="D1109" t="s">
        <v>4</v>
      </c>
      <c r="E1109" t="s">
        <v>38</v>
      </c>
      <c r="F1109">
        <v>1</v>
      </c>
      <c r="G1109">
        <v>949.52</v>
      </c>
      <c r="H1109">
        <v>949.52</v>
      </c>
      <c r="I1109">
        <v>142.76</v>
      </c>
      <c r="J1109">
        <v>806.76</v>
      </c>
      <c r="K1109">
        <v>279</v>
      </c>
      <c r="L1109" s="11" t="s">
        <v>897</v>
      </c>
      <c r="M1109">
        <f t="shared" si="86"/>
        <v>12</v>
      </c>
      <c r="N1109">
        <f t="shared" si="87"/>
        <v>11</v>
      </c>
      <c r="O1109">
        <f t="shared" si="88"/>
        <v>2023</v>
      </c>
      <c r="P1109" s="4">
        <f t="shared" si="89"/>
        <v>45242</v>
      </c>
      <c r="Q1109" t="s">
        <v>1139</v>
      </c>
      <c r="R1109" t="s">
        <v>1137</v>
      </c>
      <c r="S1109">
        <v>2</v>
      </c>
      <c r="T1109" t="s">
        <v>1143</v>
      </c>
      <c r="U1109" s="11" t="str">
        <f t="shared" si="85"/>
        <v>05:29:34 PM</v>
      </c>
      <c r="BL1109" s="2" t="s">
        <v>2259</v>
      </c>
    </row>
    <row r="1110" spans="1:64" x14ac:dyDescent="0.35">
      <c r="A1110">
        <v>5961</v>
      </c>
      <c r="B1110" t="s">
        <v>31</v>
      </c>
      <c r="C1110" s="1">
        <v>45622</v>
      </c>
      <c r="D1110" t="s">
        <v>16</v>
      </c>
      <c r="E1110" t="s">
        <v>10</v>
      </c>
      <c r="F1110">
        <v>3</v>
      </c>
      <c r="G1110">
        <v>810.91</v>
      </c>
      <c r="H1110">
        <v>2432.73</v>
      </c>
      <c r="I1110">
        <v>486.38</v>
      </c>
      <c r="J1110">
        <v>1946.35</v>
      </c>
      <c r="K1110">
        <v>417</v>
      </c>
      <c r="L1110" s="11" t="s">
        <v>898</v>
      </c>
      <c r="M1110">
        <f t="shared" si="86"/>
        <v>26</v>
      </c>
      <c r="N1110">
        <f t="shared" si="87"/>
        <v>11</v>
      </c>
      <c r="O1110">
        <f t="shared" si="88"/>
        <v>2024</v>
      </c>
      <c r="P1110" s="4">
        <f t="shared" si="89"/>
        <v>45622</v>
      </c>
      <c r="Q1110" t="s">
        <v>1139</v>
      </c>
      <c r="R1110" t="s">
        <v>1137</v>
      </c>
      <c r="S1110">
        <v>5</v>
      </c>
      <c r="T1110" t="s">
        <v>1148</v>
      </c>
      <c r="U1110" s="11" t="str">
        <f t="shared" si="85"/>
        <v>05:56:16 PM</v>
      </c>
      <c r="BL1110" s="2" t="s">
        <v>2260</v>
      </c>
    </row>
    <row r="1111" spans="1:64" x14ac:dyDescent="0.35">
      <c r="A1111">
        <v>9740</v>
      </c>
      <c r="B1111" t="s">
        <v>8</v>
      </c>
      <c r="C1111" s="1">
        <v>45217</v>
      </c>
      <c r="D1111" t="s">
        <v>27</v>
      </c>
      <c r="E1111" t="s">
        <v>2</v>
      </c>
      <c r="F1111">
        <v>1</v>
      </c>
      <c r="G1111">
        <v>1935.56</v>
      </c>
      <c r="H1111">
        <v>1935.56</v>
      </c>
      <c r="I1111">
        <v>193.39</v>
      </c>
      <c r="J1111">
        <v>1742.17</v>
      </c>
      <c r="K1111">
        <v>144</v>
      </c>
      <c r="L1111" s="11" t="s">
        <v>899</v>
      </c>
      <c r="M1111">
        <f t="shared" si="86"/>
        <v>18</v>
      </c>
      <c r="N1111">
        <f t="shared" si="87"/>
        <v>10</v>
      </c>
      <c r="O1111">
        <f t="shared" si="88"/>
        <v>2023</v>
      </c>
      <c r="P1111" s="4">
        <f t="shared" si="89"/>
        <v>45217</v>
      </c>
      <c r="Q1111" t="s">
        <v>1134</v>
      </c>
      <c r="R1111" t="s">
        <v>1137</v>
      </c>
      <c r="S1111">
        <v>4</v>
      </c>
      <c r="T1111" t="s">
        <v>1143</v>
      </c>
      <c r="U1111" s="11" t="str">
        <f t="shared" si="85"/>
        <v>12:17:32 AM</v>
      </c>
      <c r="BL1111" s="2" t="s">
        <v>2261</v>
      </c>
    </row>
    <row r="1112" spans="1:64" x14ac:dyDescent="0.35">
      <c r="A1112">
        <v>9234</v>
      </c>
      <c r="B1112" t="s">
        <v>13</v>
      </c>
      <c r="C1112" s="1">
        <v>45642</v>
      </c>
      <c r="D1112" t="s">
        <v>17</v>
      </c>
      <c r="E1112" t="s">
        <v>28</v>
      </c>
      <c r="F1112">
        <v>4</v>
      </c>
      <c r="G1112">
        <v>1656.68</v>
      </c>
      <c r="H1112">
        <v>6626.72</v>
      </c>
      <c r="I1112">
        <v>662.34</v>
      </c>
      <c r="J1112">
        <v>5964.38</v>
      </c>
      <c r="K1112">
        <v>389</v>
      </c>
      <c r="L1112" s="11" t="s">
        <v>900</v>
      </c>
      <c r="M1112">
        <f t="shared" si="86"/>
        <v>16</v>
      </c>
      <c r="N1112">
        <f t="shared" si="87"/>
        <v>12</v>
      </c>
      <c r="O1112">
        <f t="shared" si="88"/>
        <v>2024</v>
      </c>
      <c r="P1112" s="4">
        <f t="shared" si="89"/>
        <v>45642</v>
      </c>
      <c r="Q1112" t="s">
        <v>1138</v>
      </c>
      <c r="R1112" t="s">
        <v>1137</v>
      </c>
      <c r="S1112">
        <v>5</v>
      </c>
      <c r="T1112" t="s">
        <v>1149</v>
      </c>
      <c r="U1112" s="11" t="str">
        <f t="shared" si="85"/>
        <v>06:37:28 PM</v>
      </c>
      <c r="BL1112" s="2" t="s">
        <v>2262</v>
      </c>
    </row>
    <row r="1113" spans="1:64" x14ac:dyDescent="0.35">
      <c r="A1113">
        <v>3762</v>
      </c>
      <c r="B1113" t="s">
        <v>20</v>
      </c>
      <c r="C1113" s="1">
        <v>45604</v>
      </c>
      <c r="D1113" t="s">
        <v>6</v>
      </c>
      <c r="E1113" t="s">
        <v>33</v>
      </c>
      <c r="F1113">
        <v>4</v>
      </c>
      <c r="G1113">
        <v>644.91</v>
      </c>
      <c r="H1113">
        <v>2579.64</v>
      </c>
      <c r="I1113">
        <v>0</v>
      </c>
      <c r="J1113">
        <v>2579.64</v>
      </c>
      <c r="K1113">
        <v>300</v>
      </c>
      <c r="L1113" s="11" t="s">
        <v>901</v>
      </c>
      <c r="M1113">
        <f t="shared" si="86"/>
        <v>8</v>
      </c>
      <c r="N1113">
        <f t="shared" si="87"/>
        <v>11</v>
      </c>
      <c r="O1113">
        <f t="shared" si="88"/>
        <v>2024</v>
      </c>
      <c r="P1113" s="4">
        <f t="shared" si="89"/>
        <v>45604</v>
      </c>
      <c r="Q1113" t="s">
        <v>1138</v>
      </c>
      <c r="R1113" t="s">
        <v>1137</v>
      </c>
      <c r="S1113">
        <v>4</v>
      </c>
      <c r="T1113" t="s">
        <v>1143</v>
      </c>
      <c r="U1113" s="11" t="str">
        <f t="shared" si="85"/>
        <v>07:29:07 PM</v>
      </c>
      <c r="BL1113" s="2" t="s">
        <v>2263</v>
      </c>
    </row>
    <row r="1114" spans="1:64" x14ac:dyDescent="0.35">
      <c r="A1114">
        <v>3526</v>
      </c>
      <c r="B1114" t="s">
        <v>15</v>
      </c>
      <c r="C1114" s="1">
        <v>45277</v>
      </c>
      <c r="D1114" t="s">
        <v>11</v>
      </c>
      <c r="E1114" t="s">
        <v>32</v>
      </c>
      <c r="F1114">
        <v>3</v>
      </c>
      <c r="G1114">
        <v>2118.16</v>
      </c>
      <c r="H1114">
        <v>6354.48</v>
      </c>
      <c r="I1114">
        <v>1270.73</v>
      </c>
      <c r="J1114">
        <v>5083.75</v>
      </c>
      <c r="K1114">
        <v>219</v>
      </c>
      <c r="L1114" s="11" t="s">
        <v>902</v>
      </c>
      <c r="M1114">
        <f t="shared" si="86"/>
        <v>17</v>
      </c>
      <c r="N1114">
        <f t="shared" si="87"/>
        <v>12</v>
      </c>
      <c r="O1114">
        <f t="shared" si="88"/>
        <v>2023</v>
      </c>
      <c r="P1114" s="4">
        <f t="shared" si="89"/>
        <v>45277</v>
      </c>
      <c r="Q1114" t="s">
        <v>1136</v>
      </c>
      <c r="R1114" t="s">
        <v>1135</v>
      </c>
      <c r="S1114">
        <v>5</v>
      </c>
      <c r="T1114" t="s">
        <v>1144</v>
      </c>
      <c r="U1114" s="11" t="str">
        <f t="shared" si="85"/>
        <v>07:16:00 AM</v>
      </c>
      <c r="BL1114" s="2" t="s">
        <v>2264</v>
      </c>
    </row>
    <row r="1115" spans="1:64" x14ac:dyDescent="0.35">
      <c r="A1115">
        <v>6531</v>
      </c>
      <c r="B1115" t="s">
        <v>15</v>
      </c>
      <c r="C1115" s="1">
        <v>45799</v>
      </c>
      <c r="D1115" t="s">
        <v>34</v>
      </c>
      <c r="E1115" t="s">
        <v>7</v>
      </c>
      <c r="F1115">
        <v>1</v>
      </c>
      <c r="G1115">
        <v>984.38</v>
      </c>
      <c r="H1115">
        <v>984.38</v>
      </c>
      <c r="I1115">
        <v>147.74</v>
      </c>
      <c r="J1115">
        <v>836.64</v>
      </c>
      <c r="K1115">
        <v>295</v>
      </c>
      <c r="L1115" s="11" t="s">
        <v>903</v>
      </c>
      <c r="M1115">
        <f t="shared" si="86"/>
        <v>22</v>
      </c>
      <c r="N1115">
        <f t="shared" si="87"/>
        <v>5</v>
      </c>
      <c r="O1115">
        <f t="shared" si="88"/>
        <v>2025</v>
      </c>
      <c r="P1115" s="4">
        <f t="shared" si="89"/>
        <v>45799</v>
      </c>
      <c r="Q1115" t="s">
        <v>1134</v>
      </c>
      <c r="R1115" t="s">
        <v>1137</v>
      </c>
      <c r="S1115">
        <v>3</v>
      </c>
      <c r="T1115" t="s">
        <v>1148</v>
      </c>
      <c r="U1115" s="11" t="str">
        <f t="shared" si="85"/>
        <v>01:06:21 PM</v>
      </c>
      <c r="BL1115" s="2" t="s">
        <v>2265</v>
      </c>
    </row>
    <row r="1116" spans="1:64" x14ac:dyDescent="0.35">
      <c r="A1116">
        <v>1674</v>
      </c>
      <c r="B1116" t="s">
        <v>20</v>
      </c>
      <c r="C1116" s="1">
        <v>45785</v>
      </c>
      <c r="D1116" t="s">
        <v>34</v>
      </c>
      <c r="E1116" t="s">
        <v>12</v>
      </c>
      <c r="F1116">
        <v>3</v>
      </c>
      <c r="G1116">
        <v>624.99</v>
      </c>
      <c r="H1116">
        <v>1874.97</v>
      </c>
      <c r="I1116">
        <v>0</v>
      </c>
      <c r="J1116">
        <v>1874.97</v>
      </c>
      <c r="K1116">
        <v>217</v>
      </c>
      <c r="L1116" s="11" t="s">
        <v>904</v>
      </c>
      <c r="M1116">
        <f t="shared" si="86"/>
        <v>8</v>
      </c>
      <c r="N1116">
        <f t="shared" si="87"/>
        <v>5</v>
      </c>
      <c r="O1116">
        <f t="shared" si="88"/>
        <v>2025</v>
      </c>
      <c r="P1116" s="4">
        <f t="shared" si="89"/>
        <v>45785</v>
      </c>
      <c r="Q1116" t="s">
        <v>1134</v>
      </c>
      <c r="R1116" t="s">
        <v>1135</v>
      </c>
      <c r="S1116">
        <v>2</v>
      </c>
      <c r="T1116" t="s">
        <v>1149</v>
      </c>
      <c r="U1116" s="11" t="str">
        <f t="shared" si="85"/>
        <v>12:33:22 PM</v>
      </c>
      <c r="BL1116" s="2" t="s">
        <v>2266</v>
      </c>
    </row>
    <row r="1117" spans="1:64" x14ac:dyDescent="0.35">
      <c r="A1117">
        <v>1464</v>
      </c>
      <c r="B1117" t="s">
        <v>3</v>
      </c>
      <c r="C1117" s="1">
        <v>45208</v>
      </c>
      <c r="D1117" t="s">
        <v>24</v>
      </c>
      <c r="E1117" t="s">
        <v>10</v>
      </c>
      <c r="F1117">
        <v>5</v>
      </c>
      <c r="G1117">
        <v>137.78</v>
      </c>
      <c r="H1117">
        <v>688.9</v>
      </c>
      <c r="I1117">
        <v>137.78</v>
      </c>
      <c r="J1117">
        <v>551.12</v>
      </c>
      <c r="K1117">
        <v>402</v>
      </c>
      <c r="L1117" s="11" t="s">
        <v>905</v>
      </c>
      <c r="M1117">
        <f t="shared" si="86"/>
        <v>9</v>
      </c>
      <c r="N1117">
        <f t="shared" si="87"/>
        <v>10</v>
      </c>
      <c r="O1117">
        <f t="shared" si="88"/>
        <v>2023</v>
      </c>
      <c r="P1117" s="4">
        <f t="shared" si="89"/>
        <v>45208</v>
      </c>
      <c r="Q1117" t="s">
        <v>1134</v>
      </c>
      <c r="R1117" t="s">
        <v>1137</v>
      </c>
      <c r="S1117">
        <v>4</v>
      </c>
      <c r="T1117" t="s">
        <v>1141</v>
      </c>
      <c r="U1117" s="11" t="str">
        <f t="shared" si="85"/>
        <v>05:04:31 PM</v>
      </c>
      <c r="BL1117" s="2" t="s">
        <v>2267</v>
      </c>
    </row>
    <row r="1118" spans="1:64" x14ac:dyDescent="0.35">
      <c r="A1118">
        <v>1744</v>
      </c>
      <c r="B1118" t="s">
        <v>8</v>
      </c>
      <c r="C1118" s="1">
        <v>45643</v>
      </c>
      <c r="D1118" t="s">
        <v>11</v>
      </c>
      <c r="E1118" t="s">
        <v>21</v>
      </c>
      <c r="F1118">
        <v>4</v>
      </c>
      <c r="G1118">
        <v>573.53</v>
      </c>
      <c r="H1118">
        <v>2294.12</v>
      </c>
      <c r="I1118">
        <v>211.65</v>
      </c>
      <c r="J1118">
        <v>2082.4699999999998</v>
      </c>
      <c r="K1118">
        <v>200</v>
      </c>
      <c r="L1118" s="11" t="s">
        <v>906</v>
      </c>
      <c r="M1118">
        <f t="shared" si="86"/>
        <v>17</v>
      </c>
      <c r="N1118">
        <f t="shared" si="87"/>
        <v>12</v>
      </c>
      <c r="O1118">
        <f t="shared" si="88"/>
        <v>2024</v>
      </c>
      <c r="P1118" s="4">
        <f t="shared" si="89"/>
        <v>45643</v>
      </c>
      <c r="Q1118" t="s">
        <v>1134</v>
      </c>
      <c r="R1118" t="s">
        <v>1137</v>
      </c>
      <c r="S1118">
        <v>1</v>
      </c>
      <c r="T1118" t="s">
        <v>1144</v>
      </c>
      <c r="U1118" s="11" t="str">
        <f t="shared" si="85"/>
        <v>11:52:19 AM</v>
      </c>
      <c r="BL1118" s="2" t="s">
        <v>2268</v>
      </c>
    </row>
    <row r="1119" spans="1:64" x14ac:dyDescent="0.35">
      <c r="A1119">
        <v>5336</v>
      </c>
      <c r="B1119" t="s">
        <v>15</v>
      </c>
      <c r="C1119" s="1">
        <v>45650</v>
      </c>
      <c r="D1119" t="s">
        <v>4</v>
      </c>
      <c r="E1119" t="s">
        <v>10</v>
      </c>
      <c r="F1119">
        <v>5</v>
      </c>
      <c r="G1119">
        <v>2397.87</v>
      </c>
      <c r="H1119">
        <v>11989.35</v>
      </c>
      <c r="I1119">
        <v>140.27000000000001</v>
      </c>
      <c r="J1119">
        <v>11849.08</v>
      </c>
      <c r="K1119">
        <v>327</v>
      </c>
      <c r="L1119" s="11" t="s">
        <v>907</v>
      </c>
      <c r="M1119">
        <f t="shared" si="86"/>
        <v>24</v>
      </c>
      <c r="N1119">
        <f t="shared" si="87"/>
        <v>12</v>
      </c>
      <c r="O1119">
        <f t="shared" si="88"/>
        <v>2024</v>
      </c>
      <c r="P1119" s="4">
        <f t="shared" si="89"/>
        <v>45650</v>
      </c>
      <c r="Q1119" t="s">
        <v>1138</v>
      </c>
      <c r="R1119" t="s">
        <v>1135</v>
      </c>
      <c r="S1119">
        <v>2</v>
      </c>
      <c r="T1119" t="s">
        <v>1148</v>
      </c>
      <c r="U1119" s="11" t="str">
        <f t="shared" si="85"/>
        <v>05:13:56 PM</v>
      </c>
      <c r="BL1119" s="2" t="s">
        <v>2269</v>
      </c>
    </row>
    <row r="1120" spans="1:64" x14ac:dyDescent="0.35">
      <c r="A1120">
        <v>4453</v>
      </c>
      <c r="B1120" t="s">
        <v>3</v>
      </c>
      <c r="C1120" s="1">
        <v>45740</v>
      </c>
      <c r="D1120" t="s">
        <v>23</v>
      </c>
      <c r="E1120" t="s">
        <v>29</v>
      </c>
      <c r="F1120">
        <v>5</v>
      </c>
      <c r="G1120">
        <v>1258.28</v>
      </c>
      <c r="H1120">
        <v>6291.4</v>
      </c>
      <c r="I1120">
        <v>385.95</v>
      </c>
      <c r="J1120">
        <v>5905.45</v>
      </c>
      <c r="K1120">
        <v>95</v>
      </c>
      <c r="L1120" s="11" t="s">
        <v>908</v>
      </c>
      <c r="M1120">
        <f t="shared" si="86"/>
        <v>24</v>
      </c>
      <c r="N1120">
        <f t="shared" si="87"/>
        <v>3</v>
      </c>
      <c r="O1120">
        <f t="shared" si="88"/>
        <v>2025</v>
      </c>
      <c r="P1120" s="4">
        <f t="shared" si="89"/>
        <v>45740</v>
      </c>
      <c r="Q1120" t="s">
        <v>1138</v>
      </c>
      <c r="R1120" t="s">
        <v>1137</v>
      </c>
      <c r="S1120">
        <v>1</v>
      </c>
      <c r="T1120" t="s">
        <v>1147</v>
      </c>
      <c r="U1120" s="11" t="str">
        <f t="shared" si="85"/>
        <v>03:46:53 PM</v>
      </c>
      <c r="BL1120" s="2" t="s">
        <v>2270</v>
      </c>
    </row>
    <row r="1121" spans="1:64" x14ac:dyDescent="0.35">
      <c r="A1121">
        <v>7825</v>
      </c>
      <c r="B1121" t="s">
        <v>13</v>
      </c>
      <c r="C1121" s="1">
        <v>45625</v>
      </c>
      <c r="D1121" t="s">
        <v>24</v>
      </c>
      <c r="E1121" t="s">
        <v>33</v>
      </c>
      <c r="F1121">
        <v>2</v>
      </c>
      <c r="G1121">
        <v>782.69</v>
      </c>
      <c r="H1121">
        <v>1565.38</v>
      </c>
      <c r="I1121">
        <v>156.87</v>
      </c>
      <c r="J1121">
        <v>1408.51</v>
      </c>
      <c r="K1121">
        <v>268</v>
      </c>
      <c r="L1121" s="11" t="s">
        <v>909</v>
      </c>
      <c r="M1121">
        <f t="shared" si="86"/>
        <v>29</v>
      </c>
      <c r="N1121">
        <f t="shared" si="87"/>
        <v>11</v>
      </c>
      <c r="O1121">
        <f t="shared" si="88"/>
        <v>2024</v>
      </c>
      <c r="P1121" s="4">
        <f t="shared" si="89"/>
        <v>45625</v>
      </c>
      <c r="Q1121" t="s">
        <v>1139</v>
      </c>
      <c r="R1121" t="s">
        <v>1135</v>
      </c>
      <c r="S1121">
        <v>2</v>
      </c>
      <c r="T1121" t="s">
        <v>1150</v>
      </c>
      <c r="U1121" s="11" t="str">
        <f t="shared" si="85"/>
        <v>02:41:01 AM</v>
      </c>
      <c r="BL1121" s="2" t="s">
        <v>2271</v>
      </c>
    </row>
    <row r="1122" spans="1:64" x14ac:dyDescent="0.35">
      <c r="A1122">
        <v>1496</v>
      </c>
      <c r="B1122" t="s">
        <v>20</v>
      </c>
      <c r="C1122" s="1">
        <v>45531</v>
      </c>
      <c r="D1122" t="s">
        <v>11</v>
      </c>
      <c r="E1122" t="s">
        <v>36</v>
      </c>
      <c r="F1122">
        <v>1</v>
      </c>
      <c r="G1122">
        <v>495.51</v>
      </c>
      <c r="H1122">
        <v>495.51</v>
      </c>
      <c r="I1122">
        <v>49.8</v>
      </c>
      <c r="J1122">
        <v>445.71</v>
      </c>
      <c r="K1122">
        <v>440</v>
      </c>
      <c r="L1122" s="11" t="s">
        <v>910</v>
      </c>
      <c r="M1122">
        <f t="shared" si="86"/>
        <v>27</v>
      </c>
      <c r="N1122">
        <f t="shared" si="87"/>
        <v>8</v>
      </c>
      <c r="O1122">
        <f t="shared" si="88"/>
        <v>2024</v>
      </c>
      <c r="P1122" s="4">
        <f t="shared" si="89"/>
        <v>45531</v>
      </c>
      <c r="Q1122" t="s">
        <v>1139</v>
      </c>
      <c r="R1122" t="s">
        <v>1135</v>
      </c>
      <c r="S1122">
        <v>2</v>
      </c>
      <c r="T1122" t="s">
        <v>1147</v>
      </c>
      <c r="U1122" s="11" t="str">
        <f t="shared" si="85"/>
        <v>06:44:32 AM</v>
      </c>
      <c r="BL1122" s="2" t="s">
        <v>2272</v>
      </c>
    </row>
    <row r="1123" spans="1:64" x14ac:dyDescent="0.35">
      <c r="A1123">
        <v>9938</v>
      </c>
      <c r="B1123" t="s">
        <v>8</v>
      </c>
      <c r="C1123" s="1">
        <v>45369</v>
      </c>
      <c r="D1123" t="s">
        <v>4</v>
      </c>
      <c r="E1123" t="s">
        <v>30</v>
      </c>
      <c r="F1123">
        <v>5</v>
      </c>
      <c r="G1123">
        <v>1088.96</v>
      </c>
      <c r="H1123">
        <v>5444.8</v>
      </c>
      <c r="I1123">
        <v>544.48</v>
      </c>
      <c r="J1123">
        <v>4900.32</v>
      </c>
      <c r="K1123">
        <v>380</v>
      </c>
      <c r="L1123" s="11" t="s">
        <v>911</v>
      </c>
      <c r="M1123">
        <f t="shared" si="86"/>
        <v>18</v>
      </c>
      <c r="N1123">
        <f t="shared" si="87"/>
        <v>3</v>
      </c>
      <c r="O1123">
        <f t="shared" si="88"/>
        <v>2024</v>
      </c>
      <c r="P1123" s="4">
        <f t="shared" si="89"/>
        <v>45369</v>
      </c>
      <c r="Q1123" t="s">
        <v>1134</v>
      </c>
      <c r="R1123" t="s">
        <v>1135</v>
      </c>
      <c r="S1123">
        <v>5</v>
      </c>
      <c r="T1123" t="s">
        <v>1143</v>
      </c>
      <c r="U1123" s="11" t="str">
        <f t="shared" si="85"/>
        <v>10:22:22 AM</v>
      </c>
      <c r="BL1123" s="2" t="s">
        <v>2273</v>
      </c>
    </row>
    <row r="1124" spans="1:64" x14ac:dyDescent="0.35">
      <c r="A1124">
        <v>5949</v>
      </c>
      <c r="B1124" t="s">
        <v>31</v>
      </c>
      <c r="C1124" s="1">
        <v>45520</v>
      </c>
      <c r="D1124" t="s">
        <v>23</v>
      </c>
      <c r="E1124" t="s">
        <v>33</v>
      </c>
      <c r="F1124">
        <v>3</v>
      </c>
      <c r="G1124">
        <v>1122.1600000000001</v>
      </c>
      <c r="H1124">
        <v>3366.48</v>
      </c>
      <c r="I1124">
        <v>673.13</v>
      </c>
      <c r="J1124">
        <v>2693.35</v>
      </c>
      <c r="K1124">
        <v>363</v>
      </c>
      <c r="L1124" s="11" t="s">
        <v>912</v>
      </c>
      <c r="M1124">
        <f t="shared" si="86"/>
        <v>16</v>
      </c>
      <c r="N1124">
        <f t="shared" si="87"/>
        <v>8</v>
      </c>
      <c r="O1124">
        <f t="shared" si="88"/>
        <v>2024</v>
      </c>
      <c r="P1124" s="4">
        <f t="shared" si="89"/>
        <v>45520</v>
      </c>
      <c r="Q1124" t="s">
        <v>1134</v>
      </c>
      <c r="R1124" t="s">
        <v>1135</v>
      </c>
      <c r="S1124">
        <v>4</v>
      </c>
      <c r="T1124" t="s">
        <v>1143</v>
      </c>
      <c r="U1124" s="11" t="str">
        <f t="shared" si="85"/>
        <v>04:04:18 AM</v>
      </c>
      <c r="BL1124" s="2" t="s">
        <v>2274</v>
      </c>
    </row>
    <row r="1125" spans="1:64" x14ac:dyDescent="0.35">
      <c r="A1125">
        <v>5012</v>
      </c>
      <c r="B1125" t="s">
        <v>19</v>
      </c>
      <c r="C1125" s="1">
        <v>45770</v>
      </c>
      <c r="D1125" t="s">
        <v>17</v>
      </c>
      <c r="E1125" t="s">
        <v>33</v>
      </c>
      <c r="F1125">
        <v>5</v>
      </c>
      <c r="G1125">
        <v>1807.74</v>
      </c>
      <c r="H1125">
        <v>9038.7000000000007</v>
      </c>
      <c r="I1125">
        <v>1807.74</v>
      </c>
      <c r="J1125">
        <v>7230.96</v>
      </c>
      <c r="K1125">
        <v>234</v>
      </c>
      <c r="L1125" s="11" t="s">
        <v>913</v>
      </c>
      <c r="M1125">
        <f t="shared" si="86"/>
        <v>23</v>
      </c>
      <c r="N1125">
        <f t="shared" si="87"/>
        <v>4</v>
      </c>
      <c r="O1125">
        <f t="shared" si="88"/>
        <v>2025</v>
      </c>
      <c r="P1125" s="4">
        <f t="shared" si="89"/>
        <v>45770</v>
      </c>
      <c r="Q1125" t="s">
        <v>1134</v>
      </c>
      <c r="R1125" t="s">
        <v>1137</v>
      </c>
      <c r="S1125">
        <v>4</v>
      </c>
      <c r="T1125" t="s">
        <v>1142</v>
      </c>
      <c r="U1125" s="11" t="str">
        <f t="shared" si="85"/>
        <v>09:07:56 AM</v>
      </c>
      <c r="BL1125" s="2" t="s">
        <v>2275</v>
      </c>
    </row>
    <row r="1126" spans="1:64" x14ac:dyDescent="0.35">
      <c r="A1126">
        <v>7653</v>
      </c>
      <c r="B1126" t="s">
        <v>20</v>
      </c>
      <c r="C1126" s="1">
        <v>45376</v>
      </c>
      <c r="D1126" t="s">
        <v>23</v>
      </c>
      <c r="E1126" t="s">
        <v>22</v>
      </c>
      <c r="F1126">
        <v>1</v>
      </c>
      <c r="G1126">
        <v>2066.6999999999998</v>
      </c>
      <c r="H1126">
        <v>2066.6999999999998</v>
      </c>
      <c r="I1126">
        <v>192.56</v>
      </c>
      <c r="J1126">
        <v>1874.14</v>
      </c>
      <c r="K1126">
        <v>309</v>
      </c>
      <c r="L1126" s="11" t="s">
        <v>914</v>
      </c>
      <c r="M1126">
        <f t="shared" si="86"/>
        <v>25</v>
      </c>
      <c r="N1126">
        <f t="shared" si="87"/>
        <v>3</v>
      </c>
      <c r="O1126">
        <f t="shared" si="88"/>
        <v>2024</v>
      </c>
      <c r="P1126" s="4">
        <f t="shared" si="89"/>
        <v>45376</v>
      </c>
      <c r="Q1126" t="s">
        <v>1139</v>
      </c>
      <c r="R1126" t="s">
        <v>1137</v>
      </c>
      <c r="S1126">
        <v>2</v>
      </c>
      <c r="T1126" t="s">
        <v>1148</v>
      </c>
      <c r="U1126" s="11" t="str">
        <f t="shared" si="85"/>
        <v>01:12:07 PM</v>
      </c>
      <c r="BL1126" s="2" t="s">
        <v>2276</v>
      </c>
    </row>
    <row r="1127" spans="1:64" x14ac:dyDescent="0.35">
      <c r="A1127">
        <v>8430</v>
      </c>
      <c r="B1127" t="s">
        <v>15</v>
      </c>
      <c r="C1127" s="1">
        <v>45201</v>
      </c>
      <c r="D1127" t="s">
        <v>34</v>
      </c>
      <c r="E1127" t="s">
        <v>22</v>
      </c>
      <c r="F1127">
        <v>5</v>
      </c>
      <c r="G1127">
        <v>175.96</v>
      </c>
      <c r="H1127">
        <v>879.8</v>
      </c>
      <c r="I1127">
        <v>0</v>
      </c>
      <c r="J1127">
        <v>879.8</v>
      </c>
      <c r="K1127">
        <v>46</v>
      </c>
      <c r="L1127" s="11" t="s">
        <v>915</v>
      </c>
      <c r="M1127">
        <f t="shared" si="86"/>
        <v>2</v>
      </c>
      <c r="N1127">
        <f t="shared" si="87"/>
        <v>10</v>
      </c>
      <c r="O1127">
        <f t="shared" si="88"/>
        <v>2023</v>
      </c>
      <c r="P1127" s="4">
        <f t="shared" si="89"/>
        <v>45201</v>
      </c>
      <c r="Q1127" t="s">
        <v>1136</v>
      </c>
      <c r="R1127" t="s">
        <v>1135</v>
      </c>
      <c r="S1127">
        <v>3</v>
      </c>
      <c r="T1127" t="s">
        <v>1143</v>
      </c>
      <c r="U1127" s="11" t="str">
        <f t="shared" si="85"/>
        <v>09:32:16 PM</v>
      </c>
      <c r="BL1127" s="2" t="s">
        <v>2277</v>
      </c>
    </row>
    <row r="1128" spans="1:64" x14ac:dyDescent="0.35">
      <c r="A1128">
        <v>1981</v>
      </c>
      <c r="B1128" t="s">
        <v>15</v>
      </c>
      <c r="C1128" s="1">
        <v>45267</v>
      </c>
      <c r="D1128" t="s">
        <v>11</v>
      </c>
      <c r="E1128" t="s">
        <v>26</v>
      </c>
      <c r="F1128">
        <v>4</v>
      </c>
      <c r="G1128">
        <v>1557.91</v>
      </c>
      <c r="H1128">
        <v>6231.64</v>
      </c>
      <c r="I1128">
        <v>623.33000000000004</v>
      </c>
      <c r="J1128">
        <v>5608.31</v>
      </c>
      <c r="K1128">
        <v>414</v>
      </c>
      <c r="L1128" s="11" t="s">
        <v>916</v>
      </c>
      <c r="M1128">
        <f t="shared" si="86"/>
        <v>7</v>
      </c>
      <c r="N1128">
        <f t="shared" si="87"/>
        <v>12</v>
      </c>
      <c r="O1128">
        <f t="shared" si="88"/>
        <v>2023</v>
      </c>
      <c r="P1128" s="4">
        <f t="shared" si="89"/>
        <v>45267</v>
      </c>
      <c r="Q1128" t="s">
        <v>1136</v>
      </c>
      <c r="R1128" t="s">
        <v>1137</v>
      </c>
      <c r="S1128">
        <v>3</v>
      </c>
      <c r="T1128" t="s">
        <v>1142</v>
      </c>
      <c r="U1128" s="11" t="str">
        <f t="shared" si="85"/>
        <v>01:23:09 PM</v>
      </c>
      <c r="BL1128" s="2" t="s">
        <v>2278</v>
      </c>
    </row>
    <row r="1129" spans="1:64" x14ac:dyDescent="0.35">
      <c r="A1129">
        <v>8202</v>
      </c>
      <c r="B1129" t="s">
        <v>31</v>
      </c>
      <c r="C1129" s="1">
        <v>45467</v>
      </c>
      <c r="D1129" t="s">
        <v>23</v>
      </c>
      <c r="E1129" t="s">
        <v>5</v>
      </c>
      <c r="F1129">
        <v>4</v>
      </c>
      <c r="G1129">
        <v>1008.45</v>
      </c>
      <c r="H1129">
        <v>4033.8</v>
      </c>
      <c r="I1129">
        <v>0</v>
      </c>
      <c r="J1129">
        <v>4033.8</v>
      </c>
      <c r="K1129">
        <v>337</v>
      </c>
      <c r="L1129" s="11" t="s">
        <v>917</v>
      </c>
      <c r="M1129">
        <f t="shared" si="86"/>
        <v>24</v>
      </c>
      <c r="N1129">
        <f t="shared" si="87"/>
        <v>6</v>
      </c>
      <c r="O1129">
        <f t="shared" si="88"/>
        <v>2024</v>
      </c>
      <c r="P1129" s="4">
        <f t="shared" si="89"/>
        <v>45467</v>
      </c>
      <c r="Q1129" t="s">
        <v>1139</v>
      </c>
      <c r="R1129" t="s">
        <v>1137</v>
      </c>
      <c r="S1129">
        <v>1</v>
      </c>
      <c r="T1129" t="s">
        <v>1147</v>
      </c>
      <c r="U1129" s="11" t="str">
        <f t="shared" si="85"/>
        <v>11:59:30 PM</v>
      </c>
      <c r="BL1129" s="2" t="s">
        <v>2279</v>
      </c>
    </row>
    <row r="1130" spans="1:64" x14ac:dyDescent="0.35">
      <c r="A1130">
        <v>8933</v>
      </c>
      <c r="B1130" t="s">
        <v>0</v>
      </c>
      <c r="C1130" s="1">
        <v>45505</v>
      </c>
      <c r="D1130" t="s">
        <v>9</v>
      </c>
      <c r="E1130" t="s">
        <v>29</v>
      </c>
      <c r="F1130">
        <v>2</v>
      </c>
      <c r="G1130">
        <v>2213.61</v>
      </c>
      <c r="H1130">
        <v>4427.22</v>
      </c>
      <c r="I1130">
        <v>0</v>
      </c>
      <c r="J1130">
        <v>4427.22</v>
      </c>
      <c r="K1130">
        <v>80</v>
      </c>
      <c r="L1130" s="11" t="s">
        <v>918</v>
      </c>
      <c r="M1130">
        <f t="shared" si="86"/>
        <v>1</v>
      </c>
      <c r="N1130">
        <f t="shared" si="87"/>
        <v>8</v>
      </c>
      <c r="O1130">
        <f t="shared" si="88"/>
        <v>2024</v>
      </c>
      <c r="P1130" s="4">
        <f t="shared" si="89"/>
        <v>45505</v>
      </c>
      <c r="Q1130" t="s">
        <v>1139</v>
      </c>
      <c r="R1130" t="s">
        <v>1135</v>
      </c>
      <c r="S1130">
        <v>1</v>
      </c>
      <c r="T1130" t="s">
        <v>1142</v>
      </c>
      <c r="U1130" s="11" t="str">
        <f t="shared" ref="U1130:U1193" si="90">TEXT(L1130,"hh:mm:ss AM/PM")</f>
        <v>08:14:02 AM</v>
      </c>
      <c r="BL1130" s="2" t="s">
        <v>2280</v>
      </c>
    </row>
    <row r="1131" spans="1:64" x14ac:dyDescent="0.35">
      <c r="A1131">
        <v>4342</v>
      </c>
      <c r="B1131" t="s">
        <v>3</v>
      </c>
      <c r="C1131" s="1">
        <v>45409</v>
      </c>
      <c r="D1131" t="s">
        <v>24</v>
      </c>
      <c r="E1131" t="s">
        <v>32</v>
      </c>
      <c r="F1131">
        <v>2</v>
      </c>
      <c r="G1131">
        <v>2269.2199999999998</v>
      </c>
      <c r="H1131">
        <v>4538.4399999999996</v>
      </c>
      <c r="I1131">
        <v>680.6</v>
      </c>
      <c r="J1131">
        <v>3857.84</v>
      </c>
      <c r="K1131">
        <v>210</v>
      </c>
      <c r="L1131" s="11" t="s">
        <v>919</v>
      </c>
      <c r="M1131">
        <f t="shared" si="86"/>
        <v>27</v>
      </c>
      <c r="N1131">
        <f t="shared" si="87"/>
        <v>4</v>
      </c>
      <c r="O1131">
        <f t="shared" si="88"/>
        <v>2024</v>
      </c>
      <c r="P1131" s="4">
        <f t="shared" si="89"/>
        <v>45409</v>
      </c>
      <c r="Q1131" t="s">
        <v>1139</v>
      </c>
      <c r="R1131" t="s">
        <v>1137</v>
      </c>
      <c r="S1131">
        <v>5</v>
      </c>
      <c r="T1131" t="s">
        <v>1147</v>
      </c>
      <c r="U1131" s="11" t="str">
        <f t="shared" si="90"/>
        <v>10:07:12 AM</v>
      </c>
      <c r="BL1131" s="2" t="s">
        <v>2281</v>
      </c>
    </row>
    <row r="1132" spans="1:64" x14ac:dyDescent="0.35">
      <c r="A1132">
        <v>3353</v>
      </c>
      <c r="B1132" t="s">
        <v>0</v>
      </c>
      <c r="C1132" s="1">
        <v>45387</v>
      </c>
      <c r="D1132" t="s">
        <v>4</v>
      </c>
      <c r="E1132" t="s">
        <v>36</v>
      </c>
      <c r="F1132">
        <v>3</v>
      </c>
      <c r="G1132">
        <v>1069.04</v>
      </c>
      <c r="H1132">
        <v>3207.12</v>
      </c>
      <c r="I1132">
        <v>641.59</v>
      </c>
      <c r="J1132">
        <v>2565.5300000000002</v>
      </c>
      <c r="K1132">
        <v>84</v>
      </c>
      <c r="L1132" s="11" t="s">
        <v>920</v>
      </c>
      <c r="M1132">
        <f t="shared" si="86"/>
        <v>5</v>
      </c>
      <c r="N1132">
        <f t="shared" si="87"/>
        <v>4</v>
      </c>
      <c r="O1132">
        <f t="shared" si="88"/>
        <v>2024</v>
      </c>
      <c r="P1132" s="4">
        <f t="shared" si="89"/>
        <v>45387</v>
      </c>
      <c r="Q1132" t="s">
        <v>1139</v>
      </c>
      <c r="R1132" t="s">
        <v>1135</v>
      </c>
      <c r="S1132">
        <v>2</v>
      </c>
      <c r="T1132" t="s">
        <v>1149</v>
      </c>
      <c r="U1132" s="11" t="str">
        <f t="shared" si="90"/>
        <v>04:37:54 AM</v>
      </c>
      <c r="BL1132" s="2" t="s">
        <v>2282</v>
      </c>
    </row>
    <row r="1133" spans="1:64" x14ac:dyDescent="0.35">
      <c r="A1133">
        <v>6231</v>
      </c>
      <c r="B1133" t="s">
        <v>3</v>
      </c>
      <c r="C1133" s="1">
        <v>45715</v>
      </c>
      <c r="D1133" t="s">
        <v>1</v>
      </c>
      <c r="E1133" t="s">
        <v>22</v>
      </c>
      <c r="F1133">
        <v>1</v>
      </c>
      <c r="G1133">
        <v>258.13</v>
      </c>
      <c r="H1133">
        <v>258.13</v>
      </c>
      <c r="I1133">
        <v>25.73</v>
      </c>
      <c r="J1133">
        <v>232.4</v>
      </c>
      <c r="K1133">
        <v>355</v>
      </c>
      <c r="L1133" s="11" t="s">
        <v>921</v>
      </c>
      <c r="M1133">
        <f t="shared" si="86"/>
        <v>27</v>
      </c>
      <c r="N1133">
        <f t="shared" si="87"/>
        <v>2</v>
      </c>
      <c r="O1133">
        <f t="shared" si="88"/>
        <v>2025</v>
      </c>
      <c r="P1133" s="4">
        <f t="shared" si="89"/>
        <v>45715</v>
      </c>
      <c r="Q1133" t="s">
        <v>1139</v>
      </c>
      <c r="R1133" t="s">
        <v>1135</v>
      </c>
      <c r="S1133">
        <v>1</v>
      </c>
      <c r="T1133" t="s">
        <v>1143</v>
      </c>
      <c r="U1133" s="11" t="str">
        <f t="shared" si="90"/>
        <v>10:43:34 AM</v>
      </c>
      <c r="BL1133" s="2" t="s">
        <v>2283</v>
      </c>
    </row>
    <row r="1134" spans="1:64" x14ac:dyDescent="0.35">
      <c r="A1134">
        <v>6658</v>
      </c>
      <c r="B1134" t="s">
        <v>0</v>
      </c>
      <c r="C1134" s="1">
        <v>45454</v>
      </c>
      <c r="D1134" t="s">
        <v>9</v>
      </c>
      <c r="E1134" t="s">
        <v>33</v>
      </c>
      <c r="F1134">
        <v>4</v>
      </c>
      <c r="G1134">
        <v>173.47</v>
      </c>
      <c r="H1134">
        <v>693.88</v>
      </c>
      <c r="I1134">
        <v>0</v>
      </c>
      <c r="J1134">
        <v>693.88</v>
      </c>
      <c r="K1134">
        <v>128</v>
      </c>
      <c r="L1134" s="11" t="s">
        <v>922</v>
      </c>
      <c r="M1134">
        <f t="shared" si="86"/>
        <v>11</v>
      </c>
      <c r="N1134">
        <f t="shared" si="87"/>
        <v>6</v>
      </c>
      <c r="O1134">
        <f t="shared" si="88"/>
        <v>2024</v>
      </c>
      <c r="P1134" s="4">
        <f t="shared" si="89"/>
        <v>45454</v>
      </c>
      <c r="Q1134" t="s">
        <v>1139</v>
      </c>
      <c r="R1134" t="s">
        <v>1137</v>
      </c>
      <c r="S1134">
        <v>1</v>
      </c>
      <c r="T1134" t="s">
        <v>1144</v>
      </c>
      <c r="U1134" s="11" t="str">
        <f t="shared" si="90"/>
        <v>09:19:34 AM</v>
      </c>
      <c r="BL1134" s="2" t="s">
        <v>2284</v>
      </c>
    </row>
    <row r="1135" spans="1:64" x14ac:dyDescent="0.35">
      <c r="A1135">
        <v>3142</v>
      </c>
      <c r="B1135" t="s">
        <v>8</v>
      </c>
      <c r="C1135" s="1">
        <v>45735</v>
      </c>
      <c r="D1135" t="s">
        <v>11</v>
      </c>
      <c r="E1135" t="s">
        <v>22</v>
      </c>
      <c r="F1135">
        <v>4</v>
      </c>
      <c r="G1135">
        <v>1192.71</v>
      </c>
      <c r="H1135">
        <v>4770.84</v>
      </c>
      <c r="I1135">
        <v>0</v>
      </c>
      <c r="J1135">
        <v>4770.84</v>
      </c>
      <c r="K1135">
        <v>42</v>
      </c>
      <c r="L1135" s="11" t="s">
        <v>923</v>
      </c>
      <c r="M1135">
        <f t="shared" si="86"/>
        <v>19</v>
      </c>
      <c r="N1135">
        <f t="shared" si="87"/>
        <v>3</v>
      </c>
      <c r="O1135">
        <f t="shared" si="88"/>
        <v>2025</v>
      </c>
      <c r="P1135" s="4">
        <f t="shared" si="89"/>
        <v>45735</v>
      </c>
      <c r="Q1135" t="s">
        <v>1134</v>
      </c>
      <c r="R1135" t="s">
        <v>1137</v>
      </c>
      <c r="S1135">
        <v>2</v>
      </c>
      <c r="T1135" t="s">
        <v>1147</v>
      </c>
      <c r="U1135" s="11" t="str">
        <f t="shared" si="90"/>
        <v>07:08:01 AM</v>
      </c>
      <c r="BL1135" s="2" t="s">
        <v>2285</v>
      </c>
    </row>
    <row r="1136" spans="1:64" x14ac:dyDescent="0.35">
      <c r="A1136">
        <v>7070</v>
      </c>
      <c r="B1136" t="s">
        <v>15</v>
      </c>
      <c r="C1136" s="1">
        <v>45544</v>
      </c>
      <c r="D1136" t="s">
        <v>23</v>
      </c>
      <c r="E1136" t="s">
        <v>37</v>
      </c>
      <c r="F1136">
        <v>3</v>
      </c>
      <c r="G1136">
        <v>2108.1999999999998</v>
      </c>
      <c r="H1136">
        <v>6324.6</v>
      </c>
      <c r="I1136">
        <v>116.2</v>
      </c>
      <c r="J1136">
        <v>6208.4</v>
      </c>
      <c r="K1136">
        <v>87</v>
      </c>
      <c r="L1136" s="11" t="s">
        <v>924</v>
      </c>
      <c r="M1136">
        <f t="shared" si="86"/>
        <v>9</v>
      </c>
      <c r="N1136">
        <f t="shared" si="87"/>
        <v>9</v>
      </c>
      <c r="O1136">
        <f t="shared" si="88"/>
        <v>2024</v>
      </c>
      <c r="P1136" s="4">
        <f t="shared" si="89"/>
        <v>45544</v>
      </c>
      <c r="Q1136" t="s">
        <v>1134</v>
      </c>
      <c r="R1136" t="s">
        <v>1137</v>
      </c>
      <c r="S1136">
        <v>5</v>
      </c>
      <c r="T1136" t="s">
        <v>1150</v>
      </c>
      <c r="U1136" s="11" t="str">
        <f t="shared" si="90"/>
        <v>08:21:19 PM</v>
      </c>
      <c r="BL1136" s="2" t="s">
        <v>2286</v>
      </c>
    </row>
    <row r="1137" spans="1:64" x14ac:dyDescent="0.35">
      <c r="A1137">
        <v>2739</v>
      </c>
      <c r="B1137" t="s">
        <v>19</v>
      </c>
      <c r="C1137" s="1">
        <v>45392</v>
      </c>
      <c r="D1137" t="s">
        <v>4</v>
      </c>
      <c r="E1137" t="s">
        <v>7</v>
      </c>
      <c r="F1137">
        <v>4</v>
      </c>
      <c r="G1137">
        <v>488.04</v>
      </c>
      <c r="H1137">
        <v>1952.16</v>
      </c>
      <c r="I1137">
        <v>0</v>
      </c>
      <c r="J1137">
        <v>1952.16</v>
      </c>
      <c r="K1137">
        <v>343</v>
      </c>
      <c r="L1137" s="11" t="s">
        <v>925</v>
      </c>
      <c r="M1137">
        <f t="shared" si="86"/>
        <v>10</v>
      </c>
      <c r="N1137">
        <f t="shared" si="87"/>
        <v>4</v>
      </c>
      <c r="O1137">
        <f t="shared" si="88"/>
        <v>2024</v>
      </c>
      <c r="P1137" s="4">
        <f t="shared" si="89"/>
        <v>45392</v>
      </c>
      <c r="Q1137" t="s">
        <v>1134</v>
      </c>
      <c r="R1137" t="s">
        <v>1135</v>
      </c>
      <c r="S1137">
        <v>1</v>
      </c>
      <c r="T1137" t="s">
        <v>1144</v>
      </c>
      <c r="U1137" s="11" t="str">
        <f t="shared" si="90"/>
        <v>02:58:37 AM</v>
      </c>
      <c r="BL1137" s="2" t="s">
        <v>2287</v>
      </c>
    </row>
    <row r="1138" spans="1:64" x14ac:dyDescent="0.35">
      <c r="A1138">
        <v>4960</v>
      </c>
      <c r="B1138" t="s">
        <v>19</v>
      </c>
      <c r="C1138" s="1">
        <v>45507</v>
      </c>
      <c r="D1138" t="s">
        <v>23</v>
      </c>
      <c r="E1138" t="s">
        <v>22</v>
      </c>
      <c r="F1138">
        <v>3</v>
      </c>
      <c r="G1138">
        <v>510.45</v>
      </c>
      <c r="H1138">
        <v>1531.35</v>
      </c>
      <c r="I1138">
        <v>0</v>
      </c>
      <c r="J1138">
        <v>1531.35</v>
      </c>
      <c r="K1138">
        <v>365</v>
      </c>
      <c r="L1138" s="11" t="s">
        <v>926</v>
      </c>
      <c r="M1138">
        <f t="shared" si="86"/>
        <v>3</v>
      </c>
      <c r="N1138">
        <f t="shared" si="87"/>
        <v>8</v>
      </c>
      <c r="O1138">
        <f t="shared" si="88"/>
        <v>2024</v>
      </c>
      <c r="P1138" s="4">
        <f t="shared" si="89"/>
        <v>45507</v>
      </c>
      <c r="Q1138" t="s">
        <v>1134</v>
      </c>
      <c r="R1138" t="s">
        <v>1135</v>
      </c>
      <c r="S1138">
        <v>5</v>
      </c>
      <c r="T1138" t="s">
        <v>1144</v>
      </c>
      <c r="U1138" s="11" t="str">
        <f t="shared" si="90"/>
        <v>08:23:36 PM</v>
      </c>
      <c r="BL1138" s="2" t="s">
        <v>2288</v>
      </c>
    </row>
    <row r="1139" spans="1:64" x14ac:dyDescent="0.35">
      <c r="A1139">
        <v>3007</v>
      </c>
      <c r="B1139" t="s">
        <v>3</v>
      </c>
      <c r="C1139" s="1">
        <v>45352</v>
      </c>
      <c r="D1139" t="s">
        <v>6</v>
      </c>
      <c r="E1139" t="s">
        <v>22</v>
      </c>
      <c r="F1139">
        <v>1</v>
      </c>
      <c r="G1139">
        <v>2095.75</v>
      </c>
      <c r="H1139">
        <v>2095.75</v>
      </c>
      <c r="I1139">
        <v>209.99</v>
      </c>
      <c r="J1139">
        <v>1885.76</v>
      </c>
      <c r="K1139">
        <v>415</v>
      </c>
      <c r="L1139" s="11" t="s">
        <v>927</v>
      </c>
      <c r="M1139">
        <f t="shared" si="86"/>
        <v>1</v>
      </c>
      <c r="N1139">
        <f t="shared" si="87"/>
        <v>3</v>
      </c>
      <c r="O1139">
        <f t="shared" si="88"/>
        <v>2024</v>
      </c>
      <c r="P1139" s="4">
        <f t="shared" si="89"/>
        <v>45352</v>
      </c>
      <c r="Q1139" t="s">
        <v>1139</v>
      </c>
      <c r="R1139" t="s">
        <v>1137</v>
      </c>
      <c r="S1139">
        <v>4</v>
      </c>
      <c r="T1139" t="s">
        <v>1147</v>
      </c>
      <c r="U1139" s="11" t="str">
        <f t="shared" si="90"/>
        <v>05:21:35 AM</v>
      </c>
      <c r="BL1139" s="2" t="s">
        <v>2289</v>
      </c>
    </row>
    <row r="1140" spans="1:64" x14ac:dyDescent="0.35">
      <c r="A1140">
        <v>8366</v>
      </c>
      <c r="B1140" t="s">
        <v>19</v>
      </c>
      <c r="C1140" s="1">
        <v>45337</v>
      </c>
      <c r="D1140" t="s">
        <v>34</v>
      </c>
      <c r="E1140" t="s">
        <v>29</v>
      </c>
      <c r="F1140">
        <v>5</v>
      </c>
      <c r="G1140">
        <v>93.79</v>
      </c>
      <c r="H1140">
        <v>468.95</v>
      </c>
      <c r="I1140">
        <v>93.79</v>
      </c>
      <c r="J1140">
        <v>375.16</v>
      </c>
      <c r="K1140">
        <v>395</v>
      </c>
      <c r="L1140" s="11" t="s">
        <v>928</v>
      </c>
      <c r="M1140">
        <f t="shared" si="86"/>
        <v>15</v>
      </c>
      <c r="N1140">
        <f t="shared" si="87"/>
        <v>2</v>
      </c>
      <c r="O1140">
        <f t="shared" si="88"/>
        <v>2024</v>
      </c>
      <c r="P1140" s="4">
        <f t="shared" si="89"/>
        <v>45337</v>
      </c>
      <c r="Q1140" t="s">
        <v>1136</v>
      </c>
      <c r="R1140" t="s">
        <v>1137</v>
      </c>
      <c r="S1140">
        <v>5</v>
      </c>
      <c r="T1140" t="s">
        <v>1143</v>
      </c>
      <c r="U1140" s="11" t="str">
        <f t="shared" si="90"/>
        <v>06:11:29 PM</v>
      </c>
      <c r="BL1140" s="2" t="s">
        <v>2290</v>
      </c>
    </row>
    <row r="1141" spans="1:64" x14ac:dyDescent="0.35">
      <c r="A1141">
        <v>3308</v>
      </c>
      <c r="B1141" t="s">
        <v>31</v>
      </c>
      <c r="C1141" s="1">
        <v>45220</v>
      </c>
      <c r="D1141" t="s">
        <v>11</v>
      </c>
      <c r="E1141" t="s">
        <v>14</v>
      </c>
      <c r="F1141">
        <v>2</v>
      </c>
      <c r="G1141">
        <v>302.12</v>
      </c>
      <c r="H1141">
        <v>604.24</v>
      </c>
      <c r="I1141">
        <v>195.05</v>
      </c>
      <c r="J1141">
        <v>409.19</v>
      </c>
      <c r="K1141">
        <v>215</v>
      </c>
      <c r="L1141" s="11" t="s">
        <v>929</v>
      </c>
      <c r="M1141">
        <f t="shared" si="86"/>
        <v>21</v>
      </c>
      <c r="N1141">
        <f t="shared" si="87"/>
        <v>10</v>
      </c>
      <c r="O1141">
        <f t="shared" si="88"/>
        <v>2023</v>
      </c>
      <c r="P1141" s="4">
        <f t="shared" si="89"/>
        <v>45220</v>
      </c>
      <c r="Q1141" t="s">
        <v>1138</v>
      </c>
      <c r="R1141" t="s">
        <v>1137</v>
      </c>
      <c r="S1141">
        <v>3</v>
      </c>
      <c r="T1141" t="s">
        <v>1145</v>
      </c>
      <c r="U1141" s="11" t="str">
        <f t="shared" si="90"/>
        <v>12:10:52 PM</v>
      </c>
      <c r="BL1141" s="2" t="s">
        <v>2291</v>
      </c>
    </row>
    <row r="1142" spans="1:64" x14ac:dyDescent="0.35">
      <c r="A1142">
        <v>1829</v>
      </c>
      <c r="B1142" t="s">
        <v>31</v>
      </c>
      <c r="C1142" s="1">
        <v>45370</v>
      </c>
      <c r="D1142" t="s">
        <v>16</v>
      </c>
      <c r="E1142" t="s">
        <v>32</v>
      </c>
      <c r="F1142">
        <v>2</v>
      </c>
      <c r="G1142">
        <v>2389.5700000000002</v>
      </c>
      <c r="H1142">
        <v>4779.1400000000003</v>
      </c>
      <c r="I1142">
        <v>0</v>
      </c>
      <c r="J1142">
        <v>4779.1400000000003</v>
      </c>
      <c r="K1142">
        <v>49</v>
      </c>
      <c r="L1142" s="11" t="s">
        <v>930</v>
      </c>
      <c r="M1142">
        <f t="shared" si="86"/>
        <v>19</v>
      </c>
      <c r="N1142">
        <f t="shared" si="87"/>
        <v>3</v>
      </c>
      <c r="O1142">
        <f t="shared" si="88"/>
        <v>2024</v>
      </c>
      <c r="P1142" s="4">
        <f t="shared" si="89"/>
        <v>45370</v>
      </c>
      <c r="Q1142" t="s">
        <v>1139</v>
      </c>
      <c r="R1142" t="s">
        <v>1137</v>
      </c>
      <c r="S1142">
        <v>3</v>
      </c>
      <c r="T1142" t="s">
        <v>1141</v>
      </c>
      <c r="U1142" s="11" t="str">
        <f t="shared" si="90"/>
        <v>12:57:15 PM</v>
      </c>
      <c r="BL1142" s="2" t="s">
        <v>2292</v>
      </c>
    </row>
    <row r="1143" spans="1:64" x14ac:dyDescent="0.35">
      <c r="A1143">
        <v>7293</v>
      </c>
      <c r="B1143" t="s">
        <v>8</v>
      </c>
      <c r="C1143" s="1">
        <v>45816</v>
      </c>
      <c r="D1143" t="s">
        <v>1</v>
      </c>
      <c r="E1143" t="s">
        <v>5</v>
      </c>
      <c r="F1143">
        <v>5</v>
      </c>
      <c r="G1143">
        <v>341.13</v>
      </c>
      <c r="H1143">
        <v>1705.65</v>
      </c>
      <c r="I1143">
        <v>291.33</v>
      </c>
      <c r="J1143">
        <v>1414.32</v>
      </c>
      <c r="K1143">
        <v>167</v>
      </c>
      <c r="L1143" s="11" t="s">
        <v>931</v>
      </c>
      <c r="M1143">
        <f t="shared" si="86"/>
        <v>8</v>
      </c>
      <c r="N1143">
        <f t="shared" si="87"/>
        <v>6</v>
      </c>
      <c r="O1143">
        <f t="shared" si="88"/>
        <v>2025</v>
      </c>
      <c r="P1143" s="4">
        <f t="shared" si="89"/>
        <v>45816</v>
      </c>
      <c r="Q1143" t="s">
        <v>1138</v>
      </c>
      <c r="R1143" t="s">
        <v>1135</v>
      </c>
      <c r="S1143">
        <v>5</v>
      </c>
      <c r="T1143" t="s">
        <v>1142</v>
      </c>
      <c r="U1143" s="11" t="str">
        <f t="shared" si="90"/>
        <v>06:06:07 PM</v>
      </c>
      <c r="BL1143" s="2" t="s">
        <v>2293</v>
      </c>
    </row>
    <row r="1144" spans="1:64" x14ac:dyDescent="0.35">
      <c r="A1144">
        <v>7850</v>
      </c>
      <c r="B1144" t="s">
        <v>31</v>
      </c>
      <c r="C1144" s="1">
        <v>45337</v>
      </c>
      <c r="D1144" t="s">
        <v>27</v>
      </c>
      <c r="E1144" t="s">
        <v>21</v>
      </c>
      <c r="F1144">
        <v>4</v>
      </c>
      <c r="G1144">
        <v>372.67</v>
      </c>
      <c r="H1144">
        <v>1490.68</v>
      </c>
      <c r="I1144">
        <v>223.27</v>
      </c>
      <c r="J1144">
        <v>1267.4100000000001</v>
      </c>
      <c r="K1144">
        <v>109</v>
      </c>
      <c r="L1144" s="11" t="s">
        <v>932</v>
      </c>
      <c r="M1144">
        <f t="shared" si="86"/>
        <v>15</v>
      </c>
      <c r="N1144">
        <f t="shared" si="87"/>
        <v>2</v>
      </c>
      <c r="O1144">
        <f t="shared" si="88"/>
        <v>2024</v>
      </c>
      <c r="P1144" s="4">
        <f t="shared" si="89"/>
        <v>45337</v>
      </c>
      <c r="Q1144" t="s">
        <v>1136</v>
      </c>
      <c r="R1144" t="s">
        <v>1137</v>
      </c>
      <c r="S1144">
        <v>3</v>
      </c>
      <c r="T1144" t="s">
        <v>1143</v>
      </c>
      <c r="U1144" s="11" t="str">
        <f t="shared" si="90"/>
        <v>08:08:17 PM</v>
      </c>
      <c r="BL1144" s="2" t="s">
        <v>2294</v>
      </c>
    </row>
    <row r="1145" spans="1:64" x14ac:dyDescent="0.35">
      <c r="A1145">
        <v>3616</v>
      </c>
      <c r="B1145" t="s">
        <v>25</v>
      </c>
      <c r="C1145" s="1">
        <v>45776</v>
      </c>
      <c r="D1145" t="s">
        <v>23</v>
      </c>
      <c r="E1145" t="s">
        <v>28</v>
      </c>
      <c r="F1145">
        <v>4</v>
      </c>
      <c r="G1145">
        <v>1656.68</v>
      </c>
      <c r="H1145">
        <v>6626.72</v>
      </c>
      <c r="I1145">
        <v>1325.51</v>
      </c>
      <c r="J1145">
        <v>5301.21</v>
      </c>
      <c r="K1145">
        <v>6</v>
      </c>
      <c r="L1145" s="11" t="s">
        <v>933</v>
      </c>
      <c r="M1145">
        <f t="shared" si="86"/>
        <v>29</v>
      </c>
      <c r="N1145">
        <f t="shared" si="87"/>
        <v>4</v>
      </c>
      <c r="O1145">
        <f t="shared" si="88"/>
        <v>2025</v>
      </c>
      <c r="P1145" s="4">
        <f t="shared" si="89"/>
        <v>45776</v>
      </c>
      <c r="Q1145" t="s">
        <v>1134</v>
      </c>
      <c r="R1145" t="s">
        <v>1135</v>
      </c>
      <c r="S1145">
        <v>4</v>
      </c>
      <c r="T1145" t="s">
        <v>1149</v>
      </c>
      <c r="U1145" s="11" t="str">
        <f t="shared" si="90"/>
        <v>07:09:24 AM</v>
      </c>
      <c r="BL1145" s="2" t="s">
        <v>2295</v>
      </c>
    </row>
    <row r="1146" spans="1:64" x14ac:dyDescent="0.35">
      <c r="A1146">
        <v>6364</v>
      </c>
      <c r="B1146" t="s">
        <v>15</v>
      </c>
      <c r="C1146" s="1">
        <v>45870</v>
      </c>
      <c r="D1146" t="s">
        <v>6</v>
      </c>
      <c r="E1146" t="s">
        <v>32</v>
      </c>
      <c r="F1146">
        <v>3</v>
      </c>
      <c r="G1146">
        <v>1646.72</v>
      </c>
      <c r="H1146">
        <v>4940.16</v>
      </c>
      <c r="I1146">
        <v>376.82</v>
      </c>
      <c r="J1146">
        <v>4563.34</v>
      </c>
      <c r="K1146">
        <v>188</v>
      </c>
      <c r="L1146" s="11" t="s">
        <v>934</v>
      </c>
      <c r="M1146">
        <f t="shared" si="86"/>
        <v>1</v>
      </c>
      <c r="N1146">
        <f t="shared" si="87"/>
        <v>8</v>
      </c>
      <c r="O1146">
        <f t="shared" si="88"/>
        <v>2025</v>
      </c>
      <c r="P1146" s="4">
        <f t="shared" si="89"/>
        <v>45870</v>
      </c>
      <c r="Q1146" t="s">
        <v>1136</v>
      </c>
      <c r="R1146" t="s">
        <v>1135</v>
      </c>
      <c r="S1146">
        <v>2</v>
      </c>
      <c r="T1146" t="s">
        <v>1142</v>
      </c>
      <c r="U1146" s="11" t="str">
        <f t="shared" si="90"/>
        <v>05:11:24 PM</v>
      </c>
      <c r="BL1146" s="2" t="s">
        <v>2296</v>
      </c>
    </row>
    <row r="1147" spans="1:64" x14ac:dyDescent="0.35">
      <c r="A1147">
        <v>6123</v>
      </c>
      <c r="B1147" t="s">
        <v>13</v>
      </c>
      <c r="C1147" s="1">
        <v>45292</v>
      </c>
      <c r="D1147" t="s">
        <v>24</v>
      </c>
      <c r="E1147" t="s">
        <v>37</v>
      </c>
      <c r="F1147">
        <v>1</v>
      </c>
      <c r="G1147">
        <v>1796.95</v>
      </c>
      <c r="H1147">
        <v>1796.95</v>
      </c>
      <c r="I1147">
        <v>269.75</v>
      </c>
      <c r="J1147">
        <v>1527.2</v>
      </c>
      <c r="K1147">
        <v>405</v>
      </c>
      <c r="L1147" s="11" t="s">
        <v>935</v>
      </c>
      <c r="M1147">
        <f t="shared" si="86"/>
        <v>1</v>
      </c>
      <c r="N1147">
        <f t="shared" si="87"/>
        <v>1</v>
      </c>
      <c r="O1147">
        <f t="shared" si="88"/>
        <v>2024</v>
      </c>
      <c r="P1147" s="4">
        <f t="shared" si="89"/>
        <v>45292</v>
      </c>
      <c r="Q1147" t="s">
        <v>1139</v>
      </c>
      <c r="R1147" t="s">
        <v>1137</v>
      </c>
      <c r="S1147">
        <v>3</v>
      </c>
      <c r="T1147" t="s">
        <v>1147</v>
      </c>
      <c r="U1147" s="11" t="str">
        <f t="shared" si="90"/>
        <v>10:59:19 PM</v>
      </c>
      <c r="BL1147" s="2" t="s">
        <v>2297</v>
      </c>
    </row>
    <row r="1148" spans="1:64" x14ac:dyDescent="0.35">
      <c r="A1148">
        <v>3610</v>
      </c>
      <c r="B1148" t="s">
        <v>0</v>
      </c>
      <c r="C1148" s="1">
        <v>45532</v>
      </c>
      <c r="D1148" t="s">
        <v>17</v>
      </c>
      <c r="E1148" t="s">
        <v>10</v>
      </c>
      <c r="F1148">
        <v>4</v>
      </c>
      <c r="G1148">
        <v>1713.95</v>
      </c>
      <c r="H1148">
        <v>6855.8</v>
      </c>
      <c r="I1148">
        <v>1028.3699999999999</v>
      </c>
      <c r="J1148">
        <v>5827.43</v>
      </c>
      <c r="K1148">
        <v>497</v>
      </c>
      <c r="L1148" s="11" t="s">
        <v>936</v>
      </c>
      <c r="M1148">
        <f t="shared" si="86"/>
        <v>28</v>
      </c>
      <c r="N1148">
        <f t="shared" si="87"/>
        <v>8</v>
      </c>
      <c r="O1148">
        <f t="shared" si="88"/>
        <v>2024</v>
      </c>
      <c r="P1148" s="4">
        <f t="shared" si="89"/>
        <v>45532</v>
      </c>
      <c r="Q1148" t="s">
        <v>1134</v>
      </c>
      <c r="R1148" t="s">
        <v>1137</v>
      </c>
      <c r="S1148">
        <v>3</v>
      </c>
      <c r="T1148" t="s">
        <v>1150</v>
      </c>
      <c r="U1148" s="11" t="str">
        <f t="shared" si="90"/>
        <v>04:54:39 PM</v>
      </c>
      <c r="BL1148" s="2" t="s">
        <v>2298</v>
      </c>
    </row>
    <row r="1149" spans="1:64" x14ac:dyDescent="0.35">
      <c r="A1149">
        <v>9433</v>
      </c>
      <c r="B1149" t="s">
        <v>8</v>
      </c>
      <c r="C1149" s="1">
        <v>45507</v>
      </c>
      <c r="D1149" t="s">
        <v>16</v>
      </c>
      <c r="E1149" t="s">
        <v>10</v>
      </c>
      <c r="F1149">
        <v>4</v>
      </c>
      <c r="G1149">
        <v>244.85</v>
      </c>
      <c r="H1149">
        <v>979.4</v>
      </c>
      <c r="I1149">
        <v>97.94</v>
      </c>
      <c r="J1149">
        <v>881.46</v>
      </c>
      <c r="K1149">
        <v>9</v>
      </c>
      <c r="L1149" s="11" t="s">
        <v>937</v>
      </c>
      <c r="M1149">
        <f t="shared" si="86"/>
        <v>3</v>
      </c>
      <c r="N1149">
        <f t="shared" si="87"/>
        <v>8</v>
      </c>
      <c r="O1149">
        <f t="shared" si="88"/>
        <v>2024</v>
      </c>
      <c r="P1149" s="4">
        <f t="shared" si="89"/>
        <v>45507</v>
      </c>
      <c r="Q1149" t="s">
        <v>1139</v>
      </c>
      <c r="R1149" t="s">
        <v>1137</v>
      </c>
      <c r="S1149">
        <v>5</v>
      </c>
      <c r="T1149" t="s">
        <v>1145</v>
      </c>
      <c r="U1149" s="11" t="str">
        <f t="shared" si="90"/>
        <v>02:27:50 PM</v>
      </c>
      <c r="BL1149" s="2" t="s">
        <v>2299</v>
      </c>
    </row>
    <row r="1150" spans="1:64" x14ac:dyDescent="0.35">
      <c r="A1150">
        <v>9171</v>
      </c>
      <c r="B1150" t="s">
        <v>3</v>
      </c>
      <c r="C1150" s="1">
        <v>45827</v>
      </c>
      <c r="D1150" t="s">
        <v>16</v>
      </c>
      <c r="E1150" t="s">
        <v>14</v>
      </c>
      <c r="F1150">
        <v>5</v>
      </c>
      <c r="G1150">
        <v>1496.49</v>
      </c>
      <c r="H1150">
        <v>7482.45</v>
      </c>
      <c r="I1150">
        <v>288.01</v>
      </c>
      <c r="J1150">
        <v>7194.44</v>
      </c>
      <c r="K1150">
        <v>6</v>
      </c>
      <c r="L1150" s="11" t="s">
        <v>938</v>
      </c>
      <c r="M1150">
        <f t="shared" si="86"/>
        <v>19</v>
      </c>
      <c r="N1150">
        <f t="shared" si="87"/>
        <v>6</v>
      </c>
      <c r="O1150">
        <f t="shared" si="88"/>
        <v>2025</v>
      </c>
      <c r="P1150" s="4">
        <f t="shared" si="89"/>
        <v>45827</v>
      </c>
      <c r="Q1150" t="s">
        <v>1134</v>
      </c>
      <c r="R1150" t="s">
        <v>1135</v>
      </c>
      <c r="S1150">
        <v>4</v>
      </c>
      <c r="T1150" t="s">
        <v>1141</v>
      </c>
      <c r="U1150" s="11" t="str">
        <f t="shared" si="90"/>
        <v>07:52:48 AM</v>
      </c>
      <c r="BL1150" s="2" t="s">
        <v>2300</v>
      </c>
    </row>
    <row r="1151" spans="1:64" x14ac:dyDescent="0.35">
      <c r="A1151">
        <v>6055</v>
      </c>
      <c r="B1151" t="s">
        <v>0</v>
      </c>
      <c r="C1151" s="1">
        <v>45531</v>
      </c>
      <c r="D1151" t="s">
        <v>24</v>
      </c>
      <c r="E1151" t="s">
        <v>14</v>
      </c>
      <c r="F1151">
        <v>4</v>
      </c>
      <c r="G1151">
        <v>1904.85</v>
      </c>
      <c r="H1151">
        <v>7619.4</v>
      </c>
      <c r="I1151">
        <v>128.65</v>
      </c>
      <c r="J1151">
        <v>7490.75</v>
      </c>
      <c r="K1151">
        <v>317</v>
      </c>
      <c r="L1151" s="11" t="s">
        <v>939</v>
      </c>
      <c r="M1151">
        <f t="shared" si="86"/>
        <v>27</v>
      </c>
      <c r="N1151">
        <f t="shared" si="87"/>
        <v>8</v>
      </c>
      <c r="O1151">
        <f t="shared" si="88"/>
        <v>2024</v>
      </c>
      <c r="P1151" s="4">
        <f t="shared" si="89"/>
        <v>45531</v>
      </c>
      <c r="Q1151" t="s">
        <v>1138</v>
      </c>
      <c r="R1151" t="s">
        <v>1137</v>
      </c>
      <c r="S1151">
        <v>2</v>
      </c>
      <c r="T1151" t="s">
        <v>1143</v>
      </c>
      <c r="U1151" s="11" t="str">
        <f t="shared" si="90"/>
        <v>03:03:20 AM</v>
      </c>
      <c r="BL1151" s="2" t="s">
        <v>2301</v>
      </c>
    </row>
    <row r="1152" spans="1:64" x14ac:dyDescent="0.35">
      <c r="A1152">
        <v>1379</v>
      </c>
      <c r="B1152" t="s">
        <v>15</v>
      </c>
      <c r="C1152" s="1">
        <v>45214</v>
      </c>
      <c r="D1152" t="s">
        <v>24</v>
      </c>
      <c r="E1152" t="s">
        <v>33</v>
      </c>
      <c r="F1152">
        <v>2</v>
      </c>
      <c r="G1152">
        <v>986.87</v>
      </c>
      <c r="H1152">
        <v>1973.74</v>
      </c>
      <c r="I1152">
        <v>395.08</v>
      </c>
      <c r="J1152">
        <v>1578.66</v>
      </c>
      <c r="K1152">
        <v>328</v>
      </c>
      <c r="L1152" s="11" t="s">
        <v>940</v>
      </c>
      <c r="M1152">
        <f t="shared" si="86"/>
        <v>15</v>
      </c>
      <c r="N1152">
        <f t="shared" si="87"/>
        <v>10</v>
      </c>
      <c r="O1152">
        <f t="shared" si="88"/>
        <v>2023</v>
      </c>
      <c r="P1152" s="4">
        <f t="shared" si="89"/>
        <v>45214</v>
      </c>
      <c r="Q1152" t="s">
        <v>1138</v>
      </c>
      <c r="R1152" t="s">
        <v>1137</v>
      </c>
      <c r="S1152">
        <v>5</v>
      </c>
      <c r="T1152" t="s">
        <v>1150</v>
      </c>
      <c r="U1152" s="11" t="str">
        <f t="shared" si="90"/>
        <v>03:52:20 AM</v>
      </c>
      <c r="BL1152" s="2" t="s">
        <v>2302</v>
      </c>
    </row>
    <row r="1153" spans="1:64" x14ac:dyDescent="0.35">
      <c r="A1153">
        <v>7442</v>
      </c>
      <c r="B1153" t="s">
        <v>15</v>
      </c>
      <c r="C1153" s="1">
        <v>45537</v>
      </c>
      <c r="D1153" t="s">
        <v>11</v>
      </c>
      <c r="E1153" t="s">
        <v>30</v>
      </c>
      <c r="F1153">
        <v>3</v>
      </c>
      <c r="G1153">
        <v>846.6</v>
      </c>
      <c r="H1153">
        <v>2539.8000000000002</v>
      </c>
      <c r="I1153">
        <v>346.11</v>
      </c>
      <c r="J1153">
        <v>2193.69</v>
      </c>
      <c r="K1153">
        <v>402</v>
      </c>
      <c r="L1153" s="11" t="s">
        <v>941</v>
      </c>
      <c r="M1153">
        <f t="shared" si="86"/>
        <v>2</v>
      </c>
      <c r="N1153">
        <f t="shared" si="87"/>
        <v>9</v>
      </c>
      <c r="O1153">
        <f t="shared" si="88"/>
        <v>2024</v>
      </c>
      <c r="P1153" s="4">
        <f t="shared" si="89"/>
        <v>45537</v>
      </c>
      <c r="Q1153" t="s">
        <v>1138</v>
      </c>
      <c r="R1153" t="s">
        <v>1135</v>
      </c>
      <c r="S1153">
        <v>5</v>
      </c>
      <c r="T1153" t="s">
        <v>1148</v>
      </c>
      <c r="U1153" s="11" t="str">
        <f t="shared" si="90"/>
        <v>09:42:56 AM</v>
      </c>
      <c r="BL1153" s="2" t="s">
        <v>2303</v>
      </c>
    </row>
    <row r="1154" spans="1:64" x14ac:dyDescent="0.35">
      <c r="A1154">
        <v>8491</v>
      </c>
      <c r="B1154" t="s">
        <v>13</v>
      </c>
      <c r="C1154" s="1">
        <v>45331</v>
      </c>
      <c r="D1154" t="s">
        <v>16</v>
      </c>
      <c r="E1154" t="s">
        <v>26</v>
      </c>
      <c r="F1154">
        <v>1</v>
      </c>
      <c r="G1154">
        <v>633.29</v>
      </c>
      <c r="H1154">
        <v>633.29</v>
      </c>
      <c r="I1154">
        <v>94.62</v>
      </c>
      <c r="J1154">
        <v>538.66999999999996</v>
      </c>
      <c r="K1154">
        <v>375</v>
      </c>
      <c r="L1154" s="11" t="s">
        <v>942</v>
      </c>
      <c r="M1154">
        <f t="shared" ref="M1154:M1217" si="91">DAY(C1154)</f>
        <v>9</v>
      </c>
      <c r="N1154">
        <f t="shared" ref="N1154:N1217" si="92">MONTH(C1154)</f>
        <v>2</v>
      </c>
      <c r="O1154">
        <f t="shared" ref="O1154:O1217" si="93">YEAR(C1154)</f>
        <v>2024</v>
      </c>
      <c r="P1154" s="4">
        <f t="shared" si="89"/>
        <v>45331</v>
      </c>
      <c r="Q1154" t="s">
        <v>1136</v>
      </c>
      <c r="R1154" t="s">
        <v>1137</v>
      </c>
      <c r="S1154">
        <v>4</v>
      </c>
      <c r="T1154" t="s">
        <v>1145</v>
      </c>
      <c r="U1154" s="11" t="str">
        <f t="shared" si="90"/>
        <v>08:19:07 PM</v>
      </c>
      <c r="BL1154" s="2" t="s">
        <v>2304</v>
      </c>
    </row>
    <row r="1155" spans="1:64" x14ac:dyDescent="0.35">
      <c r="A1155">
        <v>4524</v>
      </c>
      <c r="B1155" t="s">
        <v>31</v>
      </c>
      <c r="C1155" s="1">
        <v>45598</v>
      </c>
      <c r="D1155" t="s">
        <v>6</v>
      </c>
      <c r="E1155" t="s">
        <v>7</v>
      </c>
      <c r="F1155">
        <v>1</v>
      </c>
      <c r="G1155">
        <v>2264.2399999999998</v>
      </c>
      <c r="H1155">
        <v>2264.2399999999998</v>
      </c>
      <c r="I1155">
        <v>0</v>
      </c>
      <c r="J1155">
        <v>2264.2399999999998</v>
      </c>
      <c r="K1155">
        <v>340</v>
      </c>
      <c r="L1155" s="11" t="s">
        <v>943</v>
      </c>
      <c r="M1155">
        <f t="shared" si="91"/>
        <v>2</v>
      </c>
      <c r="N1155">
        <f t="shared" si="92"/>
        <v>11</v>
      </c>
      <c r="O1155">
        <f t="shared" si="93"/>
        <v>2024</v>
      </c>
      <c r="P1155" s="4">
        <f t="shared" ref="P1155:P1218" si="94">DATE(O1155,N1155,M1155)</f>
        <v>45598</v>
      </c>
      <c r="Q1155" t="s">
        <v>1139</v>
      </c>
      <c r="R1155" t="s">
        <v>1135</v>
      </c>
      <c r="S1155">
        <v>2</v>
      </c>
      <c r="T1155" t="s">
        <v>1144</v>
      </c>
      <c r="U1155" s="11" t="str">
        <f t="shared" si="90"/>
        <v>03:38:15 PM</v>
      </c>
      <c r="BL1155" s="2" t="s">
        <v>2305</v>
      </c>
    </row>
    <row r="1156" spans="1:64" x14ac:dyDescent="0.35">
      <c r="A1156">
        <v>6781</v>
      </c>
      <c r="B1156" t="s">
        <v>31</v>
      </c>
      <c r="C1156" s="1">
        <v>45182</v>
      </c>
      <c r="D1156" t="s">
        <v>17</v>
      </c>
      <c r="E1156" t="s">
        <v>21</v>
      </c>
      <c r="F1156">
        <v>5</v>
      </c>
      <c r="G1156">
        <v>856.56</v>
      </c>
      <c r="H1156">
        <v>4282.8</v>
      </c>
      <c r="I1156">
        <v>371.84</v>
      </c>
      <c r="J1156">
        <v>3910.96</v>
      </c>
      <c r="K1156">
        <v>226</v>
      </c>
      <c r="L1156" s="11" t="s">
        <v>944</v>
      </c>
      <c r="M1156">
        <f t="shared" si="91"/>
        <v>13</v>
      </c>
      <c r="N1156">
        <f t="shared" si="92"/>
        <v>9</v>
      </c>
      <c r="O1156">
        <f t="shared" si="93"/>
        <v>2023</v>
      </c>
      <c r="P1156" s="4">
        <f t="shared" si="94"/>
        <v>45182</v>
      </c>
      <c r="Q1156" t="s">
        <v>1136</v>
      </c>
      <c r="R1156" t="s">
        <v>1137</v>
      </c>
      <c r="S1156">
        <v>4</v>
      </c>
      <c r="T1156" t="s">
        <v>1145</v>
      </c>
      <c r="U1156" s="11" t="str">
        <f t="shared" si="90"/>
        <v>08:55:47 PM</v>
      </c>
      <c r="BL1156" s="2" t="s">
        <v>2306</v>
      </c>
    </row>
    <row r="1157" spans="1:64" x14ac:dyDescent="0.35">
      <c r="A1157">
        <v>1828</v>
      </c>
      <c r="B1157" t="s">
        <v>0</v>
      </c>
      <c r="C1157" s="1">
        <v>45363</v>
      </c>
      <c r="D1157" t="s">
        <v>6</v>
      </c>
      <c r="E1157" t="s">
        <v>29</v>
      </c>
      <c r="F1157">
        <v>2</v>
      </c>
      <c r="G1157">
        <v>2340.6</v>
      </c>
      <c r="H1157">
        <v>4681.2</v>
      </c>
      <c r="I1157">
        <v>936.24</v>
      </c>
      <c r="J1157">
        <v>3744.96</v>
      </c>
      <c r="K1157">
        <v>64</v>
      </c>
      <c r="L1157" s="11" t="s">
        <v>945</v>
      </c>
      <c r="M1157">
        <f t="shared" si="91"/>
        <v>12</v>
      </c>
      <c r="N1157">
        <f t="shared" si="92"/>
        <v>3</v>
      </c>
      <c r="O1157">
        <f t="shared" si="93"/>
        <v>2024</v>
      </c>
      <c r="P1157" s="4">
        <f t="shared" si="94"/>
        <v>45363</v>
      </c>
      <c r="Q1157" t="s">
        <v>1138</v>
      </c>
      <c r="R1157" t="s">
        <v>1135</v>
      </c>
      <c r="S1157">
        <v>2</v>
      </c>
      <c r="T1157" t="s">
        <v>1146</v>
      </c>
      <c r="U1157" s="11" t="str">
        <f t="shared" si="90"/>
        <v>10:34:17 PM</v>
      </c>
      <c r="BL1157" s="2" t="s">
        <v>2307</v>
      </c>
    </row>
    <row r="1158" spans="1:64" x14ac:dyDescent="0.35">
      <c r="A1158">
        <v>9108</v>
      </c>
      <c r="B1158" t="s">
        <v>3</v>
      </c>
      <c r="C1158" s="1">
        <v>45609</v>
      </c>
      <c r="D1158" t="s">
        <v>6</v>
      </c>
      <c r="E1158" t="s">
        <v>14</v>
      </c>
      <c r="F1158">
        <v>5</v>
      </c>
      <c r="G1158">
        <v>270.58</v>
      </c>
      <c r="H1158">
        <v>1352.9</v>
      </c>
      <c r="I1158">
        <v>202.52</v>
      </c>
      <c r="J1158">
        <v>1150.3800000000001</v>
      </c>
      <c r="K1158">
        <v>371</v>
      </c>
      <c r="L1158" s="11" t="s">
        <v>946</v>
      </c>
      <c r="M1158">
        <f t="shared" si="91"/>
        <v>13</v>
      </c>
      <c r="N1158">
        <f t="shared" si="92"/>
        <v>11</v>
      </c>
      <c r="O1158">
        <f t="shared" si="93"/>
        <v>2024</v>
      </c>
      <c r="P1158" s="4">
        <f t="shared" si="94"/>
        <v>45609</v>
      </c>
      <c r="Q1158" t="s">
        <v>1139</v>
      </c>
      <c r="R1158" t="s">
        <v>1137</v>
      </c>
      <c r="S1158">
        <v>4</v>
      </c>
      <c r="T1158" t="s">
        <v>1150</v>
      </c>
      <c r="U1158" s="11" t="str">
        <f t="shared" si="90"/>
        <v>10:29:29 AM</v>
      </c>
      <c r="BL1158" s="2" t="s">
        <v>2308</v>
      </c>
    </row>
    <row r="1159" spans="1:64" x14ac:dyDescent="0.35">
      <c r="A1159">
        <v>8710</v>
      </c>
      <c r="B1159" t="s">
        <v>8</v>
      </c>
      <c r="C1159" s="1">
        <v>45366</v>
      </c>
      <c r="D1159" t="s">
        <v>6</v>
      </c>
      <c r="E1159" t="s">
        <v>14</v>
      </c>
      <c r="F1159">
        <v>4</v>
      </c>
      <c r="G1159">
        <v>507.13</v>
      </c>
      <c r="H1159">
        <v>2028.52</v>
      </c>
      <c r="I1159">
        <v>304.61</v>
      </c>
      <c r="J1159">
        <v>1723.91</v>
      </c>
      <c r="K1159">
        <v>127</v>
      </c>
      <c r="L1159" s="11" t="s">
        <v>947</v>
      </c>
      <c r="M1159">
        <f t="shared" si="91"/>
        <v>15</v>
      </c>
      <c r="N1159">
        <f t="shared" si="92"/>
        <v>3</v>
      </c>
      <c r="O1159">
        <f t="shared" si="93"/>
        <v>2024</v>
      </c>
      <c r="P1159" s="4">
        <f t="shared" si="94"/>
        <v>45366</v>
      </c>
      <c r="Q1159" t="s">
        <v>1138</v>
      </c>
      <c r="R1159" t="s">
        <v>1137</v>
      </c>
      <c r="S1159">
        <v>5</v>
      </c>
      <c r="T1159" t="s">
        <v>1146</v>
      </c>
      <c r="U1159" s="11" t="str">
        <f t="shared" si="90"/>
        <v>10:55:46 PM</v>
      </c>
      <c r="BL1159" s="2" t="s">
        <v>2309</v>
      </c>
    </row>
    <row r="1160" spans="1:64" x14ac:dyDescent="0.35">
      <c r="A1160">
        <v>9793</v>
      </c>
      <c r="B1160" t="s">
        <v>15</v>
      </c>
      <c r="C1160" s="1">
        <v>45151</v>
      </c>
      <c r="D1160" t="s">
        <v>16</v>
      </c>
      <c r="E1160" t="s">
        <v>33</v>
      </c>
      <c r="F1160">
        <v>3</v>
      </c>
      <c r="G1160">
        <v>2158</v>
      </c>
      <c r="H1160">
        <v>6474</v>
      </c>
      <c r="I1160">
        <v>971.1</v>
      </c>
      <c r="J1160">
        <v>5502.9</v>
      </c>
      <c r="K1160">
        <v>246</v>
      </c>
      <c r="L1160" s="11" t="s">
        <v>948</v>
      </c>
      <c r="M1160">
        <f t="shared" si="91"/>
        <v>13</v>
      </c>
      <c r="N1160">
        <f t="shared" si="92"/>
        <v>8</v>
      </c>
      <c r="O1160">
        <f t="shared" si="93"/>
        <v>2023</v>
      </c>
      <c r="P1160" s="4">
        <f t="shared" si="94"/>
        <v>45151</v>
      </c>
      <c r="Q1160" t="s">
        <v>1136</v>
      </c>
      <c r="R1160" t="s">
        <v>1135</v>
      </c>
      <c r="S1160">
        <v>5</v>
      </c>
      <c r="T1160" t="s">
        <v>1146</v>
      </c>
      <c r="U1160" s="11" t="str">
        <f t="shared" si="90"/>
        <v>01:29:03 AM</v>
      </c>
      <c r="BL1160" s="2" t="s">
        <v>2310</v>
      </c>
    </row>
    <row r="1161" spans="1:64" x14ac:dyDescent="0.35">
      <c r="A1161">
        <v>2761</v>
      </c>
      <c r="B1161" t="s">
        <v>13</v>
      </c>
      <c r="C1161" s="1">
        <v>45479</v>
      </c>
      <c r="D1161" t="s">
        <v>9</v>
      </c>
      <c r="E1161" t="s">
        <v>18</v>
      </c>
      <c r="F1161">
        <v>4</v>
      </c>
      <c r="G1161">
        <v>1144.57</v>
      </c>
      <c r="H1161">
        <v>4578.28</v>
      </c>
      <c r="I1161">
        <v>915.49</v>
      </c>
      <c r="J1161">
        <v>3662.79</v>
      </c>
      <c r="K1161">
        <v>258</v>
      </c>
      <c r="L1161" s="11" t="s">
        <v>949</v>
      </c>
      <c r="M1161">
        <f t="shared" si="91"/>
        <v>6</v>
      </c>
      <c r="N1161">
        <f t="shared" si="92"/>
        <v>7</v>
      </c>
      <c r="O1161">
        <f t="shared" si="93"/>
        <v>2024</v>
      </c>
      <c r="P1161" s="4">
        <f t="shared" si="94"/>
        <v>45479</v>
      </c>
      <c r="Q1161" t="s">
        <v>1136</v>
      </c>
      <c r="R1161" t="s">
        <v>1135</v>
      </c>
      <c r="S1161">
        <v>1</v>
      </c>
      <c r="T1161" t="s">
        <v>1143</v>
      </c>
      <c r="U1161" s="11" t="str">
        <f t="shared" si="90"/>
        <v>05:30:17 PM</v>
      </c>
      <c r="BL1161" s="2" t="s">
        <v>2311</v>
      </c>
    </row>
    <row r="1162" spans="1:64" x14ac:dyDescent="0.35">
      <c r="A1162">
        <v>3194</v>
      </c>
      <c r="B1162" t="s">
        <v>15</v>
      </c>
      <c r="C1162" s="1">
        <v>45830</v>
      </c>
      <c r="D1162" t="s">
        <v>1</v>
      </c>
      <c r="E1162" t="s">
        <v>21</v>
      </c>
      <c r="F1162">
        <v>4</v>
      </c>
      <c r="G1162">
        <v>2138.08</v>
      </c>
      <c r="H1162">
        <v>8552.32</v>
      </c>
      <c r="I1162">
        <v>261.45</v>
      </c>
      <c r="J1162">
        <v>8290.8700000000008</v>
      </c>
      <c r="K1162">
        <v>388</v>
      </c>
      <c r="L1162" s="11" t="s">
        <v>950</v>
      </c>
      <c r="M1162">
        <f t="shared" si="91"/>
        <v>22</v>
      </c>
      <c r="N1162">
        <f t="shared" si="92"/>
        <v>6</v>
      </c>
      <c r="O1162">
        <f t="shared" si="93"/>
        <v>2025</v>
      </c>
      <c r="P1162" s="4">
        <f t="shared" si="94"/>
        <v>45830</v>
      </c>
      <c r="Q1162" t="s">
        <v>1136</v>
      </c>
      <c r="R1162" t="s">
        <v>1137</v>
      </c>
      <c r="S1162">
        <v>3</v>
      </c>
      <c r="T1162" t="s">
        <v>1145</v>
      </c>
      <c r="U1162" s="11" t="str">
        <f t="shared" si="90"/>
        <v>12:57:15 AM</v>
      </c>
      <c r="BL1162" s="2" t="s">
        <v>2312</v>
      </c>
    </row>
    <row r="1163" spans="1:64" x14ac:dyDescent="0.35">
      <c r="A1163">
        <v>5333</v>
      </c>
      <c r="B1163" t="s">
        <v>3</v>
      </c>
      <c r="C1163" s="1">
        <v>45710</v>
      </c>
      <c r="D1163" t="s">
        <v>23</v>
      </c>
      <c r="E1163" t="s">
        <v>2</v>
      </c>
      <c r="F1163">
        <v>4</v>
      </c>
      <c r="G1163">
        <v>1198.52</v>
      </c>
      <c r="H1163">
        <v>4794.08</v>
      </c>
      <c r="I1163">
        <v>479.74</v>
      </c>
      <c r="J1163">
        <v>4314.34</v>
      </c>
      <c r="K1163">
        <v>232</v>
      </c>
      <c r="L1163" s="11" t="s">
        <v>951</v>
      </c>
      <c r="M1163">
        <f t="shared" si="91"/>
        <v>22</v>
      </c>
      <c r="N1163">
        <f t="shared" si="92"/>
        <v>2</v>
      </c>
      <c r="O1163">
        <f t="shared" si="93"/>
        <v>2025</v>
      </c>
      <c r="P1163" s="4">
        <f t="shared" si="94"/>
        <v>45710</v>
      </c>
      <c r="Q1163" t="s">
        <v>1138</v>
      </c>
      <c r="R1163" t="s">
        <v>1135</v>
      </c>
      <c r="S1163">
        <v>4</v>
      </c>
      <c r="T1163" t="s">
        <v>1143</v>
      </c>
      <c r="U1163" s="11" t="str">
        <f t="shared" si="90"/>
        <v>05:30:05 PM</v>
      </c>
      <c r="BL1163" s="2" t="s">
        <v>2313</v>
      </c>
    </row>
    <row r="1164" spans="1:64" x14ac:dyDescent="0.35">
      <c r="A1164">
        <v>6992</v>
      </c>
      <c r="B1164" t="s">
        <v>3</v>
      </c>
      <c r="C1164" s="1">
        <v>45738</v>
      </c>
      <c r="D1164" t="s">
        <v>17</v>
      </c>
      <c r="E1164" t="s">
        <v>37</v>
      </c>
      <c r="F1164">
        <v>1</v>
      </c>
      <c r="G1164">
        <v>883.95</v>
      </c>
      <c r="H1164">
        <v>883.95</v>
      </c>
      <c r="I1164">
        <v>176.79</v>
      </c>
      <c r="J1164">
        <v>707.16</v>
      </c>
      <c r="K1164">
        <v>366</v>
      </c>
      <c r="L1164" s="11" t="s">
        <v>952</v>
      </c>
      <c r="M1164">
        <f t="shared" si="91"/>
        <v>22</v>
      </c>
      <c r="N1164">
        <f t="shared" si="92"/>
        <v>3</v>
      </c>
      <c r="O1164">
        <f t="shared" si="93"/>
        <v>2025</v>
      </c>
      <c r="P1164" s="4">
        <f t="shared" si="94"/>
        <v>45738</v>
      </c>
      <c r="Q1164" t="s">
        <v>1139</v>
      </c>
      <c r="R1164" t="s">
        <v>1135</v>
      </c>
      <c r="S1164">
        <v>1</v>
      </c>
      <c r="T1164" t="s">
        <v>1149</v>
      </c>
      <c r="U1164" s="11" t="str">
        <f t="shared" si="90"/>
        <v>09:47:02 AM</v>
      </c>
      <c r="BL1164" s="2" t="s">
        <v>2314</v>
      </c>
    </row>
    <row r="1165" spans="1:64" x14ac:dyDescent="0.35">
      <c r="A1165">
        <v>7606</v>
      </c>
      <c r="B1165" t="s">
        <v>8</v>
      </c>
      <c r="C1165" s="1">
        <v>45429</v>
      </c>
      <c r="D1165" t="s">
        <v>6</v>
      </c>
      <c r="E1165" t="s">
        <v>28</v>
      </c>
      <c r="F1165">
        <v>1</v>
      </c>
      <c r="G1165">
        <v>2156.34</v>
      </c>
      <c r="H1165">
        <v>2156.34</v>
      </c>
      <c r="I1165">
        <v>215.8</v>
      </c>
      <c r="J1165">
        <v>1940.54</v>
      </c>
      <c r="K1165">
        <v>373</v>
      </c>
      <c r="L1165" s="11" t="s">
        <v>953</v>
      </c>
      <c r="M1165">
        <f t="shared" si="91"/>
        <v>17</v>
      </c>
      <c r="N1165">
        <f t="shared" si="92"/>
        <v>5</v>
      </c>
      <c r="O1165">
        <f t="shared" si="93"/>
        <v>2024</v>
      </c>
      <c r="P1165" s="4">
        <f t="shared" si="94"/>
        <v>45429</v>
      </c>
      <c r="Q1165" t="s">
        <v>1139</v>
      </c>
      <c r="R1165" t="s">
        <v>1135</v>
      </c>
      <c r="S1165">
        <v>3</v>
      </c>
      <c r="T1165" t="s">
        <v>1143</v>
      </c>
      <c r="U1165" s="11" t="str">
        <f t="shared" si="90"/>
        <v>09:44:19 PM</v>
      </c>
      <c r="BL1165" s="2" t="s">
        <v>2315</v>
      </c>
    </row>
    <row r="1166" spans="1:64" x14ac:dyDescent="0.35">
      <c r="A1166">
        <v>1741</v>
      </c>
      <c r="B1166" t="s">
        <v>13</v>
      </c>
      <c r="C1166" s="1">
        <v>45456</v>
      </c>
      <c r="D1166" t="s">
        <v>9</v>
      </c>
      <c r="E1166" t="s">
        <v>21</v>
      </c>
      <c r="F1166">
        <v>3</v>
      </c>
      <c r="G1166">
        <v>1006.79</v>
      </c>
      <c r="H1166">
        <v>3020.37</v>
      </c>
      <c r="I1166">
        <v>302.12</v>
      </c>
      <c r="J1166">
        <v>2718.25</v>
      </c>
      <c r="K1166">
        <v>157</v>
      </c>
      <c r="L1166" s="11" t="s">
        <v>954</v>
      </c>
      <c r="M1166">
        <f t="shared" si="91"/>
        <v>13</v>
      </c>
      <c r="N1166">
        <f t="shared" si="92"/>
        <v>6</v>
      </c>
      <c r="O1166">
        <f t="shared" si="93"/>
        <v>2024</v>
      </c>
      <c r="P1166" s="4">
        <f t="shared" si="94"/>
        <v>45456</v>
      </c>
      <c r="Q1166" t="s">
        <v>1138</v>
      </c>
      <c r="R1166" t="s">
        <v>1135</v>
      </c>
      <c r="S1166">
        <v>4</v>
      </c>
      <c r="T1166" t="s">
        <v>1150</v>
      </c>
      <c r="U1166" s="11" t="str">
        <f t="shared" si="90"/>
        <v>02:00:58 AM</v>
      </c>
      <c r="BL1166" s="2" t="s">
        <v>2316</v>
      </c>
    </row>
    <row r="1167" spans="1:64" x14ac:dyDescent="0.35">
      <c r="A1167">
        <v>1838</v>
      </c>
      <c r="B1167" t="s">
        <v>20</v>
      </c>
      <c r="C1167" s="1">
        <v>45587</v>
      </c>
      <c r="D1167" t="s">
        <v>4</v>
      </c>
      <c r="E1167" t="s">
        <v>21</v>
      </c>
      <c r="F1167">
        <v>5</v>
      </c>
      <c r="G1167">
        <v>473.1</v>
      </c>
      <c r="H1167">
        <v>2365.5</v>
      </c>
      <c r="I1167">
        <v>354.41</v>
      </c>
      <c r="J1167">
        <v>2011.09</v>
      </c>
      <c r="K1167">
        <v>390</v>
      </c>
      <c r="L1167" s="11" t="s">
        <v>955</v>
      </c>
      <c r="M1167">
        <f t="shared" si="91"/>
        <v>22</v>
      </c>
      <c r="N1167">
        <f t="shared" si="92"/>
        <v>10</v>
      </c>
      <c r="O1167">
        <f t="shared" si="93"/>
        <v>2024</v>
      </c>
      <c r="P1167" s="4">
        <f t="shared" si="94"/>
        <v>45587</v>
      </c>
      <c r="Q1167" t="s">
        <v>1139</v>
      </c>
      <c r="R1167" t="s">
        <v>1137</v>
      </c>
      <c r="S1167">
        <v>2</v>
      </c>
      <c r="T1167" t="s">
        <v>1141</v>
      </c>
      <c r="U1167" s="11" t="str">
        <f t="shared" si="90"/>
        <v>01:20:46 PM</v>
      </c>
      <c r="BL1167" s="2" t="s">
        <v>2317</v>
      </c>
    </row>
    <row r="1168" spans="1:64" x14ac:dyDescent="0.35">
      <c r="A1168">
        <v>4189</v>
      </c>
      <c r="B1168" t="s">
        <v>25</v>
      </c>
      <c r="C1168" s="1">
        <v>45426</v>
      </c>
      <c r="D1168" t="s">
        <v>27</v>
      </c>
      <c r="E1168" t="s">
        <v>37</v>
      </c>
      <c r="F1168">
        <v>3</v>
      </c>
      <c r="G1168">
        <v>1758.77</v>
      </c>
      <c r="H1168">
        <v>5276.31</v>
      </c>
      <c r="I1168">
        <v>527.88</v>
      </c>
      <c r="J1168">
        <v>4748.43</v>
      </c>
      <c r="K1168">
        <v>333</v>
      </c>
      <c r="L1168" s="11" t="s">
        <v>956</v>
      </c>
      <c r="M1168">
        <f t="shared" si="91"/>
        <v>14</v>
      </c>
      <c r="N1168">
        <f t="shared" si="92"/>
        <v>5</v>
      </c>
      <c r="O1168">
        <f t="shared" si="93"/>
        <v>2024</v>
      </c>
      <c r="P1168" s="4">
        <f t="shared" si="94"/>
        <v>45426</v>
      </c>
      <c r="Q1168" t="s">
        <v>1138</v>
      </c>
      <c r="R1168" t="s">
        <v>1137</v>
      </c>
      <c r="S1168">
        <v>3</v>
      </c>
      <c r="T1168" t="s">
        <v>1149</v>
      </c>
      <c r="U1168" s="11" t="str">
        <f t="shared" si="90"/>
        <v>04:25:21 PM</v>
      </c>
      <c r="BL1168" s="2" t="s">
        <v>2318</v>
      </c>
    </row>
    <row r="1169" spans="1:64" x14ac:dyDescent="0.35">
      <c r="A1169">
        <v>5728</v>
      </c>
      <c r="B1169" t="s">
        <v>31</v>
      </c>
      <c r="C1169" s="1">
        <v>45202</v>
      </c>
      <c r="D1169" t="s">
        <v>6</v>
      </c>
      <c r="E1169" t="s">
        <v>37</v>
      </c>
      <c r="F1169">
        <v>1</v>
      </c>
      <c r="G1169">
        <v>2299.9299999999998</v>
      </c>
      <c r="H1169">
        <v>2299.9299999999998</v>
      </c>
      <c r="I1169">
        <v>0</v>
      </c>
      <c r="J1169">
        <v>2299.9299999999998</v>
      </c>
      <c r="K1169">
        <v>185</v>
      </c>
      <c r="L1169" s="11" t="s">
        <v>957</v>
      </c>
      <c r="M1169">
        <f t="shared" si="91"/>
        <v>3</v>
      </c>
      <c r="N1169">
        <f t="shared" si="92"/>
        <v>10</v>
      </c>
      <c r="O1169">
        <f t="shared" si="93"/>
        <v>2023</v>
      </c>
      <c r="P1169" s="4">
        <f t="shared" si="94"/>
        <v>45202</v>
      </c>
      <c r="Q1169" t="s">
        <v>1139</v>
      </c>
      <c r="R1169" t="s">
        <v>1135</v>
      </c>
      <c r="S1169">
        <v>5</v>
      </c>
      <c r="T1169" t="s">
        <v>1141</v>
      </c>
      <c r="U1169" s="11" t="str">
        <f t="shared" si="90"/>
        <v>06:59:00 AM</v>
      </c>
      <c r="BL1169" s="2" t="s">
        <v>2319</v>
      </c>
    </row>
    <row r="1170" spans="1:64" x14ac:dyDescent="0.35">
      <c r="A1170">
        <v>7329</v>
      </c>
      <c r="B1170" t="s">
        <v>8</v>
      </c>
      <c r="C1170" s="1">
        <v>45536</v>
      </c>
      <c r="D1170" t="s">
        <v>24</v>
      </c>
      <c r="E1170" t="s">
        <v>22</v>
      </c>
      <c r="F1170">
        <v>2</v>
      </c>
      <c r="G1170">
        <v>693.88</v>
      </c>
      <c r="H1170">
        <v>1387.76</v>
      </c>
      <c r="I1170">
        <v>122.01</v>
      </c>
      <c r="J1170">
        <v>1265.75</v>
      </c>
      <c r="K1170">
        <v>308</v>
      </c>
      <c r="L1170" s="11" t="s">
        <v>958</v>
      </c>
      <c r="M1170">
        <f t="shared" si="91"/>
        <v>1</v>
      </c>
      <c r="N1170">
        <f t="shared" si="92"/>
        <v>9</v>
      </c>
      <c r="O1170">
        <f t="shared" si="93"/>
        <v>2024</v>
      </c>
      <c r="P1170" s="4">
        <f t="shared" si="94"/>
        <v>45536</v>
      </c>
      <c r="Q1170" t="s">
        <v>1134</v>
      </c>
      <c r="R1170" t="s">
        <v>1135</v>
      </c>
      <c r="S1170">
        <v>1</v>
      </c>
      <c r="T1170" t="s">
        <v>1145</v>
      </c>
      <c r="U1170" s="11" t="str">
        <f t="shared" si="90"/>
        <v>07:25:10 AM</v>
      </c>
      <c r="BL1170" s="2" t="s">
        <v>2320</v>
      </c>
    </row>
    <row r="1171" spans="1:64" x14ac:dyDescent="0.35">
      <c r="A1171">
        <v>8378</v>
      </c>
      <c r="B1171" t="s">
        <v>0</v>
      </c>
      <c r="C1171" s="1">
        <v>45738</v>
      </c>
      <c r="D1171" t="s">
        <v>16</v>
      </c>
      <c r="E1171" t="s">
        <v>21</v>
      </c>
      <c r="F1171">
        <v>4</v>
      </c>
      <c r="G1171">
        <v>1782.01</v>
      </c>
      <c r="H1171">
        <v>7128.04</v>
      </c>
      <c r="I1171">
        <v>385.12</v>
      </c>
      <c r="J1171">
        <v>6742.92</v>
      </c>
      <c r="K1171">
        <v>498</v>
      </c>
      <c r="L1171" s="11" t="s">
        <v>959</v>
      </c>
      <c r="M1171">
        <f t="shared" si="91"/>
        <v>22</v>
      </c>
      <c r="N1171">
        <f t="shared" si="92"/>
        <v>3</v>
      </c>
      <c r="O1171">
        <f t="shared" si="93"/>
        <v>2025</v>
      </c>
      <c r="P1171" s="4">
        <f t="shared" si="94"/>
        <v>45738</v>
      </c>
      <c r="Q1171" t="s">
        <v>1134</v>
      </c>
      <c r="R1171" t="s">
        <v>1135</v>
      </c>
      <c r="S1171">
        <v>3</v>
      </c>
      <c r="T1171" t="s">
        <v>1144</v>
      </c>
      <c r="U1171" s="11" t="str">
        <f t="shared" si="90"/>
        <v>08:32:43 AM</v>
      </c>
      <c r="BL1171" s="2" t="s">
        <v>2321</v>
      </c>
    </row>
    <row r="1172" spans="1:64" x14ac:dyDescent="0.35">
      <c r="A1172">
        <v>5582</v>
      </c>
      <c r="B1172" t="s">
        <v>13</v>
      </c>
      <c r="C1172" s="1">
        <v>45786</v>
      </c>
      <c r="D1172" t="s">
        <v>23</v>
      </c>
      <c r="E1172" t="s">
        <v>5</v>
      </c>
      <c r="F1172">
        <v>3</v>
      </c>
      <c r="G1172">
        <v>1747.15</v>
      </c>
      <c r="H1172">
        <v>5241.45</v>
      </c>
      <c r="I1172">
        <v>185.09</v>
      </c>
      <c r="J1172">
        <v>5056.3599999999997</v>
      </c>
      <c r="K1172">
        <v>256</v>
      </c>
      <c r="L1172" s="11" t="s">
        <v>960</v>
      </c>
      <c r="M1172">
        <f t="shared" si="91"/>
        <v>9</v>
      </c>
      <c r="N1172">
        <f t="shared" si="92"/>
        <v>5</v>
      </c>
      <c r="O1172">
        <f t="shared" si="93"/>
        <v>2025</v>
      </c>
      <c r="P1172" s="4">
        <f t="shared" si="94"/>
        <v>45786</v>
      </c>
      <c r="Q1172" t="s">
        <v>1136</v>
      </c>
      <c r="R1172" t="s">
        <v>1135</v>
      </c>
      <c r="S1172">
        <v>3</v>
      </c>
      <c r="T1172" t="s">
        <v>1148</v>
      </c>
      <c r="U1172" s="11" t="str">
        <f t="shared" si="90"/>
        <v>08:19:05 AM</v>
      </c>
      <c r="BL1172" s="2" t="s">
        <v>2322</v>
      </c>
    </row>
    <row r="1173" spans="1:64" x14ac:dyDescent="0.35">
      <c r="A1173">
        <v>2946</v>
      </c>
      <c r="B1173" t="s">
        <v>13</v>
      </c>
      <c r="C1173" s="1">
        <v>45244</v>
      </c>
      <c r="D1173" t="s">
        <v>4</v>
      </c>
      <c r="E1173" t="s">
        <v>38</v>
      </c>
      <c r="F1173">
        <v>5</v>
      </c>
      <c r="G1173">
        <v>1951.33</v>
      </c>
      <c r="H1173">
        <v>9756.65</v>
      </c>
      <c r="I1173">
        <v>1463.29</v>
      </c>
      <c r="J1173">
        <v>8293.36</v>
      </c>
      <c r="K1173">
        <v>176</v>
      </c>
      <c r="L1173" s="11" t="s">
        <v>961</v>
      </c>
      <c r="M1173">
        <f t="shared" si="91"/>
        <v>14</v>
      </c>
      <c r="N1173">
        <f t="shared" si="92"/>
        <v>11</v>
      </c>
      <c r="O1173">
        <f t="shared" si="93"/>
        <v>2023</v>
      </c>
      <c r="P1173" s="4">
        <f t="shared" si="94"/>
        <v>45244</v>
      </c>
      <c r="Q1173" t="s">
        <v>1134</v>
      </c>
      <c r="R1173" t="s">
        <v>1137</v>
      </c>
      <c r="S1173">
        <v>5</v>
      </c>
      <c r="T1173" t="s">
        <v>1146</v>
      </c>
      <c r="U1173" s="11" t="str">
        <f t="shared" si="90"/>
        <v>02:50:31 AM</v>
      </c>
      <c r="BL1173" s="2" t="s">
        <v>2323</v>
      </c>
    </row>
    <row r="1174" spans="1:64" x14ac:dyDescent="0.35">
      <c r="A1174">
        <v>2584</v>
      </c>
      <c r="B1174" t="s">
        <v>31</v>
      </c>
      <c r="C1174" s="1">
        <v>45450</v>
      </c>
      <c r="D1174" t="s">
        <v>9</v>
      </c>
      <c r="E1174" t="s">
        <v>26</v>
      </c>
      <c r="F1174">
        <v>1</v>
      </c>
      <c r="G1174">
        <v>2457.63</v>
      </c>
      <c r="H1174">
        <v>2457.63</v>
      </c>
      <c r="I1174">
        <v>115.37</v>
      </c>
      <c r="J1174">
        <v>2342.2600000000002</v>
      </c>
      <c r="K1174">
        <v>417</v>
      </c>
      <c r="L1174" s="11" t="s">
        <v>962</v>
      </c>
      <c r="M1174">
        <f t="shared" si="91"/>
        <v>7</v>
      </c>
      <c r="N1174">
        <f t="shared" si="92"/>
        <v>6</v>
      </c>
      <c r="O1174">
        <f t="shared" si="93"/>
        <v>2024</v>
      </c>
      <c r="P1174" s="4">
        <f t="shared" si="94"/>
        <v>45450</v>
      </c>
      <c r="Q1174" t="s">
        <v>1134</v>
      </c>
      <c r="R1174" t="s">
        <v>1137</v>
      </c>
      <c r="S1174">
        <v>4</v>
      </c>
      <c r="T1174" t="s">
        <v>1150</v>
      </c>
      <c r="U1174" s="11" t="str">
        <f t="shared" si="90"/>
        <v>01:50:50 AM</v>
      </c>
      <c r="BL1174" s="2" t="s">
        <v>2324</v>
      </c>
    </row>
    <row r="1175" spans="1:64" x14ac:dyDescent="0.35">
      <c r="A1175">
        <v>7114</v>
      </c>
      <c r="B1175" t="s">
        <v>13</v>
      </c>
      <c r="C1175" s="1">
        <v>45762</v>
      </c>
      <c r="D1175" t="s">
        <v>27</v>
      </c>
      <c r="E1175" t="s">
        <v>5</v>
      </c>
      <c r="F1175">
        <v>3</v>
      </c>
      <c r="G1175">
        <v>1846.75</v>
      </c>
      <c r="H1175">
        <v>5540.25</v>
      </c>
      <c r="I1175">
        <v>830.83</v>
      </c>
      <c r="J1175">
        <v>4709.42</v>
      </c>
      <c r="K1175">
        <v>87</v>
      </c>
      <c r="L1175" s="11" t="s">
        <v>963</v>
      </c>
      <c r="M1175">
        <f t="shared" si="91"/>
        <v>15</v>
      </c>
      <c r="N1175">
        <f t="shared" si="92"/>
        <v>4</v>
      </c>
      <c r="O1175">
        <f t="shared" si="93"/>
        <v>2025</v>
      </c>
      <c r="P1175" s="4">
        <f t="shared" si="94"/>
        <v>45762</v>
      </c>
      <c r="Q1175" t="s">
        <v>1134</v>
      </c>
      <c r="R1175" t="s">
        <v>1135</v>
      </c>
      <c r="S1175">
        <v>2</v>
      </c>
      <c r="T1175" t="s">
        <v>1141</v>
      </c>
      <c r="U1175" s="11" t="str">
        <f t="shared" si="90"/>
        <v>07:08:12 PM</v>
      </c>
      <c r="BL1175" s="2" t="s">
        <v>2325</v>
      </c>
    </row>
    <row r="1176" spans="1:64" x14ac:dyDescent="0.35">
      <c r="A1176">
        <v>6555</v>
      </c>
      <c r="B1176" t="s">
        <v>8</v>
      </c>
      <c r="C1176" s="1">
        <v>45578</v>
      </c>
      <c r="D1176" t="s">
        <v>23</v>
      </c>
      <c r="E1176" t="s">
        <v>33</v>
      </c>
      <c r="F1176">
        <v>4</v>
      </c>
      <c r="G1176">
        <v>520.41</v>
      </c>
      <c r="H1176">
        <v>2081.64</v>
      </c>
      <c r="I1176">
        <v>208.33</v>
      </c>
      <c r="J1176">
        <v>1873.31</v>
      </c>
      <c r="K1176">
        <v>485</v>
      </c>
      <c r="L1176" s="11" t="s">
        <v>964</v>
      </c>
      <c r="M1176">
        <f t="shared" si="91"/>
        <v>13</v>
      </c>
      <c r="N1176">
        <f t="shared" si="92"/>
        <v>10</v>
      </c>
      <c r="O1176">
        <f t="shared" si="93"/>
        <v>2024</v>
      </c>
      <c r="P1176" s="4">
        <f t="shared" si="94"/>
        <v>45578</v>
      </c>
      <c r="Q1176" t="s">
        <v>1138</v>
      </c>
      <c r="R1176" t="s">
        <v>1135</v>
      </c>
      <c r="S1176">
        <v>5</v>
      </c>
      <c r="T1176" t="s">
        <v>1148</v>
      </c>
      <c r="U1176" s="11" t="str">
        <f t="shared" si="90"/>
        <v>12:16:57 PM</v>
      </c>
      <c r="BL1176" s="2" t="s">
        <v>2326</v>
      </c>
    </row>
    <row r="1177" spans="1:64" x14ac:dyDescent="0.35">
      <c r="A1177">
        <v>6990</v>
      </c>
      <c r="B1177" t="s">
        <v>31</v>
      </c>
      <c r="C1177" s="1">
        <v>45731</v>
      </c>
      <c r="D1177" t="s">
        <v>23</v>
      </c>
      <c r="E1177" t="s">
        <v>33</v>
      </c>
      <c r="F1177">
        <v>1</v>
      </c>
      <c r="G1177">
        <v>1887.42</v>
      </c>
      <c r="H1177">
        <v>1887.42</v>
      </c>
      <c r="I1177">
        <v>283.02999999999997</v>
      </c>
      <c r="J1177">
        <v>1604.39</v>
      </c>
      <c r="K1177">
        <v>414</v>
      </c>
      <c r="L1177" s="11" t="s">
        <v>965</v>
      </c>
      <c r="M1177">
        <f t="shared" si="91"/>
        <v>15</v>
      </c>
      <c r="N1177">
        <f t="shared" si="92"/>
        <v>3</v>
      </c>
      <c r="O1177">
        <f t="shared" si="93"/>
        <v>2025</v>
      </c>
      <c r="P1177" s="4">
        <f t="shared" si="94"/>
        <v>45731</v>
      </c>
      <c r="Q1177" t="s">
        <v>1134</v>
      </c>
      <c r="R1177" t="s">
        <v>1135</v>
      </c>
      <c r="S1177">
        <v>2</v>
      </c>
      <c r="T1177" t="s">
        <v>1142</v>
      </c>
      <c r="U1177" s="11" t="str">
        <f t="shared" si="90"/>
        <v>07:34:03 PM</v>
      </c>
      <c r="BL1177" s="2" t="s">
        <v>2327</v>
      </c>
    </row>
    <row r="1178" spans="1:64" x14ac:dyDescent="0.35">
      <c r="A1178">
        <v>3363</v>
      </c>
      <c r="B1178" t="s">
        <v>13</v>
      </c>
      <c r="C1178" s="1">
        <v>45299</v>
      </c>
      <c r="D1178" t="s">
        <v>34</v>
      </c>
      <c r="E1178" t="s">
        <v>38</v>
      </c>
      <c r="F1178">
        <v>2</v>
      </c>
      <c r="G1178">
        <v>273.89999999999998</v>
      </c>
      <c r="H1178">
        <v>547.79999999999995</v>
      </c>
      <c r="I1178">
        <v>175.13</v>
      </c>
      <c r="J1178">
        <v>372.67</v>
      </c>
      <c r="K1178">
        <v>43</v>
      </c>
      <c r="L1178" s="11" t="s">
        <v>185</v>
      </c>
      <c r="M1178">
        <f t="shared" si="91"/>
        <v>8</v>
      </c>
      <c r="N1178">
        <f t="shared" si="92"/>
        <v>1</v>
      </c>
      <c r="O1178">
        <f t="shared" si="93"/>
        <v>2024</v>
      </c>
      <c r="P1178" s="4">
        <f t="shared" si="94"/>
        <v>45299</v>
      </c>
      <c r="Q1178" t="s">
        <v>1134</v>
      </c>
      <c r="R1178" t="s">
        <v>1137</v>
      </c>
      <c r="S1178">
        <v>4</v>
      </c>
      <c r="T1178" t="s">
        <v>1143</v>
      </c>
      <c r="U1178" s="11" t="str">
        <f t="shared" si="90"/>
        <v>01:50:05 AM</v>
      </c>
      <c r="BL1178" s="2" t="s">
        <v>2328</v>
      </c>
    </row>
    <row r="1179" spans="1:64" x14ac:dyDescent="0.35">
      <c r="A1179">
        <v>9341</v>
      </c>
      <c r="B1179" t="s">
        <v>25</v>
      </c>
      <c r="C1179" s="1">
        <v>45456</v>
      </c>
      <c r="D1179" t="s">
        <v>1</v>
      </c>
      <c r="E1179" t="s">
        <v>14</v>
      </c>
      <c r="F1179">
        <v>4</v>
      </c>
      <c r="G1179">
        <v>1249.98</v>
      </c>
      <c r="H1179">
        <v>4999.92</v>
      </c>
      <c r="I1179">
        <v>102.92</v>
      </c>
      <c r="J1179">
        <v>4897</v>
      </c>
      <c r="K1179">
        <v>389</v>
      </c>
      <c r="L1179" s="11" t="s">
        <v>966</v>
      </c>
      <c r="M1179">
        <f t="shared" si="91"/>
        <v>13</v>
      </c>
      <c r="N1179">
        <f t="shared" si="92"/>
        <v>6</v>
      </c>
      <c r="O1179">
        <f t="shared" si="93"/>
        <v>2024</v>
      </c>
      <c r="P1179" s="4">
        <f t="shared" si="94"/>
        <v>45456</v>
      </c>
      <c r="Q1179" t="s">
        <v>1136</v>
      </c>
      <c r="R1179" t="s">
        <v>1135</v>
      </c>
      <c r="S1179">
        <v>3</v>
      </c>
      <c r="T1179" t="s">
        <v>1146</v>
      </c>
      <c r="U1179" s="11" t="str">
        <f t="shared" si="90"/>
        <v>11:28:47 AM</v>
      </c>
      <c r="BL1179" s="2" t="s">
        <v>2329</v>
      </c>
    </row>
    <row r="1180" spans="1:64" x14ac:dyDescent="0.35">
      <c r="A1180">
        <v>9193</v>
      </c>
      <c r="B1180" t="s">
        <v>20</v>
      </c>
      <c r="C1180" s="1">
        <v>45176</v>
      </c>
      <c r="D1180" t="s">
        <v>16</v>
      </c>
      <c r="E1180" t="s">
        <v>29</v>
      </c>
      <c r="F1180">
        <v>1</v>
      </c>
      <c r="G1180">
        <v>590.13</v>
      </c>
      <c r="H1180">
        <v>590.13</v>
      </c>
      <c r="I1180">
        <v>58.93</v>
      </c>
      <c r="J1180">
        <v>531.20000000000005</v>
      </c>
      <c r="K1180">
        <v>405</v>
      </c>
      <c r="L1180" s="11" t="s">
        <v>967</v>
      </c>
      <c r="M1180">
        <f t="shared" si="91"/>
        <v>7</v>
      </c>
      <c r="N1180">
        <f t="shared" si="92"/>
        <v>9</v>
      </c>
      <c r="O1180">
        <f t="shared" si="93"/>
        <v>2023</v>
      </c>
      <c r="P1180" s="4">
        <f t="shared" si="94"/>
        <v>45176</v>
      </c>
      <c r="Q1180" t="s">
        <v>1134</v>
      </c>
      <c r="R1180" t="s">
        <v>1137</v>
      </c>
      <c r="S1180">
        <v>2</v>
      </c>
      <c r="T1180" t="s">
        <v>1141</v>
      </c>
      <c r="U1180" s="11" t="str">
        <f t="shared" si="90"/>
        <v>09:39:00 AM</v>
      </c>
      <c r="BL1180" s="2" t="s">
        <v>2330</v>
      </c>
    </row>
    <row r="1181" spans="1:64" x14ac:dyDescent="0.35">
      <c r="A1181">
        <v>1742</v>
      </c>
      <c r="B1181" t="s">
        <v>3</v>
      </c>
      <c r="C1181" s="1">
        <v>45175</v>
      </c>
      <c r="D1181" t="s">
        <v>24</v>
      </c>
      <c r="E1181" t="s">
        <v>37</v>
      </c>
      <c r="F1181">
        <v>4</v>
      </c>
      <c r="G1181">
        <v>1904.02</v>
      </c>
      <c r="H1181">
        <v>7616.08</v>
      </c>
      <c r="I1181">
        <v>1142.08</v>
      </c>
      <c r="J1181">
        <v>6474</v>
      </c>
      <c r="K1181">
        <v>309</v>
      </c>
      <c r="L1181" s="11" t="s">
        <v>968</v>
      </c>
      <c r="M1181">
        <f t="shared" si="91"/>
        <v>6</v>
      </c>
      <c r="N1181">
        <f t="shared" si="92"/>
        <v>9</v>
      </c>
      <c r="O1181">
        <f t="shared" si="93"/>
        <v>2023</v>
      </c>
      <c r="P1181" s="4">
        <f t="shared" si="94"/>
        <v>45175</v>
      </c>
      <c r="Q1181" t="s">
        <v>1134</v>
      </c>
      <c r="R1181" t="s">
        <v>1135</v>
      </c>
      <c r="S1181">
        <v>1</v>
      </c>
      <c r="T1181" t="s">
        <v>1149</v>
      </c>
      <c r="U1181" s="11" t="str">
        <f t="shared" si="90"/>
        <v>09:59:20 PM</v>
      </c>
      <c r="BL1181" s="2" t="s">
        <v>2331</v>
      </c>
    </row>
    <row r="1182" spans="1:64" x14ac:dyDescent="0.35">
      <c r="A1182">
        <v>3245</v>
      </c>
      <c r="B1182" t="s">
        <v>25</v>
      </c>
      <c r="C1182" s="1">
        <v>45699</v>
      </c>
      <c r="D1182" t="s">
        <v>16</v>
      </c>
      <c r="E1182" t="s">
        <v>10</v>
      </c>
      <c r="F1182">
        <v>3</v>
      </c>
      <c r="G1182">
        <v>2048.44</v>
      </c>
      <c r="H1182">
        <v>6145.32</v>
      </c>
      <c r="I1182">
        <v>0</v>
      </c>
      <c r="J1182">
        <v>6145.32</v>
      </c>
      <c r="K1182">
        <v>481</v>
      </c>
      <c r="L1182" s="11" t="s">
        <v>969</v>
      </c>
      <c r="M1182">
        <f t="shared" si="91"/>
        <v>11</v>
      </c>
      <c r="N1182">
        <f t="shared" si="92"/>
        <v>2</v>
      </c>
      <c r="O1182">
        <f t="shared" si="93"/>
        <v>2025</v>
      </c>
      <c r="P1182" s="4">
        <f t="shared" si="94"/>
        <v>45699</v>
      </c>
      <c r="Q1182" t="s">
        <v>1139</v>
      </c>
      <c r="R1182" t="s">
        <v>1137</v>
      </c>
      <c r="S1182">
        <v>1</v>
      </c>
      <c r="T1182" t="s">
        <v>1150</v>
      </c>
      <c r="U1182" s="11" t="str">
        <f t="shared" si="90"/>
        <v>05:04:17 AM</v>
      </c>
      <c r="BL1182" s="2" t="s">
        <v>2332</v>
      </c>
    </row>
    <row r="1183" spans="1:64" x14ac:dyDescent="0.35">
      <c r="A1183">
        <v>6456</v>
      </c>
      <c r="B1183" t="s">
        <v>13</v>
      </c>
      <c r="C1183" s="1">
        <v>45769</v>
      </c>
      <c r="D1183" t="s">
        <v>9</v>
      </c>
      <c r="E1183" t="s">
        <v>29</v>
      </c>
      <c r="F1183">
        <v>3</v>
      </c>
      <c r="G1183">
        <v>2183.73</v>
      </c>
      <c r="H1183">
        <v>6551.19</v>
      </c>
      <c r="I1183">
        <v>234.89</v>
      </c>
      <c r="J1183">
        <v>6316.3</v>
      </c>
      <c r="K1183">
        <v>412</v>
      </c>
      <c r="L1183" s="11" t="s">
        <v>970</v>
      </c>
      <c r="M1183">
        <f t="shared" si="91"/>
        <v>22</v>
      </c>
      <c r="N1183">
        <f t="shared" si="92"/>
        <v>4</v>
      </c>
      <c r="O1183">
        <f t="shared" si="93"/>
        <v>2025</v>
      </c>
      <c r="P1183" s="4">
        <f t="shared" si="94"/>
        <v>45769</v>
      </c>
      <c r="Q1183" t="s">
        <v>1136</v>
      </c>
      <c r="R1183" t="s">
        <v>1135</v>
      </c>
      <c r="S1183">
        <v>5</v>
      </c>
      <c r="T1183" t="s">
        <v>1143</v>
      </c>
      <c r="U1183" s="11" t="str">
        <f t="shared" si="90"/>
        <v>11:37:09 AM</v>
      </c>
      <c r="BL1183" s="2" t="s">
        <v>2333</v>
      </c>
    </row>
    <row r="1184" spans="1:64" x14ac:dyDescent="0.35">
      <c r="A1184">
        <v>8761</v>
      </c>
      <c r="B1184" t="s">
        <v>13</v>
      </c>
      <c r="C1184" s="1">
        <v>45548</v>
      </c>
      <c r="D1184" t="s">
        <v>23</v>
      </c>
      <c r="E1184" t="s">
        <v>28</v>
      </c>
      <c r="F1184">
        <v>5</v>
      </c>
      <c r="G1184">
        <v>377.65</v>
      </c>
      <c r="H1184">
        <v>1888.25</v>
      </c>
      <c r="I1184">
        <v>0</v>
      </c>
      <c r="J1184">
        <v>1888.25</v>
      </c>
      <c r="K1184">
        <v>271</v>
      </c>
      <c r="L1184" s="11" t="s">
        <v>971</v>
      </c>
      <c r="M1184">
        <f t="shared" si="91"/>
        <v>13</v>
      </c>
      <c r="N1184">
        <f t="shared" si="92"/>
        <v>9</v>
      </c>
      <c r="O1184">
        <f t="shared" si="93"/>
        <v>2024</v>
      </c>
      <c r="P1184" s="4">
        <f t="shared" si="94"/>
        <v>45548</v>
      </c>
      <c r="Q1184" t="s">
        <v>1136</v>
      </c>
      <c r="R1184" t="s">
        <v>1137</v>
      </c>
      <c r="S1184">
        <v>4</v>
      </c>
      <c r="T1184" t="s">
        <v>1147</v>
      </c>
      <c r="U1184" s="11" t="str">
        <f t="shared" si="90"/>
        <v>05:25:38 PM</v>
      </c>
      <c r="BL1184" s="2" t="s">
        <v>2334</v>
      </c>
    </row>
    <row r="1185" spans="1:64" x14ac:dyDescent="0.35">
      <c r="A1185">
        <v>8487</v>
      </c>
      <c r="B1185" t="s">
        <v>31</v>
      </c>
      <c r="C1185" s="1">
        <v>45260</v>
      </c>
      <c r="D1185" t="s">
        <v>11</v>
      </c>
      <c r="E1185" t="s">
        <v>22</v>
      </c>
      <c r="F1185">
        <v>5</v>
      </c>
      <c r="G1185">
        <v>1733.87</v>
      </c>
      <c r="H1185">
        <v>8669.35</v>
      </c>
      <c r="I1185">
        <v>219.95</v>
      </c>
      <c r="J1185">
        <v>8449.4</v>
      </c>
      <c r="K1185">
        <v>445</v>
      </c>
      <c r="L1185" s="11" t="s">
        <v>972</v>
      </c>
      <c r="M1185">
        <f t="shared" si="91"/>
        <v>30</v>
      </c>
      <c r="N1185">
        <f t="shared" si="92"/>
        <v>11</v>
      </c>
      <c r="O1185">
        <f t="shared" si="93"/>
        <v>2023</v>
      </c>
      <c r="P1185" s="4">
        <f t="shared" si="94"/>
        <v>45260</v>
      </c>
      <c r="Q1185" t="s">
        <v>1136</v>
      </c>
      <c r="R1185" t="s">
        <v>1135</v>
      </c>
      <c r="S1185">
        <v>5</v>
      </c>
      <c r="T1185" t="s">
        <v>1148</v>
      </c>
      <c r="U1185" s="11" t="str">
        <f t="shared" si="90"/>
        <v>06:27:11 PM</v>
      </c>
      <c r="BL1185" s="2" t="s">
        <v>2335</v>
      </c>
    </row>
    <row r="1186" spans="1:64" x14ac:dyDescent="0.35">
      <c r="A1186">
        <v>9446</v>
      </c>
      <c r="B1186" t="s">
        <v>31</v>
      </c>
      <c r="C1186" s="1">
        <v>45253</v>
      </c>
      <c r="D1186" t="s">
        <v>1</v>
      </c>
      <c r="E1186" t="s">
        <v>10</v>
      </c>
      <c r="F1186">
        <v>1</v>
      </c>
      <c r="G1186">
        <v>1607.71</v>
      </c>
      <c r="H1186">
        <v>1607.71</v>
      </c>
      <c r="I1186">
        <v>0</v>
      </c>
      <c r="J1186">
        <v>1607.71</v>
      </c>
      <c r="K1186">
        <v>447</v>
      </c>
      <c r="L1186" s="11" t="s">
        <v>973</v>
      </c>
      <c r="M1186">
        <f t="shared" si="91"/>
        <v>23</v>
      </c>
      <c r="N1186">
        <f t="shared" si="92"/>
        <v>11</v>
      </c>
      <c r="O1186">
        <f t="shared" si="93"/>
        <v>2023</v>
      </c>
      <c r="P1186" s="4">
        <f t="shared" si="94"/>
        <v>45253</v>
      </c>
      <c r="Q1186" t="s">
        <v>1136</v>
      </c>
      <c r="R1186" t="s">
        <v>1135</v>
      </c>
      <c r="S1186">
        <v>5</v>
      </c>
      <c r="T1186" t="s">
        <v>1150</v>
      </c>
      <c r="U1186" s="11" t="str">
        <f t="shared" si="90"/>
        <v>09:08:44 PM</v>
      </c>
      <c r="BL1186" s="2" t="s">
        <v>2336</v>
      </c>
    </row>
    <row r="1187" spans="1:64" x14ac:dyDescent="0.35">
      <c r="A1187">
        <v>6373</v>
      </c>
      <c r="B1187" t="s">
        <v>25</v>
      </c>
      <c r="C1187" s="1">
        <v>45868</v>
      </c>
      <c r="D1187" t="s">
        <v>16</v>
      </c>
      <c r="E1187" t="s">
        <v>22</v>
      </c>
      <c r="F1187">
        <v>2</v>
      </c>
      <c r="G1187">
        <v>1542.97</v>
      </c>
      <c r="H1187">
        <v>3085.94</v>
      </c>
      <c r="I1187">
        <v>463.14</v>
      </c>
      <c r="J1187">
        <v>2622.8</v>
      </c>
      <c r="K1187">
        <v>204</v>
      </c>
      <c r="L1187" s="11" t="s">
        <v>974</v>
      </c>
      <c r="M1187">
        <f t="shared" si="91"/>
        <v>30</v>
      </c>
      <c r="N1187">
        <f t="shared" si="92"/>
        <v>7</v>
      </c>
      <c r="O1187">
        <f t="shared" si="93"/>
        <v>2025</v>
      </c>
      <c r="P1187" s="4">
        <f t="shared" si="94"/>
        <v>45868</v>
      </c>
      <c r="Q1187" t="s">
        <v>1136</v>
      </c>
      <c r="R1187" t="s">
        <v>1135</v>
      </c>
      <c r="S1187">
        <v>5</v>
      </c>
      <c r="T1187" t="s">
        <v>1141</v>
      </c>
      <c r="U1187" s="11" t="str">
        <f t="shared" si="90"/>
        <v>08:09:17 PM</v>
      </c>
      <c r="BL1187" s="2" t="s">
        <v>2337</v>
      </c>
    </row>
    <row r="1188" spans="1:64" x14ac:dyDescent="0.35">
      <c r="A1188">
        <v>6218</v>
      </c>
      <c r="B1188" t="s">
        <v>13</v>
      </c>
      <c r="C1188" s="1">
        <v>45271</v>
      </c>
      <c r="D1188" t="s">
        <v>34</v>
      </c>
      <c r="E1188" t="s">
        <v>38</v>
      </c>
      <c r="F1188">
        <v>4</v>
      </c>
      <c r="G1188">
        <v>789.33</v>
      </c>
      <c r="H1188">
        <v>3157.32</v>
      </c>
      <c r="I1188">
        <v>373.5</v>
      </c>
      <c r="J1188">
        <v>2783.82</v>
      </c>
      <c r="K1188">
        <v>99</v>
      </c>
      <c r="L1188" s="11" t="s">
        <v>975</v>
      </c>
      <c r="M1188">
        <f t="shared" si="91"/>
        <v>11</v>
      </c>
      <c r="N1188">
        <f t="shared" si="92"/>
        <v>12</v>
      </c>
      <c r="O1188">
        <f t="shared" si="93"/>
        <v>2023</v>
      </c>
      <c r="P1188" s="4">
        <f t="shared" si="94"/>
        <v>45271</v>
      </c>
      <c r="Q1188" t="s">
        <v>1136</v>
      </c>
      <c r="R1188" t="s">
        <v>1137</v>
      </c>
      <c r="S1188">
        <v>1</v>
      </c>
      <c r="T1188" t="s">
        <v>1144</v>
      </c>
      <c r="U1188" s="11" t="str">
        <f t="shared" si="90"/>
        <v>02:46:30 PM</v>
      </c>
      <c r="BL1188" s="2" t="s">
        <v>2338</v>
      </c>
    </row>
    <row r="1189" spans="1:64" x14ac:dyDescent="0.35">
      <c r="A1189">
        <v>7438</v>
      </c>
      <c r="B1189" t="s">
        <v>3</v>
      </c>
      <c r="C1189" s="1">
        <v>45623</v>
      </c>
      <c r="D1189" t="s">
        <v>1</v>
      </c>
      <c r="E1189" t="s">
        <v>30</v>
      </c>
      <c r="F1189">
        <v>4</v>
      </c>
      <c r="G1189">
        <v>2000.3</v>
      </c>
      <c r="H1189">
        <v>8001.2</v>
      </c>
      <c r="I1189">
        <v>1600.24</v>
      </c>
      <c r="J1189">
        <v>6400.96</v>
      </c>
      <c r="K1189">
        <v>154</v>
      </c>
      <c r="L1189" s="11" t="s">
        <v>976</v>
      </c>
      <c r="M1189">
        <f t="shared" si="91"/>
        <v>27</v>
      </c>
      <c r="N1189">
        <f t="shared" si="92"/>
        <v>11</v>
      </c>
      <c r="O1189">
        <f t="shared" si="93"/>
        <v>2024</v>
      </c>
      <c r="P1189" s="4">
        <f t="shared" si="94"/>
        <v>45623</v>
      </c>
      <c r="Q1189" t="s">
        <v>1138</v>
      </c>
      <c r="R1189" t="s">
        <v>1135</v>
      </c>
      <c r="S1189">
        <v>1</v>
      </c>
      <c r="T1189" t="s">
        <v>1149</v>
      </c>
      <c r="U1189" s="11" t="str">
        <f t="shared" si="90"/>
        <v>09:33:16 AM</v>
      </c>
      <c r="BL1189" s="2" t="s">
        <v>2339</v>
      </c>
    </row>
    <row r="1190" spans="1:64" x14ac:dyDescent="0.35">
      <c r="A1190">
        <v>5902</v>
      </c>
      <c r="B1190" t="s">
        <v>15</v>
      </c>
      <c r="C1190" s="1">
        <v>45606</v>
      </c>
      <c r="D1190" t="s">
        <v>4</v>
      </c>
      <c r="E1190" t="s">
        <v>37</v>
      </c>
      <c r="F1190">
        <v>5</v>
      </c>
      <c r="G1190">
        <v>662.34</v>
      </c>
      <c r="H1190">
        <v>3311.7</v>
      </c>
      <c r="I1190">
        <v>0</v>
      </c>
      <c r="J1190">
        <v>3311.7</v>
      </c>
      <c r="K1190">
        <v>108</v>
      </c>
      <c r="L1190" s="11" t="s">
        <v>977</v>
      </c>
      <c r="M1190">
        <f t="shared" si="91"/>
        <v>10</v>
      </c>
      <c r="N1190">
        <f t="shared" si="92"/>
        <v>11</v>
      </c>
      <c r="O1190">
        <f t="shared" si="93"/>
        <v>2024</v>
      </c>
      <c r="P1190" s="4">
        <f t="shared" si="94"/>
        <v>45606</v>
      </c>
      <c r="Q1190" t="s">
        <v>1134</v>
      </c>
      <c r="R1190" t="s">
        <v>1137</v>
      </c>
      <c r="S1190">
        <v>5</v>
      </c>
      <c r="T1190" t="s">
        <v>1142</v>
      </c>
      <c r="U1190" s="11" t="str">
        <f t="shared" si="90"/>
        <v>07:05:15 AM</v>
      </c>
      <c r="BL1190" s="2" t="s">
        <v>2340</v>
      </c>
    </row>
    <row r="1191" spans="1:64" x14ac:dyDescent="0.35">
      <c r="A1191">
        <v>6511</v>
      </c>
      <c r="B1191" t="s">
        <v>0</v>
      </c>
      <c r="C1191" s="1">
        <v>45539</v>
      </c>
      <c r="D1191" t="s">
        <v>4</v>
      </c>
      <c r="E1191" t="s">
        <v>5</v>
      </c>
      <c r="F1191">
        <v>1</v>
      </c>
      <c r="G1191">
        <v>468.12</v>
      </c>
      <c r="H1191">
        <v>468.12</v>
      </c>
      <c r="I1191">
        <v>46.48</v>
      </c>
      <c r="J1191">
        <v>421.64</v>
      </c>
      <c r="K1191">
        <v>475</v>
      </c>
      <c r="L1191" s="11" t="s">
        <v>978</v>
      </c>
      <c r="M1191">
        <f t="shared" si="91"/>
        <v>4</v>
      </c>
      <c r="N1191">
        <f t="shared" si="92"/>
        <v>9</v>
      </c>
      <c r="O1191">
        <f t="shared" si="93"/>
        <v>2024</v>
      </c>
      <c r="P1191" s="4">
        <f t="shared" si="94"/>
        <v>45539</v>
      </c>
      <c r="Q1191" t="s">
        <v>1136</v>
      </c>
      <c r="R1191" t="s">
        <v>1137</v>
      </c>
      <c r="S1191">
        <v>1</v>
      </c>
      <c r="T1191" t="s">
        <v>1147</v>
      </c>
      <c r="U1191" s="11" t="str">
        <f t="shared" si="90"/>
        <v>12:02:36 AM</v>
      </c>
      <c r="BL1191" s="2" t="s">
        <v>2341</v>
      </c>
    </row>
    <row r="1192" spans="1:64" x14ac:dyDescent="0.35">
      <c r="A1192">
        <v>9351</v>
      </c>
      <c r="B1192" t="s">
        <v>19</v>
      </c>
      <c r="C1192" s="1">
        <v>45558</v>
      </c>
      <c r="D1192" t="s">
        <v>6</v>
      </c>
      <c r="E1192" t="s">
        <v>2</v>
      </c>
      <c r="F1192">
        <v>4</v>
      </c>
      <c r="G1192">
        <v>2372.14</v>
      </c>
      <c r="H1192">
        <v>9488.56</v>
      </c>
      <c r="I1192">
        <v>0</v>
      </c>
      <c r="J1192">
        <v>9488.56</v>
      </c>
      <c r="K1192">
        <v>343</v>
      </c>
      <c r="L1192" s="11" t="s">
        <v>979</v>
      </c>
      <c r="M1192">
        <f t="shared" si="91"/>
        <v>23</v>
      </c>
      <c r="N1192">
        <f t="shared" si="92"/>
        <v>9</v>
      </c>
      <c r="O1192">
        <f t="shared" si="93"/>
        <v>2024</v>
      </c>
      <c r="P1192" s="4">
        <f t="shared" si="94"/>
        <v>45558</v>
      </c>
      <c r="Q1192" t="s">
        <v>1134</v>
      </c>
      <c r="R1192" t="s">
        <v>1135</v>
      </c>
      <c r="S1192">
        <v>4</v>
      </c>
      <c r="T1192" t="s">
        <v>1146</v>
      </c>
      <c r="U1192" s="11" t="str">
        <f t="shared" si="90"/>
        <v>10:56:28 PM</v>
      </c>
      <c r="BL1192" s="2" t="s">
        <v>2342</v>
      </c>
    </row>
    <row r="1193" spans="1:64" x14ac:dyDescent="0.35">
      <c r="A1193">
        <v>9025</v>
      </c>
      <c r="B1193" t="s">
        <v>8</v>
      </c>
      <c r="C1193" s="1">
        <v>45695</v>
      </c>
      <c r="D1193" t="s">
        <v>27</v>
      </c>
      <c r="E1193" t="s">
        <v>37</v>
      </c>
      <c r="F1193">
        <v>1</v>
      </c>
      <c r="G1193">
        <v>1996.98</v>
      </c>
      <c r="H1193">
        <v>1996.98</v>
      </c>
      <c r="I1193">
        <v>337.81</v>
      </c>
      <c r="J1193">
        <v>1659.17</v>
      </c>
      <c r="K1193">
        <v>170</v>
      </c>
      <c r="L1193" s="11" t="s">
        <v>980</v>
      </c>
      <c r="M1193">
        <f t="shared" si="91"/>
        <v>7</v>
      </c>
      <c r="N1193">
        <f t="shared" si="92"/>
        <v>2</v>
      </c>
      <c r="O1193">
        <f t="shared" si="93"/>
        <v>2025</v>
      </c>
      <c r="P1193" s="4">
        <f t="shared" si="94"/>
        <v>45695</v>
      </c>
      <c r="Q1193" t="s">
        <v>1134</v>
      </c>
      <c r="R1193" t="s">
        <v>1135</v>
      </c>
      <c r="S1193">
        <v>5</v>
      </c>
      <c r="T1193" t="s">
        <v>1150</v>
      </c>
      <c r="U1193" s="11" t="str">
        <f t="shared" si="90"/>
        <v>02:14:12 PM</v>
      </c>
      <c r="BL1193" s="2" t="s">
        <v>2343</v>
      </c>
    </row>
    <row r="1194" spans="1:64" x14ac:dyDescent="0.35">
      <c r="A1194">
        <v>5911</v>
      </c>
      <c r="B1194" t="s">
        <v>0</v>
      </c>
      <c r="C1194" s="1">
        <v>45513</v>
      </c>
      <c r="D1194" t="s">
        <v>16</v>
      </c>
      <c r="E1194" t="s">
        <v>10</v>
      </c>
      <c r="F1194">
        <v>4</v>
      </c>
      <c r="G1194">
        <v>2272.54</v>
      </c>
      <c r="H1194">
        <v>9090.16</v>
      </c>
      <c r="I1194">
        <v>0</v>
      </c>
      <c r="J1194">
        <v>9090.16</v>
      </c>
      <c r="K1194">
        <v>380</v>
      </c>
      <c r="L1194" s="11" t="s">
        <v>981</v>
      </c>
      <c r="M1194">
        <f t="shared" si="91"/>
        <v>9</v>
      </c>
      <c r="N1194">
        <f t="shared" si="92"/>
        <v>8</v>
      </c>
      <c r="O1194">
        <f t="shared" si="93"/>
        <v>2024</v>
      </c>
      <c r="P1194" s="4">
        <f t="shared" si="94"/>
        <v>45513</v>
      </c>
      <c r="Q1194" t="s">
        <v>1138</v>
      </c>
      <c r="R1194" t="s">
        <v>1135</v>
      </c>
      <c r="S1194">
        <v>1</v>
      </c>
      <c r="T1194" t="s">
        <v>1147</v>
      </c>
      <c r="U1194" s="11" t="str">
        <f t="shared" ref="U1194:U1257" si="95">TEXT(L1194,"hh:mm:ss AM/PM")</f>
        <v>12:51:07 PM</v>
      </c>
      <c r="BL1194" s="2" t="s">
        <v>2344</v>
      </c>
    </row>
    <row r="1195" spans="1:64" x14ac:dyDescent="0.35">
      <c r="A1195">
        <v>1272</v>
      </c>
      <c r="B1195" t="s">
        <v>3</v>
      </c>
      <c r="C1195" s="1">
        <v>45431</v>
      </c>
      <c r="D1195" t="s">
        <v>9</v>
      </c>
      <c r="E1195" t="s">
        <v>14</v>
      </c>
      <c r="F1195">
        <v>2</v>
      </c>
      <c r="G1195">
        <v>705.5</v>
      </c>
      <c r="H1195">
        <v>1411</v>
      </c>
      <c r="I1195">
        <v>112.88</v>
      </c>
      <c r="J1195">
        <v>1298.1199999999999</v>
      </c>
      <c r="K1195">
        <v>148</v>
      </c>
      <c r="L1195" s="11" t="s">
        <v>982</v>
      </c>
      <c r="M1195">
        <f t="shared" si="91"/>
        <v>19</v>
      </c>
      <c r="N1195">
        <f t="shared" si="92"/>
        <v>5</v>
      </c>
      <c r="O1195">
        <f t="shared" si="93"/>
        <v>2024</v>
      </c>
      <c r="P1195" s="4">
        <f t="shared" si="94"/>
        <v>45431</v>
      </c>
      <c r="Q1195" t="s">
        <v>1136</v>
      </c>
      <c r="R1195" t="s">
        <v>1137</v>
      </c>
      <c r="S1195">
        <v>2</v>
      </c>
      <c r="T1195" t="s">
        <v>1144</v>
      </c>
      <c r="U1195" s="11" t="str">
        <f t="shared" si="95"/>
        <v>12:28:50 AM</v>
      </c>
      <c r="BL1195" s="2" t="s">
        <v>2345</v>
      </c>
    </row>
    <row r="1196" spans="1:64" x14ac:dyDescent="0.35">
      <c r="A1196">
        <v>6427</v>
      </c>
      <c r="B1196" t="s">
        <v>31</v>
      </c>
      <c r="C1196" s="1">
        <v>45668</v>
      </c>
      <c r="D1196" t="s">
        <v>4</v>
      </c>
      <c r="E1196" t="s">
        <v>12</v>
      </c>
      <c r="F1196">
        <v>2</v>
      </c>
      <c r="G1196">
        <v>2136.42</v>
      </c>
      <c r="H1196">
        <v>4272.84</v>
      </c>
      <c r="I1196">
        <v>327.85</v>
      </c>
      <c r="J1196">
        <v>3944.99</v>
      </c>
      <c r="K1196">
        <v>488</v>
      </c>
      <c r="L1196" s="11" t="s">
        <v>983</v>
      </c>
      <c r="M1196">
        <f t="shared" si="91"/>
        <v>11</v>
      </c>
      <c r="N1196">
        <f t="shared" si="92"/>
        <v>1</v>
      </c>
      <c r="O1196">
        <f t="shared" si="93"/>
        <v>2025</v>
      </c>
      <c r="P1196" s="4">
        <f t="shared" si="94"/>
        <v>45668</v>
      </c>
      <c r="Q1196" t="s">
        <v>1139</v>
      </c>
      <c r="R1196" t="s">
        <v>1135</v>
      </c>
      <c r="S1196">
        <v>5</v>
      </c>
      <c r="T1196" t="s">
        <v>1141</v>
      </c>
      <c r="U1196" s="11" t="str">
        <f t="shared" si="95"/>
        <v>03:05:15 AM</v>
      </c>
      <c r="BL1196" s="2" t="s">
        <v>2346</v>
      </c>
    </row>
    <row r="1197" spans="1:64" x14ac:dyDescent="0.35">
      <c r="A1197">
        <v>2795</v>
      </c>
      <c r="B1197" t="s">
        <v>19</v>
      </c>
      <c r="C1197" s="1">
        <v>45468</v>
      </c>
      <c r="D1197" t="s">
        <v>1</v>
      </c>
      <c r="E1197" t="s">
        <v>7</v>
      </c>
      <c r="F1197">
        <v>2</v>
      </c>
      <c r="G1197">
        <v>2121.48</v>
      </c>
      <c r="H1197">
        <v>4242.96</v>
      </c>
      <c r="I1197">
        <v>636.61</v>
      </c>
      <c r="J1197">
        <v>3606.35</v>
      </c>
      <c r="K1197">
        <v>216</v>
      </c>
      <c r="L1197" s="11" t="s">
        <v>984</v>
      </c>
      <c r="M1197">
        <f t="shared" si="91"/>
        <v>25</v>
      </c>
      <c r="N1197">
        <f t="shared" si="92"/>
        <v>6</v>
      </c>
      <c r="O1197">
        <f t="shared" si="93"/>
        <v>2024</v>
      </c>
      <c r="P1197" s="4">
        <f t="shared" si="94"/>
        <v>45468</v>
      </c>
      <c r="Q1197" t="s">
        <v>1138</v>
      </c>
      <c r="R1197" t="s">
        <v>1137</v>
      </c>
      <c r="S1197">
        <v>5</v>
      </c>
      <c r="T1197" t="s">
        <v>1149</v>
      </c>
      <c r="U1197" s="11" t="str">
        <f t="shared" si="95"/>
        <v>09:07:13 AM</v>
      </c>
      <c r="BL1197" s="2" t="s">
        <v>2347</v>
      </c>
    </row>
    <row r="1198" spans="1:64" x14ac:dyDescent="0.35">
      <c r="A1198">
        <v>6040</v>
      </c>
      <c r="B1198" t="s">
        <v>8</v>
      </c>
      <c r="C1198" s="1">
        <v>45763</v>
      </c>
      <c r="D1198" t="s">
        <v>27</v>
      </c>
      <c r="E1198" t="s">
        <v>14</v>
      </c>
      <c r="F1198">
        <v>1</v>
      </c>
      <c r="G1198">
        <v>1033.3499999999999</v>
      </c>
      <c r="H1198">
        <v>1033.3499999999999</v>
      </c>
      <c r="I1198">
        <v>155.21</v>
      </c>
      <c r="J1198">
        <v>878.14</v>
      </c>
      <c r="K1198">
        <v>275</v>
      </c>
      <c r="L1198" s="11" t="s">
        <v>985</v>
      </c>
      <c r="M1198">
        <f t="shared" si="91"/>
        <v>16</v>
      </c>
      <c r="N1198">
        <f t="shared" si="92"/>
        <v>4</v>
      </c>
      <c r="O1198">
        <f t="shared" si="93"/>
        <v>2025</v>
      </c>
      <c r="P1198" s="4">
        <f t="shared" si="94"/>
        <v>45763</v>
      </c>
      <c r="Q1198" t="s">
        <v>1139</v>
      </c>
      <c r="R1198" t="s">
        <v>1137</v>
      </c>
      <c r="S1198">
        <v>4</v>
      </c>
      <c r="T1198" t="s">
        <v>1143</v>
      </c>
      <c r="U1198" s="11" t="str">
        <f t="shared" si="95"/>
        <v>03:04:05 AM</v>
      </c>
      <c r="BL1198" s="2" t="s">
        <v>2348</v>
      </c>
    </row>
    <row r="1199" spans="1:64" x14ac:dyDescent="0.35">
      <c r="A1199">
        <v>1436</v>
      </c>
      <c r="B1199" t="s">
        <v>8</v>
      </c>
      <c r="C1199" s="1">
        <v>45608</v>
      </c>
      <c r="D1199" t="s">
        <v>24</v>
      </c>
      <c r="E1199" t="s">
        <v>14</v>
      </c>
      <c r="F1199">
        <v>4</v>
      </c>
      <c r="G1199">
        <v>1718.93</v>
      </c>
      <c r="H1199">
        <v>6875.72</v>
      </c>
      <c r="I1199">
        <v>1375.31</v>
      </c>
      <c r="J1199">
        <v>5500.41</v>
      </c>
      <c r="K1199">
        <v>75</v>
      </c>
      <c r="L1199" s="11" t="s">
        <v>986</v>
      </c>
      <c r="M1199">
        <f t="shared" si="91"/>
        <v>12</v>
      </c>
      <c r="N1199">
        <f t="shared" si="92"/>
        <v>11</v>
      </c>
      <c r="O1199">
        <f t="shared" si="93"/>
        <v>2024</v>
      </c>
      <c r="P1199" s="4">
        <f t="shared" si="94"/>
        <v>45608</v>
      </c>
      <c r="Q1199" t="s">
        <v>1134</v>
      </c>
      <c r="R1199" t="s">
        <v>1135</v>
      </c>
      <c r="S1199">
        <v>3</v>
      </c>
      <c r="T1199" t="s">
        <v>1148</v>
      </c>
      <c r="U1199" s="11" t="str">
        <f t="shared" si="95"/>
        <v>09:44:42 PM</v>
      </c>
      <c r="BL1199" s="2" t="s">
        <v>2349</v>
      </c>
    </row>
    <row r="1200" spans="1:64" x14ac:dyDescent="0.35">
      <c r="A1200">
        <v>8775</v>
      </c>
      <c r="B1200" t="s">
        <v>20</v>
      </c>
      <c r="C1200" s="1">
        <v>45351</v>
      </c>
      <c r="D1200" t="s">
        <v>17</v>
      </c>
      <c r="E1200" t="s">
        <v>10</v>
      </c>
      <c r="F1200">
        <v>3</v>
      </c>
      <c r="G1200">
        <v>1291.48</v>
      </c>
      <c r="H1200">
        <v>3874.44</v>
      </c>
      <c r="I1200">
        <v>581</v>
      </c>
      <c r="J1200">
        <v>3293.44</v>
      </c>
      <c r="K1200">
        <v>352</v>
      </c>
      <c r="L1200" s="11" t="s">
        <v>987</v>
      </c>
      <c r="M1200">
        <f t="shared" si="91"/>
        <v>29</v>
      </c>
      <c r="N1200">
        <f t="shared" si="92"/>
        <v>2</v>
      </c>
      <c r="O1200">
        <f t="shared" si="93"/>
        <v>2024</v>
      </c>
      <c r="P1200" s="4">
        <f t="shared" si="94"/>
        <v>45351</v>
      </c>
      <c r="Q1200" t="s">
        <v>1134</v>
      </c>
      <c r="R1200" t="s">
        <v>1135</v>
      </c>
      <c r="S1200">
        <v>3</v>
      </c>
      <c r="T1200" t="s">
        <v>1141</v>
      </c>
      <c r="U1200" s="11" t="str">
        <f t="shared" si="95"/>
        <v>03:23:12 PM</v>
      </c>
      <c r="BL1200" s="2" t="s">
        <v>2350</v>
      </c>
    </row>
    <row r="1201" spans="1:64" x14ac:dyDescent="0.35">
      <c r="A1201">
        <v>4728</v>
      </c>
      <c r="B1201" t="s">
        <v>15</v>
      </c>
      <c r="C1201" s="1">
        <v>45705</v>
      </c>
      <c r="D1201" t="s">
        <v>16</v>
      </c>
      <c r="E1201" t="s">
        <v>33</v>
      </c>
      <c r="F1201">
        <v>4</v>
      </c>
      <c r="G1201">
        <v>783.52</v>
      </c>
      <c r="H1201">
        <v>3134.08</v>
      </c>
      <c r="I1201">
        <v>408.36</v>
      </c>
      <c r="J1201">
        <v>2725.72</v>
      </c>
      <c r="K1201">
        <v>494</v>
      </c>
      <c r="L1201" s="11" t="s">
        <v>988</v>
      </c>
      <c r="M1201">
        <f t="shared" si="91"/>
        <v>17</v>
      </c>
      <c r="N1201">
        <f t="shared" si="92"/>
        <v>2</v>
      </c>
      <c r="O1201">
        <f t="shared" si="93"/>
        <v>2025</v>
      </c>
      <c r="P1201" s="4">
        <f t="shared" si="94"/>
        <v>45705</v>
      </c>
      <c r="Q1201" t="s">
        <v>1138</v>
      </c>
      <c r="R1201" t="s">
        <v>1135</v>
      </c>
      <c r="S1201">
        <v>4</v>
      </c>
      <c r="T1201" t="s">
        <v>1145</v>
      </c>
      <c r="U1201" s="11" t="str">
        <f t="shared" si="95"/>
        <v>01:36:54 PM</v>
      </c>
      <c r="BL1201" s="2" t="s">
        <v>2351</v>
      </c>
    </row>
    <row r="1202" spans="1:64" x14ac:dyDescent="0.35">
      <c r="A1202">
        <v>1841</v>
      </c>
      <c r="B1202" t="s">
        <v>25</v>
      </c>
      <c r="C1202" s="1">
        <v>45598</v>
      </c>
      <c r="D1202" t="s">
        <v>23</v>
      </c>
      <c r="E1202" t="s">
        <v>33</v>
      </c>
      <c r="F1202">
        <v>2</v>
      </c>
      <c r="G1202">
        <v>1767.9</v>
      </c>
      <c r="H1202">
        <v>3535.8</v>
      </c>
      <c r="I1202">
        <v>353.58</v>
      </c>
      <c r="J1202">
        <v>3182.22</v>
      </c>
      <c r="K1202">
        <v>26</v>
      </c>
      <c r="L1202" s="11" t="s">
        <v>989</v>
      </c>
      <c r="M1202">
        <f t="shared" si="91"/>
        <v>2</v>
      </c>
      <c r="N1202">
        <f t="shared" si="92"/>
        <v>11</v>
      </c>
      <c r="O1202">
        <f t="shared" si="93"/>
        <v>2024</v>
      </c>
      <c r="P1202" s="4">
        <f t="shared" si="94"/>
        <v>45598</v>
      </c>
      <c r="Q1202" t="s">
        <v>1138</v>
      </c>
      <c r="R1202" t="s">
        <v>1135</v>
      </c>
      <c r="S1202">
        <v>4</v>
      </c>
      <c r="T1202" t="s">
        <v>1142</v>
      </c>
      <c r="U1202" s="11" t="str">
        <f t="shared" si="95"/>
        <v>08:47:22 AM</v>
      </c>
      <c r="BL1202" s="2" t="s">
        <v>2352</v>
      </c>
    </row>
    <row r="1203" spans="1:64" x14ac:dyDescent="0.35">
      <c r="A1203">
        <v>8871</v>
      </c>
      <c r="B1203" t="s">
        <v>13</v>
      </c>
      <c r="C1203" s="1">
        <v>45277</v>
      </c>
      <c r="D1203" t="s">
        <v>24</v>
      </c>
      <c r="E1203" t="s">
        <v>18</v>
      </c>
      <c r="F1203">
        <v>1</v>
      </c>
      <c r="G1203">
        <v>1401.04</v>
      </c>
      <c r="H1203">
        <v>1401.04</v>
      </c>
      <c r="I1203">
        <v>0</v>
      </c>
      <c r="J1203">
        <v>1401.04</v>
      </c>
      <c r="K1203">
        <v>172</v>
      </c>
      <c r="L1203" s="11" t="s">
        <v>990</v>
      </c>
      <c r="M1203">
        <f t="shared" si="91"/>
        <v>17</v>
      </c>
      <c r="N1203">
        <f t="shared" si="92"/>
        <v>12</v>
      </c>
      <c r="O1203">
        <f t="shared" si="93"/>
        <v>2023</v>
      </c>
      <c r="P1203" s="4">
        <f t="shared" si="94"/>
        <v>45277</v>
      </c>
      <c r="Q1203" t="s">
        <v>1139</v>
      </c>
      <c r="R1203" t="s">
        <v>1135</v>
      </c>
      <c r="S1203">
        <v>4</v>
      </c>
      <c r="T1203" t="s">
        <v>1142</v>
      </c>
      <c r="U1203" s="11" t="str">
        <f t="shared" si="95"/>
        <v>09:45:40 PM</v>
      </c>
      <c r="BL1203" s="2" t="s">
        <v>2353</v>
      </c>
    </row>
    <row r="1204" spans="1:64" x14ac:dyDescent="0.35">
      <c r="A1204">
        <v>9589</v>
      </c>
      <c r="B1204" t="s">
        <v>15</v>
      </c>
      <c r="C1204" s="1">
        <v>45633</v>
      </c>
      <c r="D1204" t="s">
        <v>11</v>
      </c>
      <c r="E1204" t="s">
        <v>21</v>
      </c>
      <c r="F1204">
        <v>4</v>
      </c>
      <c r="G1204">
        <v>254.81</v>
      </c>
      <c r="H1204">
        <v>1019.24</v>
      </c>
      <c r="I1204">
        <v>152.72</v>
      </c>
      <c r="J1204">
        <v>866.52</v>
      </c>
      <c r="K1204">
        <v>372</v>
      </c>
      <c r="L1204" s="11" t="s">
        <v>991</v>
      </c>
      <c r="M1204">
        <f t="shared" si="91"/>
        <v>7</v>
      </c>
      <c r="N1204">
        <f t="shared" si="92"/>
        <v>12</v>
      </c>
      <c r="O1204">
        <f t="shared" si="93"/>
        <v>2024</v>
      </c>
      <c r="P1204" s="4">
        <f t="shared" si="94"/>
        <v>45633</v>
      </c>
      <c r="Q1204" t="s">
        <v>1136</v>
      </c>
      <c r="R1204" t="s">
        <v>1135</v>
      </c>
      <c r="S1204">
        <v>3</v>
      </c>
      <c r="T1204" t="s">
        <v>1143</v>
      </c>
      <c r="U1204" s="11" t="str">
        <f t="shared" si="95"/>
        <v>06:11:40 AM</v>
      </c>
      <c r="BL1204" s="2" t="s">
        <v>2354</v>
      </c>
    </row>
    <row r="1205" spans="1:64" x14ac:dyDescent="0.35">
      <c r="A1205">
        <v>7229</v>
      </c>
      <c r="B1205" t="s">
        <v>31</v>
      </c>
      <c r="C1205" s="1">
        <v>45259</v>
      </c>
      <c r="D1205" t="s">
        <v>27</v>
      </c>
      <c r="E1205" t="s">
        <v>21</v>
      </c>
      <c r="F1205">
        <v>1</v>
      </c>
      <c r="G1205">
        <v>397.57</v>
      </c>
      <c r="H1205">
        <v>397.57</v>
      </c>
      <c r="I1205">
        <v>0</v>
      </c>
      <c r="J1205">
        <v>397.57</v>
      </c>
      <c r="K1205">
        <v>385</v>
      </c>
      <c r="L1205" s="11" t="s">
        <v>992</v>
      </c>
      <c r="M1205">
        <f t="shared" si="91"/>
        <v>29</v>
      </c>
      <c r="N1205">
        <f t="shared" si="92"/>
        <v>11</v>
      </c>
      <c r="O1205">
        <f t="shared" si="93"/>
        <v>2023</v>
      </c>
      <c r="P1205" s="4">
        <f t="shared" si="94"/>
        <v>45259</v>
      </c>
      <c r="Q1205" t="s">
        <v>1139</v>
      </c>
      <c r="R1205" t="s">
        <v>1137</v>
      </c>
      <c r="S1205">
        <v>4</v>
      </c>
      <c r="T1205" t="s">
        <v>1149</v>
      </c>
      <c r="U1205" s="11" t="str">
        <f t="shared" si="95"/>
        <v>03:42:04 PM</v>
      </c>
      <c r="BL1205" s="2" t="s">
        <v>2355</v>
      </c>
    </row>
    <row r="1206" spans="1:64" x14ac:dyDescent="0.35">
      <c r="A1206">
        <v>4968</v>
      </c>
      <c r="B1206" t="s">
        <v>19</v>
      </c>
      <c r="C1206" s="1">
        <v>45169</v>
      </c>
      <c r="D1206" t="s">
        <v>34</v>
      </c>
      <c r="E1206" t="s">
        <v>18</v>
      </c>
      <c r="F1206">
        <v>5</v>
      </c>
      <c r="G1206">
        <v>413.34</v>
      </c>
      <c r="H1206">
        <v>2066.6999999999998</v>
      </c>
      <c r="I1206">
        <v>309.58999999999997</v>
      </c>
      <c r="J1206">
        <v>1757.11</v>
      </c>
      <c r="K1206">
        <v>356</v>
      </c>
      <c r="L1206" s="11" t="s">
        <v>993</v>
      </c>
      <c r="M1206">
        <f t="shared" si="91"/>
        <v>31</v>
      </c>
      <c r="N1206">
        <f t="shared" si="92"/>
        <v>8</v>
      </c>
      <c r="O1206">
        <f t="shared" si="93"/>
        <v>2023</v>
      </c>
      <c r="P1206" s="4">
        <f t="shared" si="94"/>
        <v>45169</v>
      </c>
      <c r="Q1206" t="s">
        <v>1138</v>
      </c>
      <c r="R1206" t="s">
        <v>1137</v>
      </c>
      <c r="S1206">
        <v>1</v>
      </c>
      <c r="T1206" t="s">
        <v>1141</v>
      </c>
      <c r="U1206" s="11" t="str">
        <f t="shared" si="95"/>
        <v>04:16:47 AM</v>
      </c>
      <c r="BL1206" s="2" t="s">
        <v>2356</v>
      </c>
    </row>
    <row r="1207" spans="1:64" x14ac:dyDescent="0.35">
      <c r="A1207">
        <v>2800</v>
      </c>
      <c r="B1207" t="s">
        <v>8</v>
      </c>
      <c r="C1207" s="1">
        <v>45293</v>
      </c>
      <c r="D1207" t="s">
        <v>6</v>
      </c>
      <c r="E1207" t="s">
        <v>33</v>
      </c>
      <c r="F1207">
        <v>2</v>
      </c>
      <c r="G1207">
        <v>1851.73</v>
      </c>
      <c r="H1207">
        <v>3703.46</v>
      </c>
      <c r="I1207">
        <v>0</v>
      </c>
      <c r="J1207">
        <v>3703.46</v>
      </c>
      <c r="K1207">
        <v>4</v>
      </c>
      <c r="L1207" s="11" t="s">
        <v>994</v>
      </c>
      <c r="M1207">
        <f t="shared" si="91"/>
        <v>2</v>
      </c>
      <c r="N1207">
        <f t="shared" si="92"/>
        <v>1</v>
      </c>
      <c r="O1207">
        <f t="shared" si="93"/>
        <v>2024</v>
      </c>
      <c r="P1207" s="4">
        <f t="shared" si="94"/>
        <v>45293</v>
      </c>
      <c r="Q1207" t="s">
        <v>1139</v>
      </c>
      <c r="R1207" t="s">
        <v>1137</v>
      </c>
      <c r="S1207">
        <v>5</v>
      </c>
      <c r="T1207" t="s">
        <v>1141</v>
      </c>
      <c r="U1207" s="11" t="str">
        <f t="shared" si="95"/>
        <v>09:59:32 AM</v>
      </c>
      <c r="BL1207" s="2" t="s">
        <v>2357</v>
      </c>
    </row>
    <row r="1208" spans="1:64" x14ac:dyDescent="0.35">
      <c r="A1208">
        <v>1310</v>
      </c>
      <c r="B1208" t="s">
        <v>0</v>
      </c>
      <c r="C1208" s="1">
        <v>45487</v>
      </c>
      <c r="D1208" t="s">
        <v>16</v>
      </c>
      <c r="E1208" t="s">
        <v>30</v>
      </c>
      <c r="F1208">
        <v>4</v>
      </c>
      <c r="G1208">
        <v>2369.65</v>
      </c>
      <c r="H1208">
        <v>9478.6</v>
      </c>
      <c r="I1208">
        <v>114.54</v>
      </c>
      <c r="J1208">
        <v>9364.06</v>
      </c>
      <c r="K1208">
        <v>218</v>
      </c>
      <c r="L1208" s="11" t="s">
        <v>995</v>
      </c>
      <c r="M1208">
        <f t="shared" si="91"/>
        <v>14</v>
      </c>
      <c r="N1208">
        <f t="shared" si="92"/>
        <v>7</v>
      </c>
      <c r="O1208">
        <f t="shared" si="93"/>
        <v>2024</v>
      </c>
      <c r="P1208" s="4">
        <f t="shared" si="94"/>
        <v>45487</v>
      </c>
      <c r="Q1208" t="s">
        <v>1138</v>
      </c>
      <c r="R1208" t="s">
        <v>1135</v>
      </c>
      <c r="S1208">
        <v>5</v>
      </c>
      <c r="T1208" t="s">
        <v>1144</v>
      </c>
      <c r="U1208" s="11" t="str">
        <f t="shared" si="95"/>
        <v>11:59:49 AM</v>
      </c>
      <c r="BL1208" s="2" t="s">
        <v>2358</v>
      </c>
    </row>
    <row r="1209" spans="1:64" x14ac:dyDescent="0.35">
      <c r="A1209">
        <v>6139</v>
      </c>
      <c r="B1209" t="s">
        <v>15</v>
      </c>
      <c r="C1209" s="1">
        <v>45470</v>
      </c>
      <c r="D1209" t="s">
        <v>23</v>
      </c>
      <c r="E1209" t="s">
        <v>29</v>
      </c>
      <c r="F1209">
        <v>1</v>
      </c>
      <c r="G1209">
        <v>2441.86</v>
      </c>
      <c r="H1209">
        <v>2441.86</v>
      </c>
      <c r="I1209">
        <v>227.42</v>
      </c>
      <c r="J1209">
        <v>2214.44</v>
      </c>
      <c r="K1209">
        <v>332</v>
      </c>
      <c r="L1209" s="11" t="s">
        <v>996</v>
      </c>
      <c r="M1209">
        <f t="shared" si="91"/>
        <v>27</v>
      </c>
      <c r="N1209">
        <f t="shared" si="92"/>
        <v>6</v>
      </c>
      <c r="O1209">
        <f t="shared" si="93"/>
        <v>2024</v>
      </c>
      <c r="P1209" s="4">
        <f t="shared" si="94"/>
        <v>45470</v>
      </c>
      <c r="Q1209" t="s">
        <v>1139</v>
      </c>
      <c r="R1209" t="s">
        <v>1137</v>
      </c>
      <c r="S1209">
        <v>2</v>
      </c>
      <c r="T1209" t="s">
        <v>1146</v>
      </c>
      <c r="U1209" s="11" t="str">
        <f t="shared" si="95"/>
        <v>12:56:22 PM</v>
      </c>
      <c r="BL1209" s="2" t="s">
        <v>2359</v>
      </c>
    </row>
    <row r="1210" spans="1:64" x14ac:dyDescent="0.35">
      <c r="A1210">
        <v>3481</v>
      </c>
      <c r="B1210" t="s">
        <v>8</v>
      </c>
      <c r="C1210" s="1">
        <v>45465</v>
      </c>
      <c r="D1210" t="s">
        <v>16</v>
      </c>
      <c r="E1210" t="s">
        <v>21</v>
      </c>
      <c r="F1210">
        <v>2</v>
      </c>
      <c r="G1210">
        <v>164.34</v>
      </c>
      <c r="H1210">
        <v>328.68</v>
      </c>
      <c r="I1210">
        <v>33.200000000000003</v>
      </c>
      <c r="J1210">
        <v>295.48</v>
      </c>
      <c r="K1210">
        <v>123</v>
      </c>
      <c r="L1210" s="11" t="s">
        <v>997</v>
      </c>
      <c r="M1210">
        <f t="shared" si="91"/>
        <v>22</v>
      </c>
      <c r="N1210">
        <f t="shared" si="92"/>
        <v>6</v>
      </c>
      <c r="O1210">
        <f t="shared" si="93"/>
        <v>2024</v>
      </c>
      <c r="P1210" s="4">
        <f t="shared" si="94"/>
        <v>45465</v>
      </c>
      <c r="Q1210" t="s">
        <v>1138</v>
      </c>
      <c r="R1210" t="s">
        <v>1137</v>
      </c>
      <c r="S1210">
        <v>2</v>
      </c>
      <c r="T1210" t="s">
        <v>1145</v>
      </c>
      <c r="U1210" s="11" t="str">
        <f t="shared" si="95"/>
        <v>09:42:06 PM</v>
      </c>
      <c r="BL1210" s="2" t="s">
        <v>2360</v>
      </c>
    </row>
    <row r="1211" spans="1:64" x14ac:dyDescent="0.35">
      <c r="A1211">
        <v>4340</v>
      </c>
      <c r="B1211" t="s">
        <v>19</v>
      </c>
      <c r="C1211" s="1">
        <v>45463</v>
      </c>
      <c r="D1211" t="s">
        <v>17</v>
      </c>
      <c r="E1211" t="s">
        <v>18</v>
      </c>
      <c r="F1211">
        <v>4</v>
      </c>
      <c r="G1211">
        <v>1949.67</v>
      </c>
      <c r="H1211">
        <v>7798.68</v>
      </c>
      <c r="I1211">
        <v>780.2</v>
      </c>
      <c r="J1211">
        <v>7018.48</v>
      </c>
      <c r="K1211">
        <v>407</v>
      </c>
      <c r="L1211" s="11" t="s">
        <v>998</v>
      </c>
      <c r="M1211">
        <f t="shared" si="91"/>
        <v>20</v>
      </c>
      <c r="N1211">
        <f t="shared" si="92"/>
        <v>6</v>
      </c>
      <c r="O1211">
        <f t="shared" si="93"/>
        <v>2024</v>
      </c>
      <c r="P1211" s="4">
        <f t="shared" si="94"/>
        <v>45463</v>
      </c>
      <c r="Q1211" t="s">
        <v>1138</v>
      </c>
      <c r="R1211" t="s">
        <v>1137</v>
      </c>
      <c r="S1211">
        <v>5</v>
      </c>
      <c r="T1211" t="s">
        <v>1148</v>
      </c>
      <c r="U1211" s="11" t="str">
        <f t="shared" si="95"/>
        <v>04:44:57 PM</v>
      </c>
      <c r="BL1211" s="2" t="s">
        <v>2361</v>
      </c>
    </row>
    <row r="1212" spans="1:64" x14ac:dyDescent="0.35">
      <c r="A1212">
        <v>9221</v>
      </c>
      <c r="B1212" t="s">
        <v>13</v>
      </c>
      <c r="C1212" s="1">
        <v>45746</v>
      </c>
      <c r="D1212" t="s">
        <v>24</v>
      </c>
      <c r="E1212" t="s">
        <v>22</v>
      </c>
      <c r="F1212">
        <v>3</v>
      </c>
      <c r="G1212">
        <v>110.39</v>
      </c>
      <c r="H1212">
        <v>331.17</v>
      </c>
      <c r="I1212">
        <v>245.68</v>
      </c>
      <c r="J1212">
        <v>85.49</v>
      </c>
      <c r="K1212">
        <v>59</v>
      </c>
      <c r="L1212" s="11" t="s">
        <v>999</v>
      </c>
      <c r="M1212">
        <f t="shared" si="91"/>
        <v>30</v>
      </c>
      <c r="N1212">
        <f t="shared" si="92"/>
        <v>3</v>
      </c>
      <c r="O1212">
        <f t="shared" si="93"/>
        <v>2025</v>
      </c>
      <c r="P1212" s="4">
        <f t="shared" si="94"/>
        <v>45746</v>
      </c>
      <c r="Q1212" t="s">
        <v>1138</v>
      </c>
      <c r="R1212" t="s">
        <v>1137</v>
      </c>
      <c r="S1212">
        <v>1</v>
      </c>
      <c r="T1212" t="s">
        <v>1149</v>
      </c>
      <c r="U1212" s="11" t="str">
        <f t="shared" si="95"/>
        <v>05:36:14 PM</v>
      </c>
      <c r="BL1212" s="2" t="s">
        <v>2362</v>
      </c>
    </row>
    <row r="1213" spans="1:64" x14ac:dyDescent="0.35">
      <c r="A1213">
        <v>8726</v>
      </c>
      <c r="B1213" t="s">
        <v>3</v>
      </c>
      <c r="C1213" s="1">
        <v>45822</v>
      </c>
      <c r="D1213" t="s">
        <v>6</v>
      </c>
      <c r="E1213" t="s">
        <v>28</v>
      </c>
      <c r="F1213">
        <v>5</v>
      </c>
      <c r="G1213">
        <v>1461.63</v>
      </c>
      <c r="H1213">
        <v>7308.15</v>
      </c>
      <c r="I1213">
        <v>1096.43</v>
      </c>
      <c r="J1213">
        <v>6211.72</v>
      </c>
      <c r="K1213">
        <v>293</v>
      </c>
      <c r="L1213" s="11" t="s">
        <v>1000</v>
      </c>
      <c r="M1213">
        <f t="shared" si="91"/>
        <v>14</v>
      </c>
      <c r="N1213">
        <f t="shared" si="92"/>
        <v>6</v>
      </c>
      <c r="O1213">
        <f t="shared" si="93"/>
        <v>2025</v>
      </c>
      <c r="P1213" s="4">
        <f t="shared" si="94"/>
        <v>45822</v>
      </c>
      <c r="Q1213" t="s">
        <v>1136</v>
      </c>
      <c r="R1213" t="s">
        <v>1137</v>
      </c>
      <c r="S1213">
        <v>3</v>
      </c>
      <c r="T1213" t="s">
        <v>1150</v>
      </c>
      <c r="U1213" s="11" t="str">
        <f t="shared" si="95"/>
        <v>04:42:19 PM</v>
      </c>
      <c r="BL1213" s="2" t="s">
        <v>2363</v>
      </c>
    </row>
    <row r="1214" spans="1:64" x14ac:dyDescent="0.35">
      <c r="A1214">
        <v>2020</v>
      </c>
      <c r="B1214" t="s">
        <v>0</v>
      </c>
      <c r="C1214" s="1">
        <v>45693</v>
      </c>
      <c r="D1214" t="s">
        <v>17</v>
      </c>
      <c r="E1214" t="s">
        <v>18</v>
      </c>
      <c r="F1214">
        <v>4</v>
      </c>
      <c r="G1214">
        <v>1247.49</v>
      </c>
      <c r="H1214">
        <v>4989.96</v>
      </c>
      <c r="I1214">
        <v>748.66</v>
      </c>
      <c r="J1214">
        <v>4241.3</v>
      </c>
      <c r="K1214">
        <v>330</v>
      </c>
      <c r="L1214" s="11" t="s">
        <v>1001</v>
      </c>
      <c r="M1214">
        <f t="shared" si="91"/>
        <v>5</v>
      </c>
      <c r="N1214">
        <f t="shared" si="92"/>
        <v>2</v>
      </c>
      <c r="O1214">
        <f t="shared" si="93"/>
        <v>2025</v>
      </c>
      <c r="P1214" s="4">
        <f t="shared" si="94"/>
        <v>45693</v>
      </c>
      <c r="Q1214" t="s">
        <v>1139</v>
      </c>
      <c r="R1214" t="s">
        <v>1135</v>
      </c>
      <c r="S1214">
        <v>3</v>
      </c>
      <c r="T1214" t="s">
        <v>1146</v>
      </c>
      <c r="U1214" s="11" t="str">
        <f t="shared" si="95"/>
        <v>10:40:31 PM</v>
      </c>
      <c r="BL1214" s="2" t="s">
        <v>2364</v>
      </c>
    </row>
    <row r="1215" spans="1:64" x14ac:dyDescent="0.35">
      <c r="A1215">
        <v>3262</v>
      </c>
      <c r="B1215" t="s">
        <v>8</v>
      </c>
      <c r="C1215" s="1">
        <v>45547</v>
      </c>
      <c r="D1215" t="s">
        <v>4</v>
      </c>
      <c r="E1215" t="s">
        <v>10</v>
      </c>
      <c r="F1215">
        <v>1</v>
      </c>
      <c r="G1215">
        <v>1800.27</v>
      </c>
      <c r="H1215">
        <v>1800.27</v>
      </c>
      <c r="I1215">
        <v>180.11</v>
      </c>
      <c r="J1215">
        <v>1620.16</v>
      </c>
      <c r="K1215">
        <v>441</v>
      </c>
      <c r="L1215" s="11" t="s">
        <v>1002</v>
      </c>
      <c r="M1215">
        <f t="shared" si="91"/>
        <v>12</v>
      </c>
      <c r="N1215">
        <f t="shared" si="92"/>
        <v>9</v>
      </c>
      <c r="O1215">
        <f t="shared" si="93"/>
        <v>2024</v>
      </c>
      <c r="P1215" s="4">
        <f t="shared" si="94"/>
        <v>45547</v>
      </c>
      <c r="Q1215" t="s">
        <v>1139</v>
      </c>
      <c r="R1215" t="s">
        <v>1135</v>
      </c>
      <c r="S1215">
        <v>1</v>
      </c>
      <c r="T1215" t="s">
        <v>1148</v>
      </c>
      <c r="U1215" s="11" t="str">
        <f t="shared" si="95"/>
        <v>02:01:04 AM</v>
      </c>
      <c r="BL1215" s="2" t="s">
        <v>2365</v>
      </c>
    </row>
    <row r="1216" spans="1:64" x14ac:dyDescent="0.35">
      <c r="A1216">
        <v>4397</v>
      </c>
      <c r="B1216" t="s">
        <v>20</v>
      </c>
      <c r="C1216" s="1">
        <v>45580</v>
      </c>
      <c r="D1216" t="s">
        <v>9</v>
      </c>
      <c r="E1216" t="s">
        <v>7</v>
      </c>
      <c r="F1216">
        <v>5</v>
      </c>
      <c r="G1216">
        <v>1967.93</v>
      </c>
      <c r="H1216">
        <v>9839.65</v>
      </c>
      <c r="I1216">
        <v>255.64</v>
      </c>
      <c r="J1216">
        <v>9584.01</v>
      </c>
      <c r="K1216">
        <v>271</v>
      </c>
      <c r="L1216" s="11" t="s">
        <v>1003</v>
      </c>
      <c r="M1216">
        <f t="shared" si="91"/>
        <v>15</v>
      </c>
      <c r="N1216">
        <f t="shared" si="92"/>
        <v>10</v>
      </c>
      <c r="O1216">
        <f t="shared" si="93"/>
        <v>2024</v>
      </c>
      <c r="P1216" s="4">
        <f t="shared" si="94"/>
        <v>45580</v>
      </c>
      <c r="Q1216" t="s">
        <v>1139</v>
      </c>
      <c r="R1216" t="s">
        <v>1137</v>
      </c>
      <c r="S1216">
        <v>3</v>
      </c>
      <c r="T1216" t="s">
        <v>1147</v>
      </c>
      <c r="U1216" s="11" t="str">
        <f t="shared" si="95"/>
        <v>03:20:28 PM</v>
      </c>
      <c r="BL1216" s="2" t="s">
        <v>2366</v>
      </c>
    </row>
    <row r="1217" spans="1:64" x14ac:dyDescent="0.35">
      <c r="A1217">
        <v>6325</v>
      </c>
      <c r="B1217" t="s">
        <v>3</v>
      </c>
      <c r="C1217" s="1">
        <v>45659</v>
      </c>
      <c r="D1217" t="s">
        <v>16</v>
      </c>
      <c r="E1217" t="s">
        <v>38</v>
      </c>
      <c r="F1217">
        <v>2</v>
      </c>
      <c r="G1217">
        <v>2406.17</v>
      </c>
      <c r="H1217">
        <v>4812.34</v>
      </c>
      <c r="I1217">
        <v>962.8</v>
      </c>
      <c r="J1217">
        <v>3849.54</v>
      </c>
      <c r="K1217">
        <v>459</v>
      </c>
      <c r="L1217" s="11" t="s">
        <v>1004</v>
      </c>
      <c r="M1217">
        <f t="shared" si="91"/>
        <v>2</v>
      </c>
      <c r="N1217">
        <f t="shared" si="92"/>
        <v>1</v>
      </c>
      <c r="O1217">
        <f t="shared" si="93"/>
        <v>2025</v>
      </c>
      <c r="P1217" s="4">
        <f t="shared" si="94"/>
        <v>45659</v>
      </c>
      <c r="Q1217" t="s">
        <v>1138</v>
      </c>
      <c r="R1217" t="s">
        <v>1137</v>
      </c>
      <c r="S1217">
        <v>4</v>
      </c>
      <c r="T1217" t="s">
        <v>1145</v>
      </c>
      <c r="U1217" s="11" t="str">
        <f t="shared" si="95"/>
        <v>05:47:02 PM</v>
      </c>
      <c r="BL1217" s="2" t="s">
        <v>2367</v>
      </c>
    </row>
    <row r="1218" spans="1:64" x14ac:dyDescent="0.35">
      <c r="A1218">
        <v>8837</v>
      </c>
      <c r="B1218" t="s">
        <v>8</v>
      </c>
      <c r="C1218" s="1">
        <v>45553</v>
      </c>
      <c r="D1218" t="s">
        <v>1</v>
      </c>
      <c r="E1218" t="s">
        <v>7</v>
      </c>
      <c r="F1218">
        <v>4</v>
      </c>
      <c r="G1218">
        <v>2008.6</v>
      </c>
      <c r="H1218">
        <v>8034.4</v>
      </c>
      <c r="I1218">
        <v>1606.88</v>
      </c>
      <c r="J1218">
        <v>6427.52</v>
      </c>
      <c r="K1218">
        <v>62</v>
      </c>
      <c r="L1218" s="11" t="s">
        <v>1005</v>
      </c>
      <c r="M1218">
        <f t="shared" ref="M1218:M1281" si="96">DAY(C1218)</f>
        <v>18</v>
      </c>
      <c r="N1218">
        <f t="shared" ref="N1218:N1281" si="97">MONTH(C1218)</f>
        <v>9</v>
      </c>
      <c r="O1218">
        <f t="shared" ref="O1218:O1281" si="98">YEAR(C1218)</f>
        <v>2024</v>
      </c>
      <c r="P1218" s="4">
        <f t="shared" si="94"/>
        <v>45553</v>
      </c>
      <c r="Q1218" t="s">
        <v>1139</v>
      </c>
      <c r="R1218" t="s">
        <v>1137</v>
      </c>
      <c r="S1218">
        <v>5</v>
      </c>
      <c r="T1218" t="s">
        <v>1148</v>
      </c>
      <c r="U1218" s="11" t="str">
        <f t="shared" si="95"/>
        <v>08:51:53 AM</v>
      </c>
      <c r="BL1218" s="2" t="s">
        <v>2368</v>
      </c>
    </row>
    <row r="1219" spans="1:64" x14ac:dyDescent="0.35">
      <c r="A1219">
        <v>7173</v>
      </c>
      <c r="B1219" t="s">
        <v>31</v>
      </c>
      <c r="C1219" s="1">
        <v>45388</v>
      </c>
      <c r="D1219" t="s">
        <v>16</v>
      </c>
      <c r="E1219" t="s">
        <v>18</v>
      </c>
      <c r="F1219">
        <v>1</v>
      </c>
      <c r="G1219">
        <v>1435.9</v>
      </c>
      <c r="H1219">
        <v>1435.9</v>
      </c>
      <c r="I1219">
        <v>408.36</v>
      </c>
      <c r="J1219">
        <v>1027.54</v>
      </c>
      <c r="K1219">
        <v>435</v>
      </c>
      <c r="L1219" s="11" t="s">
        <v>1006</v>
      </c>
      <c r="M1219">
        <f t="shared" si="96"/>
        <v>6</v>
      </c>
      <c r="N1219">
        <f t="shared" si="97"/>
        <v>4</v>
      </c>
      <c r="O1219">
        <f t="shared" si="98"/>
        <v>2024</v>
      </c>
      <c r="P1219" s="4">
        <f t="shared" ref="P1219:P1282" si="99">DATE(O1219,N1219,M1219)</f>
        <v>45388</v>
      </c>
      <c r="Q1219" t="s">
        <v>1139</v>
      </c>
      <c r="R1219" t="s">
        <v>1135</v>
      </c>
      <c r="S1219">
        <v>5</v>
      </c>
      <c r="T1219" t="s">
        <v>1141</v>
      </c>
      <c r="U1219" s="11" t="str">
        <f t="shared" si="95"/>
        <v>07:00:22 PM</v>
      </c>
      <c r="BL1219" s="2" t="s">
        <v>2369</v>
      </c>
    </row>
    <row r="1220" spans="1:64" x14ac:dyDescent="0.35">
      <c r="A1220">
        <v>3837</v>
      </c>
      <c r="B1220" t="s">
        <v>3</v>
      </c>
      <c r="C1220" s="1">
        <v>45502</v>
      </c>
      <c r="D1220" t="s">
        <v>24</v>
      </c>
      <c r="E1220" t="s">
        <v>12</v>
      </c>
      <c r="F1220">
        <v>5</v>
      </c>
      <c r="G1220">
        <v>495.51</v>
      </c>
      <c r="H1220">
        <v>2477.5500000000002</v>
      </c>
      <c r="I1220">
        <v>495.51</v>
      </c>
      <c r="J1220">
        <v>1982.04</v>
      </c>
      <c r="K1220">
        <v>500</v>
      </c>
      <c r="L1220" s="11" t="s">
        <v>1007</v>
      </c>
      <c r="M1220">
        <f t="shared" si="96"/>
        <v>29</v>
      </c>
      <c r="N1220">
        <f t="shared" si="97"/>
        <v>7</v>
      </c>
      <c r="O1220">
        <f t="shared" si="98"/>
        <v>2024</v>
      </c>
      <c r="P1220" s="4">
        <f t="shared" si="99"/>
        <v>45502</v>
      </c>
      <c r="Q1220" t="s">
        <v>1138</v>
      </c>
      <c r="R1220" t="s">
        <v>1135</v>
      </c>
      <c r="S1220">
        <v>1</v>
      </c>
      <c r="T1220" t="s">
        <v>1149</v>
      </c>
      <c r="U1220" s="11" t="str">
        <f t="shared" si="95"/>
        <v>11:22:42 PM</v>
      </c>
      <c r="BL1220" s="2" t="s">
        <v>2370</v>
      </c>
    </row>
    <row r="1221" spans="1:64" x14ac:dyDescent="0.35">
      <c r="A1221">
        <v>9734</v>
      </c>
      <c r="B1221" t="s">
        <v>19</v>
      </c>
      <c r="C1221" s="1">
        <v>45410</v>
      </c>
      <c r="D1221" t="s">
        <v>1</v>
      </c>
      <c r="E1221" t="s">
        <v>36</v>
      </c>
      <c r="F1221">
        <v>3</v>
      </c>
      <c r="G1221">
        <v>1669.13</v>
      </c>
      <c r="H1221">
        <v>5007.3900000000003</v>
      </c>
      <c r="I1221">
        <v>245.68</v>
      </c>
      <c r="J1221">
        <v>4761.71</v>
      </c>
      <c r="K1221">
        <v>227</v>
      </c>
      <c r="L1221" s="11" t="s">
        <v>1008</v>
      </c>
      <c r="M1221">
        <f t="shared" si="96"/>
        <v>28</v>
      </c>
      <c r="N1221">
        <f t="shared" si="97"/>
        <v>4</v>
      </c>
      <c r="O1221">
        <f t="shared" si="98"/>
        <v>2024</v>
      </c>
      <c r="P1221" s="4">
        <f t="shared" si="99"/>
        <v>45410</v>
      </c>
      <c r="Q1221" t="s">
        <v>1134</v>
      </c>
      <c r="R1221" t="s">
        <v>1137</v>
      </c>
      <c r="S1221">
        <v>3</v>
      </c>
      <c r="T1221" t="s">
        <v>1147</v>
      </c>
      <c r="U1221" s="11" t="str">
        <f t="shared" si="95"/>
        <v>03:13:05 AM</v>
      </c>
      <c r="BL1221" s="2" t="s">
        <v>2371</v>
      </c>
    </row>
    <row r="1222" spans="1:64" x14ac:dyDescent="0.35">
      <c r="A1222">
        <v>9950</v>
      </c>
      <c r="B1222" t="s">
        <v>25</v>
      </c>
      <c r="C1222" s="1">
        <v>45420</v>
      </c>
      <c r="D1222" t="s">
        <v>27</v>
      </c>
      <c r="E1222" t="s">
        <v>12</v>
      </c>
      <c r="F1222">
        <v>5</v>
      </c>
      <c r="G1222">
        <v>1377.8</v>
      </c>
      <c r="H1222">
        <v>6889</v>
      </c>
      <c r="I1222">
        <v>0</v>
      </c>
      <c r="J1222">
        <v>6889</v>
      </c>
      <c r="K1222">
        <v>107</v>
      </c>
      <c r="L1222" s="11" t="s">
        <v>1009</v>
      </c>
      <c r="M1222">
        <f t="shared" si="96"/>
        <v>8</v>
      </c>
      <c r="N1222">
        <f t="shared" si="97"/>
        <v>5</v>
      </c>
      <c r="O1222">
        <f t="shared" si="98"/>
        <v>2024</v>
      </c>
      <c r="P1222" s="4">
        <f t="shared" si="99"/>
        <v>45420</v>
      </c>
      <c r="Q1222" t="s">
        <v>1138</v>
      </c>
      <c r="R1222" t="s">
        <v>1135</v>
      </c>
      <c r="S1222">
        <v>2</v>
      </c>
      <c r="T1222" t="s">
        <v>1148</v>
      </c>
      <c r="U1222" s="11" t="str">
        <f t="shared" si="95"/>
        <v>01:00:13 AM</v>
      </c>
      <c r="BL1222" s="2" t="s">
        <v>2372</v>
      </c>
    </row>
    <row r="1223" spans="1:64" x14ac:dyDescent="0.35">
      <c r="A1223">
        <v>5331</v>
      </c>
      <c r="B1223" t="s">
        <v>20</v>
      </c>
      <c r="C1223" s="1">
        <v>45618</v>
      </c>
      <c r="D1223" t="s">
        <v>6</v>
      </c>
      <c r="E1223" t="s">
        <v>29</v>
      </c>
      <c r="F1223">
        <v>2</v>
      </c>
      <c r="G1223">
        <v>423.3</v>
      </c>
      <c r="H1223">
        <v>846.6</v>
      </c>
      <c r="I1223">
        <v>169.32</v>
      </c>
      <c r="J1223">
        <v>677.28</v>
      </c>
      <c r="K1223">
        <v>438</v>
      </c>
      <c r="L1223" s="11" t="s">
        <v>1010</v>
      </c>
      <c r="M1223">
        <f t="shared" si="96"/>
        <v>22</v>
      </c>
      <c r="N1223">
        <f t="shared" si="97"/>
        <v>11</v>
      </c>
      <c r="O1223">
        <f t="shared" si="98"/>
        <v>2024</v>
      </c>
      <c r="P1223" s="4">
        <f t="shared" si="99"/>
        <v>45618</v>
      </c>
      <c r="Q1223" t="s">
        <v>1139</v>
      </c>
      <c r="R1223" t="s">
        <v>1135</v>
      </c>
      <c r="S1223">
        <v>2</v>
      </c>
      <c r="T1223" t="s">
        <v>1143</v>
      </c>
      <c r="U1223" s="11" t="str">
        <f t="shared" si="95"/>
        <v>08:44:55 PM</v>
      </c>
      <c r="BL1223" s="2" t="s">
        <v>2373</v>
      </c>
    </row>
    <row r="1224" spans="1:64" x14ac:dyDescent="0.35">
      <c r="A1224">
        <v>8932</v>
      </c>
      <c r="B1224" t="s">
        <v>3</v>
      </c>
      <c r="C1224" s="1">
        <v>45294</v>
      </c>
      <c r="D1224" t="s">
        <v>6</v>
      </c>
      <c r="E1224" t="s">
        <v>12</v>
      </c>
      <c r="F1224">
        <v>3</v>
      </c>
      <c r="G1224">
        <v>391.76</v>
      </c>
      <c r="H1224">
        <v>1175.28</v>
      </c>
      <c r="I1224">
        <v>265.60000000000002</v>
      </c>
      <c r="J1224">
        <v>909.68</v>
      </c>
      <c r="K1224">
        <v>318</v>
      </c>
      <c r="L1224" s="11" t="s">
        <v>1011</v>
      </c>
      <c r="M1224">
        <f t="shared" si="96"/>
        <v>3</v>
      </c>
      <c r="N1224">
        <f t="shared" si="97"/>
        <v>1</v>
      </c>
      <c r="O1224">
        <f t="shared" si="98"/>
        <v>2024</v>
      </c>
      <c r="P1224" s="4">
        <f t="shared" si="99"/>
        <v>45294</v>
      </c>
      <c r="Q1224" t="s">
        <v>1138</v>
      </c>
      <c r="R1224" t="s">
        <v>1137</v>
      </c>
      <c r="S1224">
        <v>3</v>
      </c>
      <c r="T1224" t="s">
        <v>1142</v>
      </c>
      <c r="U1224" s="11" t="str">
        <f t="shared" si="95"/>
        <v>01:08:30 AM</v>
      </c>
      <c r="BL1224" s="2" t="s">
        <v>2374</v>
      </c>
    </row>
    <row r="1225" spans="1:64" x14ac:dyDescent="0.35">
      <c r="A1225">
        <v>5038</v>
      </c>
      <c r="B1225" t="s">
        <v>19</v>
      </c>
      <c r="C1225" s="1">
        <v>45361</v>
      </c>
      <c r="D1225" t="s">
        <v>9</v>
      </c>
      <c r="E1225" t="s">
        <v>18</v>
      </c>
      <c r="F1225">
        <v>4</v>
      </c>
      <c r="G1225">
        <v>1180.26</v>
      </c>
      <c r="H1225">
        <v>4721.04</v>
      </c>
      <c r="I1225">
        <v>0</v>
      </c>
      <c r="J1225">
        <v>4721.04</v>
      </c>
      <c r="K1225">
        <v>483</v>
      </c>
      <c r="L1225" s="11" t="s">
        <v>1012</v>
      </c>
      <c r="M1225">
        <f t="shared" si="96"/>
        <v>10</v>
      </c>
      <c r="N1225">
        <f t="shared" si="97"/>
        <v>3</v>
      </c>
      <c r="O1225">
        <f t="shared" si="98"/>
        <v>2024</v>
      </c>
      <c r="P1225" s="4">
        <f t="shared" si="99"/>
        <v>45361</v>
      </c>
      <c r="Q1225" t="s">
        <v>1134</v>
      </c>
      <c r="R1225" t="s">
        <v>1135</v>
      </c>
      <c r="S1225">
        <v>2</v>
      </c>
      <c r="T1225" t="s">
        <v>1150</v>
      </c>
      <c r="U1225" s="11" t="str">
        <f t="shared" si="95"/>
        <v>09:47:21 PM</v>
      </c>
      <c r="BL1225" s="2" t="s">
        <v>2375</v>
      </c>
    </row>
    <row r="1226" spans="1:64" x14ac:dyDescent="0.35">
      <c r="A1226">
        <v>5890</v>
      </c>
      <c r="B1226" t="s">
        <v>13</v>
      </c>
      <c r="C1226" s="1">
        <v>45319</v>
      </c>
      <c r="D1226" t="s">
        <v>23</v>
      </c>
      <c r="E1226" t="s">
        <v>7</v>
      </c>
      <c r="F1226">
        <v>2</v>
      </c>
      <c r="G1226">
        <v>252.32</v>
      </c>
      <c r="H1226">
        <v>504.64</v>
      </c>
      <c r="I1226">
        <v>0</v>
      </c>
      <c r="J1226">
        <v>504.64</v>
      </c>
      <c r="K1226">
        <v>375</v>
      </c>
      <c r="L1226" s="11" t="s">
        <v>1013</v>
      </c>
      <c r="M1226">
        <f t="shared" si="96"/>
        <v>28</v>
      </c>
      <c r="N1226">
        <f t="shared" si="97"/>
        <v>1</v>
      </c>
      <c r="O1226">
        <f t="shared" si="98"/>
        <v>2024</v>
      </c>
      <c r="P1226" s="4">
        <f t="shared" si="99"/>
        <v>45319</v>
      </c>
      <c r="Q1226" t="s">
        <v>1138</v>
      </c>
      <c r="R1226" t="s">
        <v>1135</v>
      </c>
      <c r="S1226">
        <v>1</v>
      </c>
      <c r="T1226" t="s">
        <v>1144</v>
      </c>
      <c r="U1226" s="11" t="str">
        <f t="shared" si="95"/>
        <v>05:33:57 PM</v>
      </c>
      <c r="BL1226" s="2" t="s">
        <v>2376</v>
      </c>
    </row>
    <row r="1227" spans="1:64" x14ac:dyDescent="0.35">
      <c r="A1227">
        <v>5876</v>
      </c>
      <c r="B1227" t="s">
        <v>31</v>
      </c>
      <c r="C1227" s="1">
        <v>45743</v>
      </c>
      <c r="D1227" t="s">
        <v>11</v>
      </c>
      <c r="E1227" t="s">
        <v>36</v>
      </c>
      <c r="F1227">
        <v>5</v>
      </c>
      <c r="G1227">
        <v>477.25</v>
      </c>
      <c r="H1227">
        <v>2386.25</v>
      </c>
      <c r="I1227">
        <v>357.73</v>
      </c>
      <c r="J1227">
        <v>2028.52</v>
      </c>
      <c r="K1227">
        <v>420</v>
      </c>
      <c r="L1227" s="11" t="s">
        <v>1014</v>
      </c>
      <c r="M1227">
        <f t="shared" si="96"/>
        <v>27</v>
      </c>
      <c r="N1227">
        <f t="shared" si="97"/>
        <v>3</v>
      </c>
      <c r="O1227">
        <f t="shared" si="98"/>
        <v>2025</v>
      </c>
      <c r="P1227" s="4">
        <f t="shared" si="99"/>
        <v>45743</v>
      </c>
      <c r="Q1227" t="s">
        <v>1139</v>
      </c>
      <c r="R1227" t="s">
        <v>1137</v>
      </c>
      <c r="S1227">
        <v>1</v>
      </c>
      <c r="T1227" t="s">
        <v>1149</v>
      </c>
      <c r="U1227" s="11" t="str">
        <f t="shared" si="95"/>
        <v>04:59:17 AM</v>
      </c>
      <c r="BL1227" s="2" t="s">
        <v>2377</v>
      </c>
    </row>
    <row r="1228" spans="1:64" x14ac:dyDescent="0.35">
      <c r="A1228">
        <v>5735</v>
      </c>
      <c r="B1228" t="s">
        <v>13</v>
      </c>
      <c r="C1228" s="1">
        <v>45692</v>
      </c>
      <c r="D1228" t="s">
        <v>9</v>
      </c>
      <c r="E1228" t="s">
        <v>28</v>
      </c>
      <c r="F1228">
        <v>5</v>
      </c>
      <c r="G1228">
        <v>678.11</v>
      </c>
      <c r="H1228">
        <v>3390.55</v>
      </c>
      <c r="I1228">
        <v>119.52</v>
      </c>
      <c r="J1228">
        <v>3271.03</v>
      </c>
      <c r="K1228">
        <v>138</v>
      </c>
      <c r="L1228" s="11" t="s">
        <v>1015</v>
      </c>
      <c r="M1228">
        <f t="shared" si="96"/>
        <v>4</v>
      </c>
      <c r="N1228">
        <f t="shared" si="97"/>
        <v>2</v>
      </c>
      <c r="O1228">
        <f t="shared" si="98"/>
        <v>2025</v>
      </c>
      <c r="P1228" s="4">
        <f t="shared" si="99"/>
        <v>45692</v>
      </c>
      <c r="Q1228" t="s">
        <v>1134</v>
      </c>
      <c r="R1228" t="s">
        <v>1135</v>
      </c>
      <c r="S1228">
        <v>3</v>
      </c>
      <c r="T1228" t="s">
        <v>1149</v>
      </c>
      <c r="U1228" s="11" t="str">
        <f t="shared" si="95"/>
        <v>02:38:54 PM</v>
      </c>
      <c r="BL1228" s="2" t="s">
        <v>2378</v>
      </c>
    </row>
    <row r="1229" spans="1:64" x14ac:dyDescent="0.35">
      <c r="A1229">
        <v>4396</v>
      </c>
      <c r="B1229" t="s">
        <v>3</v>
      </c>
      <c r="C1229" s="1">
        <v>45681</v>
      </c>
      <c r="D1229" t="s">
        <v>9</v>
      </c>
      <c r="E1229" t="s">
        <v>32</v>
      </c>
      <c r="F1229">
        <v>3</v>
      </c>
      <c r="G1229">
        <v>1623.48</v>
      </c>
      <c r="H1229">
        <v>4870.4399999999996</v>
      </c>
      <c r="I1229">
        <v>730.4</v>
      </c>
      <c r="J1229">
        <v>4140.04</v>
      </c>
      <c r="K1229">
        <v>185</v>
      </c>
      <c r="L1229" s="11" t="s">
        <v>1016</v>
      </c>
      <c r="M1229">
        <f t="shared" si="96"/>
        <v>24</v>
      </c>
      <c r="N1229">
        <f t="shared" si="97"/>
        <v>1</v>
      </c>
      <c r="O1229">
        <f t="shared" si="98"/>
        <v>2025</v>
      </c>
      <c r="P1229" s="4">
        <f t="shared" si="99"/>
        <v>45681</v>
      </c>
      <c r="Q1229" t="s">
        <v>1136</v>
      </c>
      <c r="R1229" t="s">
        <v>1135</v>
      </c>
      <c r="S1229">
        <v>2</v>
      </c>
      <c r="T1229" t="s">
        <v>1144</v>
      </c>
      <c r="U1229" s="11" t="str">
        <f t="shared" si="95"/>
        <v>01:09:50 AM</v>
      </c>
      <c r="BL1229" s="2" t="s">
        <v>2379</v>
      </c>
    </row>
    <row r="1230" spans="1:64" x14ac:dyDescent="0.35">
      <c r="A1230">
        <v>9011</v>
      </c>
      <c r="B1230" t="s">
        <v>8</v>
      </c>
      <c r="C1230" s="1">
        <v>45391</v>
      </c>
      <c r="D1230" t="s">
        <v>6</v>
      </c>
      <c r="E1230" t="s">
        <v>2</v>
      </c>
      <c r="F1230">
        <v>1</v>
      </c>
      <c r="G1230">
        <v>317.89</v>
      </c>
      <c r="H1230">
        <v>317.89</v>
      </c>
      <c r="I1230">
        <v>31.54</v>
      </c>
      <c r="J1230">
        <v>286.35000000000002</v>
      </c>
      <c r="K1230">
        <v>496</v>
      </c>
      <c r="L1230" s="11" t="s">
        <v>1017</v>
      </c>
      <c r="M1230">
        <f t="shared" si="96"/>
        <v>9</v>
      </c>
      <c r="N1230">
        <f t="shared" si="97"/>
        <v>4</v>
      </c>
      <c r="O1230">
        <f t="shared" si="98"/>
        <v>2024</v>
      </c>
      <c r="P1230" s="4">
        <f t="shared" si="99"/>
        <v>45391</v>
      </c>
      <c r="Q1230" t="s">
        <v>1139</v>
      </c>
      <c r="R1230" t="s">
        <v>1137</v>
      </c>
      <c r="S1230">
        <v>1</v>
      </c>
      <c r="T1230" t="s">
        <v>1150</v>
      </c>
      <c r="U1230" s="11" t="str">
        <f t="shared" si="95"/>
        <v>05:34:49 PM</v>
      </c>
      <c r="BL1230" s="2" t="s">
        <v>2380</v>
      </c>
    </row>
    <row r="1231" spans="1:64" x14ac:dyDescent="0.35">
      <c r="A1231">
        <v>8861</v>
      </c>
      <c r="B1231" t="s">
        <v>0</v>
      </c>
      <c r="C1231" s="1">
        <v>45415</v>
      </c>
      <c r="D1231" t="s">
        <v>4</v>
      </c>
      <c r="E1231" t="s">
        <v>18</v>
      </c>
      <c r="F1231">
        <v>5</v>
      </c>
      <c r="G1231">
        <v>1835.13</v>
      </c>
      <c r="H1231">
        <v>9175.65</v>
      </c>
      <c r="I1231">
        <v>258.95999999999998</v>
      </c>
      <c r="J1231">
        <v>8916.69</v>
      </c>
      <c r="K1231">
        <v>156</v>
      </c>
      <c r="L1231" s="11" t="s">
        <v>1018</v>
      </c>
      <c r="M1231">
        <f t="shared" si="96"/>
        <v>3</v>
      </c>
      <c r="N1231">
        <f t="shared" si="97"/>
        <v>5</v>
      </c>
      <c r="O1231">
        <f t="shared" si="98"/>
        <v>2024</v>
      </c>
      <c r="P1231" s="4">
        <f t="shared" si="99"/>
        <v>45415</v>
      </c>
      <c r="Q1231" t="s">
        <v>1134</v>
      </c>
      <c r="R1231" t="s">
        <v>1135</v>
      </c>
      <c r="S1231">
        <v>1</v>
      </c>
      <c r="T1231" t="s">
        <v>1141</v>
      </c>
      <c r="U1231" s="11" t="str">
        <f t="shared" si="95"/>
        <v>02:28:49 AM</v>
      </c>
      <c r="BL1231" s="2" t="s">
        <v>2381</v>
      </c>
    </row>
    <row r="1232" spans="1:64" x14ac:dyDescent="0.35">
      <c r="A1232">
        <v>5480</v>
      </c>
      <c r="B1232" t="s">
        <v>19</v>
      </c>
      <c r="C1232" s="1">
        <v>45368</v>
      </c>
      <c r="D1232" t="s">
        <v>27</v>
      </c>
      <c r="E1232" t="s">
        <v>2</v>
      </c>
      <c r="F1232">
        <v>5</v>
      </c>
      <c r="G1232">
        <v>320.38</v>
      </c>
      <c r="H1232">
        <v>1601.9</v>
      </c>
      <c r="I1232">
        <v>240.7</v>
      </c>
      <c r="J1232">
        <v>1361.2</v>
      </c>
      <c r="K1232">
        <v>24</v>
      </c>
      <c r="L1232" s="11" t="s">
        <v>1019</v>
      </c>
      <c r="M1232">
        <f t="shared" si="96"/>
        <v>17</v>
      </c>
      <c r="N1232">
        <f t="shared" si="97"/>
        <v>3</v>
      </c>
      <c r="O1232">
        <f t="shared" si="98"/>
        <v>2024</v>
      </c>
      <c r="P1232" s="4">
        <f t="shared" si="99"/>
        <v>45368</v>
      </c>
      <c r="Q1232" t="s">
        <v>1134</v>
      </c>
      <c r="R1232" t="s">
        <v>1135</v>
      </c>
      <c r="S1232">
        <v>4</v>
      </c>
      <c r="T1232" t="s">
        <v>1150</v>
      </c>
      <c r="U1232" s="11" t="str">
        <f t="shared" si="95"/>
        <v>09:27:50 PM</v>
      </c>
      <c r="BL1232" s="2" t="s">
        <v>2382</v>
      </c>
    </row>
    <row r="1233" spans="1:64" x14ac:dyDescent="0.35">
      <c r="A1233">
        <v>2996</v>
      </c>
      <c r="B1233" t="s">
        <v>13</v>
      </c>
      <c r="C1233" s="1">
        <v>45590</v>
      </c>
      <c r="D1233" t="s">
        <v>23</v>
      </c>
      <c r="E1233" t="s">
        <v>12</v>
      </c>
      <c r="F1233">
        <v>5</v>
      </c>
      <c r="G1233">
        <v>1410.17</v>
      </c>
      <c r="H1233">
        <v>7050.85</v>
      </c>
      <c r="I1233">
        <v>705.5</v>
      </c>
      <c r="J1233">
        <v>6345.35</v>
      </c>
      <c r="K1233">
        <v>451</v>
      </c>
      <c r="L1233" s="11" t="s">
        <v>1020</v>
      </c>
      <c r="M1233">
        <f t="shared" si="96"/>
        <v>25</v>
      </c>
      <c r="N1233">
        <f t="shared" si="97"/>
        <v>10</v>
      </c>
      <c r="O1233">
        <f t="shared" si="98"/>
        <v>2024</v>
      </c>
      <c r="P1233" s="4">
        <f t="shared" si="99"/>
        <v>45590</v>
      </c>
      <c r="Q1233" t="s">
        <v>1136</v>
      </c>
      <c r="R1233" t="s">
        <v>1137</v>
      </c>
      <c r="S1233">
        <v>4</v>
      </c>
      <c r="T1233" t="s">
        <v>1146</v>
      </c>
      <c r="U1233" s="11" t="str">
        <f t="shared" si="95"/>
        <v>12:14:21 PM</v>
      </c>
      <c r="BL1233" s="2" t="s">
        <v>2383</v>
      </c>
    </row>
    <row r="1234" spans="1:64" x14ac:dyDescent="0.35">
      <c r="A1234">
        <v>9899</v>
      </c>
      <c r="B1234" t="s">
        <v>8</v>
      </c>
      <c r="C1234" s="1">
        <v>45439</v>
      </c>
      <c r="D1234" t="s">
        <v>24</v>
      </c>
      <c r="E1234" t="s">
        <v>28</v>
      </c>
      <c r="F1234">
        <v>5</v>
      </c>
      <c r="G1234">
        <v>1798.61</v>
      </c>
      <c r="H1234">
        <v>8993.0499999999993</v>
      </c>
      <c r="I1234">
        <v>1798.61</v>
      </c>
      <c r="J1234">
        <v>7194.44</v>
      </c>
      <c r="K1234">
        <v>336</v>
      </c>
      <c r="L1234" s="11" t="s">
        <v>1021</v>
      </c>
      <c r="M1234">
        <f t="shared" si="96"/>
        <v>27</v>
      </c>
      <c r="N1234">
        <f t="shared" si="97"/>
        <v>5</v>
      </c>
      <c r="O1234">
        <f t="shared" si="98"/>
        <v>2024</v>
      </c>
      <c r="P1234" s="4">
        <f t="shared" si="99"/>
        <v>45439</v>
      </c>
      <c r="Q1234" t="s">
        <v>1138</v>
      </c>
      <c r="R1234" t="s">
        <v>1137</v>
      </c>
      <c r="S1234">
        <v>1</v>
      </c>
      <c r="T1234" t="s">
        <v>1150</v>
      </c>
      <c r="U1234" s="11" t="str">
        <f t="shared" si="95"/>
        <v>05:49:38 PM</v>
      </c>
      <c r="BL1234" s="2" t="s">
        <v>2384</v>
      </c>
    </row>
    <row r="1235" spans="1:64" x14ac:dyDescent="0.35">
      <c r="A1235">
        <v>7464</v>
      </c>
      <c r="B1235" t="s">
        <v>13</v>
      </c>
      <c r="C1235" s="1">
        <v>45780</v>
      </c>
      <c r="D1235" t="s">
        <v>17</v>
      </c>
      <c r="E1235" t="s">
        <v>2</v>
      </c>
      <c r="F1235">
        <v>1</v>
      </c>
      <c r="G1235">
        <v>2292.46</v>
      </c>
      <c r="H1235">
        <v>2292.46</v>
      </c>
      <c r="I1235">
        <v>0</v>
      </c>
      <c r="J1235">
        <v>2292.46</v>
      </c>
      <c r="K1235">
        <v>327</v>
      </c>
      <c r="L1235" s="11" t="s">
        <v>1022</v>
      </c>
      <c r="M1235">
        <f t="shared" si="96"/>
        <v>3</v>
      </c>
      <c r="N1235">
        <f t="shared" si="97"/>
        <v>5</v>
      </c>
      <c r="O1235">
        <f t="shared" si="98"/>
        <v>2025</v>
      </c>
      <c r="P1235" s="4">
        <f t="shared" si="99"/>
        <v>45780</v>
      </c>
      <c r="Q1235" t="s">
        <v>1138</v>
      </c>
      <c r="R1235" t="s">
        <v>1137</v>
      </c>
      <c r="S1235">
        <v>3</v>
      </c>
      <c r="T1235" t="s">
        <v>1142</v>
      </c>
      <c r="U1235" s="11" t="str">
        <f t="shared" si="95"/>
        <v>07:35:28 PM</v>
      </c>
      <c r="BL1235" s="2" t="s">
        <v>2385</v>
      </c>
    </row>
    <row r="1236" spans="1:64" x14ac:dyDescent="0.35">
      <c r="A1236">
        <v>6654</v>
      </c>
      <c r="B1236" t="s">
        <v>31</v>
      </c>
      <c r="C1236" s="1">
        <v>45745</v>
      </c>
      <c r="D1236" t="s">
        <v>16</v>
      </c>
      <c r="E1236" t="s">
        <v>5</v>
      </c>
      <c r="F1236">
        <v>4</v>
      </c>
      <c r="G1236">
        <v>522.9</v>
      </c>
      <c r="H1236">
        <v>2091.6</v>
      </c>
      <c r="I1236">
        <v>178.45</v>
      </c>
      <c r="J1236">
        <v>1913.15</v>
      </c>
      <c r="K1236">
        <v>181</v>
      </c>
      <c r="L1236" s="11" t="s">
        <v>1023</v>
      </c>
      <c r="M1236">
        <f t="shared" si="96"/>
        <v>29</v>
      </c>
      <c r="N1236">
        <f t="shared" si="97"/>
        <v>3</v>
      </c>
      <c r="O1236">
        <f t="shared" si="98"/>
        <v>2025</v>
      </c>
      <c r="P1236" s="4">
        <f t="shared" si="99"/>
        <v>45745</v>
      </c>
      <c r="Q1236" t="s">
        <v>1139</v>
      </c>
      <c r="R1236" t="s">
        <v>1135</v>
      </c>
      <c r="S1236">
        <v>5</v>
      </c>
      <c r="T1236" t="s">
        <v>1148</v>
      </c>
      <c r="U1236" s="11" t="str">
        <f t="shared" si="95"/>
        <v>04:58:31 AM</v>
      </c>
      <c r="BL1236" s="2" t="s">
        <v>2386</v>
      </c>
    </row>
    <row r="1237" spans="1:64" x14ac:dyDescent="0.35">
      <c r="A1237">
        <v>3399</v>
      </c>
      <c r="B1237" t="s">
        <v>13</v>
      </c>
      <c r="C1237" s="1">
        <v>45370</v>
      </c>
      <c r="D1237" t="s">
        <v>27</v>
      </c>
      <c r="E1237" t="s">
        <v>14</v>
      </c>
      <c r="F1237">
        <v>3</v>
      </c>
      <c r="G1237">
        <v>1611.86</v>
      </c>
      <c r="H1237">
        <v>4835.58</v>
      </c>
      <c r="I1237">
        <v>483.89</v>
      </c>
      <c r="J1237">
        <v>4351.6899999999996</v>
      </c>
      <c r="K1237">
        <v>44</v>
      </c>
      <c r="L1237" s="11" t="s">
        <v>1024</v>
      </c>
      <c r="M1237">
        <f t="shared" si="96"/>
        <v>19</v>
      </c>
      <c r="N1237">
        <f t="shared" si="97"/>
        <v>3</v>
      </c>
      <c r="O1237">
        <f t="shared" si="98"/>
        <v>2024</v>
      </c>
      <c r="P1237" s="4">
        <f t="shared" si="99"/>
        <v>45370</v>
      </c>
      <c r="Q1237" t="s">
        <v>1136</v>
      </c>
      <c r="R1237" t="s">
        <v>1137</v>
      </c>
      <c r="S1237">
        <v>5</v>
      </c>
      <c r="T1237" t="s">
        <v>1143</v>
      </c>
      <c r="U1237" s="11" t="str">
        <f t="shared" si="95"/>
        <v>06:13:39 PM</v>
      </c>
      <c r="BL1237" s="2" t="s">
        <v>2387</v>
      </c>
    </row>
    <row r="1238" spans="1:64" x14ac:dyDescent="0.35">
      <c r="A1238">
        <v>1689</v>
      </c>
      <c r="B1238" t="s">
        <v>25</v>
      </c>
      <c r="C1238" s="1">
        <v>45368</v>
      </c>
      <c r="D1238" t="s">
        <v>4</v>
      </c>
      <c r="E1238" t="s">
        <v>32</v>
      </c>
      <c r="F1238">
        <v>1</v>
      </c>
      <c r="G1238">
        <v>1839.28</v>
      </c>
      <c r="H1238">
        <v>1839.28</v>
      </c>
      <c r="I1238">
        <v>367.69</v>
      </c>
      <c r="J1238">
        <v>1471.59</v>
      </c>
      <c r="K1238">
        <v>483</v>
      </c>
      <c r="L1238" s="11" t="s">
        <v>1025</v>
      </c>
      <c r="M1238">
        <f t="shared" si="96"/>
        <v>17</v>
      </c>
      <c r="N1238">
        <f t="shared" si="97"/>
        <v>3</v>
      </c>
      <c r="O1238">
        <f t="shared" si="98"/>
        <v>2024</v>
      </c>
      <c r="P1238" s="4">
        <f t="shared" si="99"/>
        <v>45368</v>
      </c>
      <c r="Q1238" t="s">
        <v>1138</v>
      </c>
      <c r="R1238" t="s">
        <v>1135</v>
      </c>
      <c r="S1238">
        <v>1</v>
      </c>
      <c r="T1238" t="s">
        <v>1144</v>
      </c>
      <c r="U1238" s="11" t="str">
        <f t="shared" si="95"/>
        <v>11:35:37 PM</v>
      </c>
      <c r="BL1238" s="2" t="s">
        <v>2388</v>
      </c>
    </row>
    <row r="1239" spans="1:64" x14ac:dyDescent="0.35">
      <c r="A1239">
        <v>2294</v>
      </c>
      <c r="B1239" t="s">
        <v>20</v>
      </c>
      <c r="C1239" s="1">
        <v>45414</v>
      </c>
      <c r="D1239" t="s">
        <v>4</v>
      </c>
      <c r="E1239" t="s">
        <v>26</v>
      </c>
      <c r="F1239">
        <v>5</v>
      </c>
      <c r="G1239">
        <v>2319.85</v>
      </c>
      <c r="H1239">
        <v>11599.25</v>
      </c>
      <c r="I1239">
        <v>1160.3399999999999</v>
      </c>
      <c r="J1239">
        <v>10438.91</v>
      </c>
      <c r="K1239">
        <v>413</v>
      </c>
      <c r="L1239" s="11" t="s">
        <v>1026</v>
      </c>
      <c r="M1239">
        <f t="shared" si="96"/>
        <v>2</v>
      </c>
      <c r="N1239">
        <f t="shared" si="97"/>
        <v>5</v>
      </c>
      <c r="O1239">
        <f t="shared" si="98"/>
        <v>2024</v>
      </c>
      <c r="P1239" s="4">
        <f t="shared" si="99"/>
        <v>45414</v>
      </c>
      <c r="Q1239" t="s">
        <v>1136</v>
      </c>
      <c r="R1239" t="s">
        <v>1137</v>
      </c>
      <c r="S1239">
        <v>1</v>
      </c>
      <c r="T1239" t="s">
        <v>1141</v>
      </c>
      <c r="U1239" s="11" t="str">
        <f t="shared" si="95"/>
        <v>09:21:55 AM</v>
      </c>
      <c r="BL1239" s="2" t="s">
        <v>2389</v>
      </c>
    </row>
    <row r="1240" spans="1:64" x14ac:dyDescent="0.35">
      <c r="A1240">
        <v>8247</v>
      </c>
      <c r="B1240" t="s">
        <v>3</v>
      </c>
      <c r="C1240" s="1">
        <v>45654</v>
      </c>
      <c r="D1240" t="s">
        <v>23</v>
      </c>
      <c r="E1240" t="s">
        <v>37</v>
      </c>
      <c r="F1240">
        <v>4</v>
      </c>
      <c r="G1240">
        <v>1322.19</v>
      </c>
      <c r="H1240">
        <v>5288.76</v>
      </c>
      <c r="I1240">
        <v>528.71</v>
      </c>
      <c r="J1240">
        <v>4760.05</v>
      </c>
      <c r="K1240">
        <v>346</v>
      </c>
      <c r="L1240" s="11" t="s">
        <v>1027</v>
      </c>
      <c r="M1240">
        <f t="shared" si="96"/>
        <v>28</v>
      </c>
      <c r="N1240">
        <f t="shared" si="97"/>
        <v>12</v>
      </c>
      <c r="O1240">
        <f t="shared" si="98"/>
        <v>2024</v>
      </c>
      <c r="P1240" s="4">
        <f t="shared" si="99"/>
        <v>45654</v>
      </c>
      <c r="Q1240" t="s">
        <v>1138</v>
      </c>
      <c r="R1240" t="s">
        <v>1135</v>
      </c>
      <c r="S1240">
        <v>1</v>
      </c>
      <c r="T1240" t="s">
        <v>1149</v>
      </c>
      <c r="U1240" s="11" t="str">
        <f t="shared" si="95"/>
        <v>12:33:41 PM</v>
      </c>
      <c r="BL1240" s="2" t="s">
        <v>2390</v>
      </c>
    </row>
    <row r="1241" spans="1:64" x14ac:dyDescent="0.35">
      <c r="A1241">
        <v>5201</v>
      </c>
      <c r="B1241" t="s">
        <v>20</v>
      </c>
      <c r="C1241" s="1">
        <v>45725</v>
      </c>
      <c r="D1241" t="s">
        <v>17</v>
      </c>
      <c r="E1241" t="s">
        <v>33</v>
      </c>
      <c r="F1241">
        <v>1</v>
      </c>
      <c r="G1241">
        <v>1801.1</v>
      </c>
      <c r="H1241">
        <v>1801.1</v>
      </c>
      <c r="I1241">
        <v>360.22</v>
      </c>
      <c r="J1241">
        <v>1440.88</v>
      </c>
      <c r="K1241">
        <v>359</v>
      </c>
      <c r="L1241" s="11" t="s">
        <v>1028</v>
      </c>
      <c r="M1241">
        <f t="shared" si="96"/>
        <v>9</v>
      </c>
      <c r="N1241">
        <f t="shared" si="97"/>
        <v>3</v>
      </c>
      <c r="O1241">
        <f t="shared" si="98"/>
        <v>2025</v>
      </c>
      <c r="P1241" s="4">
        <f t="shared" si="99"/>
        <v>45725</v>
      </c>
      <c r="Q1241" t="s">
        <v>1134</v>
      </c>
      <c r="R1241" t="s">
        <v>1137</v>
      </c>
      <c r="S1241">
        <v>3</v>
      </c>
      <c r="T1241" t="s">
        <v>1141</v>
      </c>
      <c r="U1241" s="11" t="str">
        <f t="shared" si="95"/>
        <v>09:02:58 PM</v>
      </c>
      <c r="BL1241" s="2" t="s">
        <v>2391</v>
      </c>
    </row>
    <row r="1242" spans="1:64" x14ac:dyDescent="0.35">
      <c r="A1242">
        <v>8849</v>
      </c>
      <c r="B1242" t="s">
        <v>3</v>
      </c>
      <c r="C1242" s="1">
        <v>45311</v>
      </c>
      <c r="D1242" t="s">
        <v>16</v>
      </c>
      <c r="E1242" t="s">
        <v>29</v>
      </c>
      <c r="F1242">
        <v>5</v>
      </c>
      <c r="G1242">
        <v>1162</v>
      </c>
      <c r="H1242">
        <v>5810</v>
      </c>
      <c r="I1242">
        <v>1162</v>
      </c>
      <c r="J1242">
        <v>4648</v>
      </c>
      <c r="K1242">
        <v>86</v>
      </c>
      <c r="L1242" s="11" t="s">
        <v>1029</v>
      </c>
      <c r="M1242">
        <f t="shared" si="96"/>
        <v>20</v>
      </c>
      <c r="N1242">
        <f t="shared" si="97"/>
        <v>1</v>
      </c>
      <c r="O1242">
        <f t="shared" si="98"/>
        <v>2024</v>
      </c>
      <c r="P1242" s="4">
        <f t="shared" si="99"/>
        <v>45311</v>
      </c>
      <c r="Q1242" t="s">
        <v>1138</v>
      </c>
      <c r="R1242" t="s">
        <v>1137</v>
      </c>
      <c r="S1242">
        <v>4</v>
      </c>
      <c r="T1242" t="s">
        <v>1144</v>
      </c>
      <c r="U1242" s="11" t="str">
        <f t="shared" si="95"/>
        <v>03:27:53 AM</v>
      </c>
      <c r="BL1242" s="2" t="s">
        <v>2392</v>
      </c>
    </row>
    <row r="1243" spans="1:64" x14ac:dyDescent="0.35">
      <c r="A1243">
        <v>4310</v>
      </c>
      <c r="B1243" t="s">
        <v>0</v>
      </c>
      <c r="C1243" s="1">
        <v>45788</v>
      </c>
      <c r="D1243" t="s">
        <v>11</v>
      </c>
      <c r="E1243" t="s">
        <v>30</v>
      </c>
      <c r="F1243">
        <v>5</v>
      </c>
      <c r="G1243">
        <v>932.92</v>
      </c>
      <c r="H1243">
        <v>4664.6000000000004</v>
      </c>
      <c r="I1243">
        <v>466.46</v>
      </c>
      <c r="J1243">
        <v>4198.1400000000003</v>
      </c>
      <c r="K1243">
        <v>26</v>
      </c>
      <c r="L1243" s="11" t="s">
        <v>1030</v>
      </c>
      <c r="M1243">
        <f t="shared" si="96"/>
        <v>11</v>
      </c>
      <c r="N1243">
        <f t="shared" si="97"/>
        <v>5</v>
      </c>
      <c r="O1243">
        <f t="shared" si="98"/>
        <v>2025</v>
      </c>
      <c r="P1243" s="4">
        <f t="shared" si="99"/>
        <v>45788</v>
      </c>
      <c r="Q1243" t="s">
        <v>1136</v>
      </c>
      <c r="R1243" t="s">
        <v>1137</v>
      </c>
      <c r="S1243">
        <v>1</v>
      </c>
      <c r="T1243" t="s">
        <v>1147</v>
      </c>
      <c r="U1243" s="11" t="str">
        <f t="shared" si="95"/>
        <v>05:54:01 AM</v>
      </c>
      <c r="BL1243" s="2" t="s">
        <v>2393</v>
      </c>
    </row>
    <row r="1244" spans="1:64" x14ac:dyDescent="0.35">
      <c r="A1244">
        <v>9824</v>
      </c>
      <c r="B1244" t="s">
        <v>13</v>
      </c>
      <c r="C1244" s="1">
        <v>45355</v>
      </c>
      <c r="D1244" t="s">
        <v>23</v>
      </c>
      <c r="E1244" t="s">
        <v>12</v>
      </c>
      <c r="F1244">
        <v>1</v>
      </c>
      <c r="G1244">
        <v>895.57</v>
      </c>
      <c r="H1244">
        <v>895.57</v>
      </c>
      <c r="I1244">
        <v>365.2</v>
      </c>
      <c r="J1244">
        <v>530.37</v>
      </c>
      <c r="K1244">
        <v>347</v>
      </c>
      <c r="L1244" s="11" t="s">
        <v>1031</v>
      </c>
      <c r="M1244">
        <f t="shared" si="96"/>
        <v>4</v>
      </c>
      <c r="N1244">
        <f t="shared" si="97"/>
        <v>3</v>
      </c>
      <c r="O1244">
        <f t="shared" si="98"/>
        <v>2024</v>
      </c>
      <c r="P1244" s="4">
        <f t="shared" si="99"/>
        <v>45355</v>
      </c>
      <c r="Q1244" t="s">
        <v>1134</v>
      </c>
      <c r="R1244" t="s">
        <v>1137</v>
      </c>
      <c r="S1244">
        <v>1</v>
      </c>
      <c r="T1244" t="s">
        <v>1142</v>
      </c>
      <c r="U1244" s="11" t="str">
        <f t="shared" si="95"/>
        <v>01:07:33 AM</v>
      </c>
      <c r="BL1244" s="2" t="s">
        <v>2394</v>
      </c>
    </row>
    <row r="1245" spans="1:64" x14ac:dyDescent="0.35">
      <c r="A1245">
        <v>5450</v>
      </c>
      <c r="B1245" t="s">
        <v>0</v>
      </c>
      <c r="C1245" s="1">
        <v>45251</v>
      </c>
      <c r="D1245" t="s">
        <v>24</v>
      </c>
      <c r="E1245" t="s">
        <v>26</v>
      </c>
      <c r="F1245">
        <v>4</v>
      </c>
      <c r="G1245">
        <v>788.5</v>
      </c>
      <c r="H1245">
        <v>3154</v>
      </c>
      <c r="I1245">
        <v>0</v>
      </c>
      <c r="J1245">
        <v>3154</v>
      </c>
      <c r="K1245">
        <v>109</v>
      </c>
      <c r="L1245" s="11" t="s">
        <v>1032</v>
      </c>
      <c r="M1245">
        <f t="shared" si="96"/>
        <v>21</v>
      </c>
      <c r="N1245">
        <f t="shared" si="97"/>
        <v>11</v>
      </c>
      <c r="O1245">
        <f t="shared" si="98"/>
        <v>2023</v>
      </c>
      <c r="P1245" s="4">
        <f t="shared" si="99"/>
        <v>45251</v>
      </c>
      <c r="Q1245" t="s">
        <v>1134</v>
      </c>
      <c r="R1245" t="s">
        <v>1135</v>
      </c>
      <c r="S1245">
        <v>2</v>
      </c>
      <c r="T1245" t="s">
        <v>1142</v>
      </c>
      <c r="U1245" s="11" t="str">
        <f t="shared" si="95"/>
        <v>10:42:30 AM</v>
      </c>
      <c r="BL1245" s="2" t="s">
        <v>2395</v>
      </c>
    </row>
    <row r="1246" spans="1:64" x14ac:dyDescent="0.35">
      <c r="A1246">
        <v>2789</v>
      </c>
      <c r="B1246" t="s">
        <v>13</v>
      </c>
      <c r="C1246" s="1">
        <v>45623</v>
      </c>
      <c r="D1246" t="s">
        <v>6</v>
      </c>
      <c r="E1246" t="s">
        <v>26</v>
      </c>
      <c r="F1246">
        <v>5</v>
      </c>
      <c r="G1246">
        <v>2070.02</v>
      </c>
      <c r="H1246">
        <v>10350.1</v>
      </c>
      <c r="I1246">
        <v>364.37</v>
      </c>
      <c r="J1246">
        <v>9985.73</v>
      </c>
      <c r="K1246">
        <v>18</v>
      </c>
      <c r="L1246" s="11" t="s">
        <v>1033</v>
      </c>
      <c r="M1246">
        <f t="shared" si="96"/>
        <v>27</v>
      </c>
      <c r="N1246">
        <f t="shared" si="97"/>
        <v>11</v>
      </c>
      <c r="O1246">
        <f t="shared" si="98"/>
        <v>2024</v>
      </c>
      <c r="P1246" s="4">
        <f t="shared" si="99"/>
        <v>45623</v>
      </c>
      <c r="Q1246" t="s">
        <v>1134</v>
      </c>
      <c r="R1246" t="s">
        <v>1137</v>
      </c>
      <c r="S1246">
        <v>3</v>
      </c>
      <c r="T1246" t="s">
        <v>1150</v>
      </c>
      <c r="U1246" s="11" t="str">
        <f t="shared" si="95"/>
        <v>08:37:05 AM</v>
      </c>
      <c r="BL1246" s="2" t="s">
        <v>2396</v>
      </c>
    </row>
    <row r="1247" spans="1:64" x14ac:dyDescent="0.35">
      <c r="A1247">
        <v>4920</v>
      </c>
      <c r="B1247" t="s">
        <v>20</v>
      </c>
      <c r="C1247" s="1">
        <v>45333</v>
      </c>
      <c r="D1247" t="s">
        <v>11</v>
      </c>
      <c r="E1247" t="s">
        <v>28</v>
      </c>
      <c r="F1247">
        <v>5</v>
      </c>
      <c r="G1247">
        <v>1190.22</v>
      </c>
      <c r="H1247">
        <v>5951.1</v>
      </c>
      <c r="I1247">
        <v>84.66</v>
      </c>
      <c r="J1247">
        <v>5866.44</v>
      </c>
      <c r="K1247">
        <v>152</v>
      </c>
      <c r="L1247" s="11" t="s">
        <v>1034</v>
      </c>
      <c r="M1247">
        <f t="shared" si="96"/>
        <v>11</v>
      </c>
      <c r="N1247">
        <f t="shared" si="97"/>
        <v>2</v>
      </c>
      <c r="O1247">
        <f t="shared" si="98"/>
        <v>2024</v>
      </c>
      <c r="P1247" s="4">
        <f t="shared" si="99"/>
        <v>45333</v>
      </c>
      <c r="Q1247" t="s">
        <v>1136</v>
      </c>
      <c r="R1247" t="s">
        <v>1137</v>
      </c>
      <c r="S1247">
        <v>1</v>
      </c>
      <c r="T1247" t="s">
        <v>1144</v>
      </c>
      <c r="U1247" s="11" t="str">
        <f t="shared" si="95"/>
        <v>02:05:36 AM</v>
      </c>
      <c r="BL1247" s="2" t="s">
        <v>2397</v>
      </c>
    </row>
    <row r="1248" spans="1:64" x14ac:dyDescent="0.35">
      <c r="A1248">
        <v>1831</v>
      </c>
      <c r="B1248" t="s">
        <v>8</v>
      </c>
      <c r="C1248" s="1">
        <v>45665</v>
      </c>
      <c r="D1248" t="s">
        <v>9</v>
      </c>
      <c r="E1248" t="s">
        <v>12</v>
      </c>
      <c r="F1248">
        <v>1</v>
      </c>
      <c r="G1248">
        <v>326.19</v>
      </c>
      <c r="H1248">
        <v>326.19</v>
      </c>
      <c r="I1248">
        <v>258.95999999999998</v>
      </c>
      <c r="J1248">
        <v>67.23</v>
      </c>
      <c r="K1248">
        <v>251</v>
      </c>
      <c r="L1248" s="11" t="s">
        <v>1035</v>
      </c>
      <c r="M1248">
        <f t="shared" si="96"/>
        <v>8</v>
      </c>
      <c r="N1248">
        <f t="shared" si="97"/>
        <v>1</v>
      </c>
      <c r="O1248">
        <f t="shared" si="98"/>
        <v>2025</v>
      </c>
      <c r="P1248" s="4">
        <f t="shared" si="99"/>
        <v>45665</v>
      </c>
      <c r="Q1248" t="s">
        <v>1139</v>
      </c>
      <c r="R1248" t="s">
        <v>1135</v>
      </c>
      <c r="S1248">
        <v>2</v>
      </c>
      <c r="T1248" t="s">
        <v>1145</v>
      </c>
      <c r="U1248" s="11" t="str">
        <f t="shared" si="95"/>
        <v>09:25:49 PM</v>
      </c>
      <c r="BL1248" s="2" t="s">
        <v>2398</v>
      </c>
    </row>
    <row r="1249" spans="1:64" x14ac:dyDescent="0.35">
      <c r="A1249">
        <v>9700</v>
      </c>
      <c r="B1249" t="s">
        <v>8</v>
      </c>
      <c r="C1249" s="1">
        <v>45320</v>
      </c>
      <c r="D1249" t="s">
        <v>9</v>
      </c>
      <c r="E1249" t="s">
        <v>38</v>
      </c>
      <c r="F1249">
        <v>4</v>
      </c>
      <c r="G1249">
        <v>98.77</v>
      </c>
      <c r="H1249">
        <v>395.08</v>
      </c>
      <c r="I1249">
        <v>78.849999999999994</v>
      </c>
      <c r="J1249">
        <v>316.23</v>
      </c>
      <c r="K1249">
        <v>393</v>
      </c>
      <c r="L1249" s="11" t="s">
        <v>1036</v>
      </c>
      <c r="M1249">
        <f t="shared" si="96"/>
        <v>29</v>
      </c>
      <c r="N1249">
        <f t="shared" si="97"/>
        <v>1</v>
      </c>
      <c r="O1249">
        <f t="shared" si="98"/>
        <v>2024</v>
      </c>
      <c r="P1249" s="4">
        <f t="shared" si="99"/>
        <v>45320</v>
      </c>
      <c r="Q1249" t="s">
        <v>1139</v>
      </c>
      <c r="R1249" t="s">
        <v>1137</v>
      </c>
      <c r="S1249">
        <v>5</v>
      </c>
      <c r="T1249" t="s">
        <v>1147</v>
      </c>
      <c r="U1249" s="11" t="str">
        <f t="shared" si="95"/>
        <v>07:08:04 PM</v>
      </c>
      <c r="BL1249" s="2" t="s">
        <v>2399</v>
      </c>
    </row>
    <row r="1250" spans="1:64" x14ac:dyDescent="0.35">
      <c r="A1250">
        <v>4814</v>
      </c>
      <c r="B1250" t="s">
        <v>15</v>
      </c>
      <c r="C1250" s="1">
        <v>45185</v>
      </c>
      <c r="D1250" t="s">
        <v>9</v>
      </c>
      <c r="E1250" t="s">
        <v>12</v>
      </c>
      <c r="F1250">
        <v>3</v>
      </c>
      <c r="G1250">
        <v>959.48</v>
      </c>
      <c r="H1250">
        <v>2878.44</v>
      </c>
      <c r="I1250">
        <v>352.75</v>
      </c>
      <c r="J1250">
        <v>2525.69</v>
      </c>
      <c r="K1250">
        <v>456</v>
      </c>
      <c r="L1250" s="11" t="s">
        <v>1037</v>
      </c>
      <c r="M1250">
        <f t="shared" si="96"/>
        <v>16</v>
      </c>
      <c r="N1250">
        <f t="shared" si="97"/>
        <v>9</v>
      </c>
      <c r="O1250">
        <f t="shared" si="98"/>
        <v>2023</v>
      </c>
      <c r="P1250" s="4">
        <f t="shared" si="99"/>
        <v>45185</v>
      </c>
      <c r="Q1250" t="s">
        <v>1139</v>
      </c>
      <c r="R1250" t="s">
        <v>1135</v>
      </c>
      <c r="S1250">
        <v>1</v>
      </c>
      <c r="T1250" t="s">
        <v>1144</v>
      </c>
      <c r="U1250" s="11" t="str">
        <f t="shared" si="95"/>
        <v>01:54:10 PM</v>
      </c>
      <c r="BL1250" s="2" t="s">
        <v>2400</v>
      </c>
    </row>
    <row r="1251" spans="1:64" x14ac:dyDescent="0.35">
      <c r="A1251">
        <v>2641</v>
      </c>
      <c r="B1251" t="s">
        <v>0</v>
      </c>
      <c r="C1251" s="1">
        <v>45466</v>
      </c>
      <c r="D1251" t="s">
        <v>34</v>
      </c>
      <c r="E1251" t="s">
        <v>22</v>
      </c>
      <c r="F1251">
        <v>2</v>
      </c>
      <c r="G1251">
        <v>419.15</v>
      </c>
      <c r="H1251">
        <v>838.3</v>
      </c>
      <c r="I1251">
        <v>202.52</v>
      </c>
      <c r="J1251">
        <v>635.78</v>
      </c>
      <c r="K1251">
        <v>382</v>
      </c>
      <c r="L1251" s="11" t="s">
        <v>1038</v>
      </c>
      <c r="M1251">
        <f t="shared" si="96"/>
        <v>23</v>
      </c>
      <c r="N1251">
        <f t="shared" si="97"/>
        <v>6</v>
      </c>
      <c r="O1251">
        <f t="shared" si="98"/>
        <v>2024</v>
      </c>
      <c r="P1251" s="4">
        <f t="shared" si="99"/>
        <v>45466</v>
      </c>
      <c r="Q1251" t="s">
        <v>1136</v>
      </c>
      <c r="R1251" t="s">
        <v>1137</v>
      </c>
      <c r="S1251">
        <v>1</v>
      </c>
      <c r="T1251" t="s">
        <v>1141</v>
      </c>
      <c r="U1251" s="11" t="str">
        <f t="shared" si="95"/>
        <v>08:56:26 AM</v>
      </c>
      <c r="BL1251" s="2" t="s">
        <v>2401</v>
      </c>
    </row>
    <row r="1252" spans="1:64" x14ac:dyDescent="0.35">
      <c r="A1252">
        <v>6411</v>
      </c>
      <c r="B1252" t="s">
        <v>31</v>
      </c>
      <c r="C1252" s="1">
        <v>45702</v>
      </c>
      <c r="D1252" t="s">
        <v>4</v>
      </c>
      <c r="E1252" t="s">
        <v>33</v>
      </c>
      <c r="F1252">
        <v>3</v>
      </c>
      <c r="G1252">
        <v>179.28</v>
      </c>
      <c r="H1252">
        <v>537.84</v>
      </c>
      <c r="I1252">
        <v>0</v>
      </c>
      <c r="J1252">
        <v>537.84</v>
      </c>
      <c r="K1252">
        <v>202</v>
      </c>
      <c r="L1252" s="11" t="s">
        <v>1039</v>
      </c>
      <c r="M1252">
        <f t="shared" si="96"/>
        <v>14</v>
      </c>
      <c r="N1252">
        <f t="shared" si="97"/>
        <v>2</v>
      </c>
      <c r="O1252">
        <f t="shared" si="98"/>
        <v>2025</v>
      </c>
      <c r="P1252" s="4">
        <f t="shared" si="99"/>
        <v>45702</v>
      </c>
      <c r="Q1252" t="s">
        <v>1134</v>
      </c>
      <c r="R1252" t="s">
        <v>1137</v>
      </c>
      <c r="S1252">
        <v>2</v>
      </c>
      <c r="T1252" t="s">
        <v>1146</v>
      </c>
      <c r="U1252" s="11" t="str">
        <f t="shared" si="95"/>
        <v>01:03:01 AM</v>
      </c>
      <c r="BL1252" s="2" t="s">
        <v>2402</v>
      </c>
    </row>
    <row r="1253" spans="1:64" x14ac:dyDescent="0.35">
      <c r="A1253">
        <v>8739</v>
      </c>
      <c r="B1253" t="s">
        <v>25</v>
      </c>
      <c r="C1253" s="1">
        <v>45223</v>
      </c>
      <c r="D1253" t="s">
        <v>1</v>
      </c>
      <c r="E1253" t="s">
        <v>18</v>
      </c>
      <c r="F1253">
        <v>2</v>
      </c>
      <c r="G1253">
        <v>2364.67</v>
      </c>
      <c r="H1253">
        <v>4729.34</v>
      </c>
      <c r="I1253">
        <v>222.44</v>
      </c>
      <c r="J1253">
        <v>4506.8999999999996</v>
      </c>
      <c r="K1253">
        <v>491</v>
      </c>
      <c r="L1253" s="11" t="s">
        <v>1040</v>
      </c>
      <c r="M1253">
        <f t="shared" si="96"/>
        <v>24</v>
      </c>
      <c r="N1253">
        <f t="shared" si="97"/>
        <v>10</v>
      </c>
      <c r="O1253">
        <f t="shared" si="98"/>
        <v>2023</v>
      </c>
      <c r="P1253" s="4">
        <f t="shared" si="99"/>
        <v>45223</v>
      </c>
      <c r="Q1253" t="s">
        <v>1139</v>
      </c>
      <c r="R1253" t="s">
        <v>1137</v>
      </c>
      <c r="S1253">
        <v>3</v>
      </c>
      <c r="T1253" t="s">
        <v>1144</v>
      </c>
      <c r="U1253" s="11" t="str">
        <f t="shared" si="95"/>
        <v>02:50:50 PM</v>
      </c>
      <c r="BL1253" s="2" t="s">
        <v>2403</v>
      </c>
    </row>
    <row r="1254" spans="1:64" x14ac:dyDescent="0.35">
      <c r="A1254">
        <v>3252</v>
      </c>
      <c r="B1254" t="s">
        <v>3</v>
      </c>
      <c r="C1254" s="1">
        <v>45149</v>
      </c>
      <c r="D1254" t="s">
        <v>34</v>
      </c>
      <c r="E1254" t="s">
        <v>30</v>
      </c>
      <c r="F1254">
        <v>3</v>
      </c>
      <c r="G1254">
        <v>1889.91</v>
      </c>
      <c r="H1254">
        <v>5669.73</v>
      </c>
      <c r="I1254">
        <v>323.7</v>
      </c>
      <c r="J1254">
        <v>5346.03</v>
      </c>
      <c r="K1254">
        <v>399</v>
      </c>
      <c r="L1254" s="11" t="s">
        <v>1041</v>
      </c>
      <c r="M1254">
        <f t="shared" si="96"/>
        <v>11</v>
      </c>
      <c r="N1254">
        <f t="shared" si="97"/>
        <v>8</v>
      </c>
      <c r="O1254">
        <f t="shared" si="98"/>
        <v>2023</v>
      </c>
      <c r="P1254" s="4">
        <f t="shared" si="99"/>
        <v>45149</v>
      </c>
      <c r="Q1254" t="s">
        <v>1136</v>
      </c>
      <c r="R1254" t="s">
        <v>1135</v>
      </c>
      <c r="S1254">
        <v>1</v>
      </c>
      <c r="T1254" t="s">
        <v>1147</v>
      </c>
      <c r="U1254" s="11" t="str">
        <f t="shared" si="95"/>
        <v>09:06:17 AM</v>
      </c>
      <c r="BL1254" s="2" t="s">
        <v>2404</v>
      </c>
    </row>
    <row r="1255" spans="1:64" x14ac:dyDescent="0.35">
      <c r="A1255">
        <v>3587</v>
      </c>
      <c r="B1255" t="s">
        <v>13</v>
      </c>
      <c r="C1255" s="1">
        <v>45461</v>
      </c>
      <c r="D1255" t="s">
        <v>23</v>
      </c>
      <c r="E1255" t="s">
        <v>38</v>
      </c>
      <c r="F1255">
        <v>1</v>
      </c>
      <c r="G1255">
        <v>1990.34</v>
      </c>
      <c r="H1255">
        <v>1990.34</v>
      </c>
      <c r="I1255">
        <v>298.8</v>
      </c>
      <c r="J1255">
        <v>1691.54</v>
      </c>
      <c r="K1255">
        <v>64</v>
      </c>
      <c r="L1255" s="11" t="s">
        <v>1042</v>
      </c>
      <c r="M1255">
        <f t="shared" si="96"/>
        <v>18</v>
      </c>
      <c r="N1255">
        <f t="shared" si="97"/>
        <v>6</v>
      </c>
      <c r="O1255">
        <f t="shared" si="98"/>
        <v>2024</v>
      </c>
      <c r="P1255" s="4">
        <f t="shared" si="99"/>
        <v>45461</v>
      </c>
      <c r="Q1255" t="s">
        <v>1139</v>
      </c>
      <c r="R1255" t="s">
        <v>1137</v>
      </c>
      <c r="S1255">
        <v>5</v>
      </c>
      <c r="T1255" t="s">
        <v>1144</v>
      </c>
      <c r="U1255" s="11" t="str">
        <f t="shared" si="95"/>
        <v>08:24:05 PM</v>
      </c>
      <c r="BL1255" s="2" t="s">
        <v>2405</v>
      </c>
    </row>
    <row r="1256" spans="1:64" x14ac:dyDescent="0.35">
      <c r="A1256">
        <v>8793</v>
      </c>
      <c r="B1256" t="s">
        <v>3</v>
      </c>
      <c r="C1256" s="1">
        <v>45515</v>
      </c>
      <c r="D1256" t="s">
        <v>1</v>
      </c>
      <c r="E1256" t="s">
        <v>14</v>
      </c>
      <c r="F1256">
        <v>1</v>
      </c>
      <c r="G1256">
        <v>1714.78</v>
      </c>
      <c r="H1256">
        <v>1714.78</v>
      </c>
      <c r="I1256">
        <v>327.85</v>
      </c>
      <c r="J1256">
        <v>1386.93</v>
      </c>
      <c r="K1256">
        <v>175</v>
      </c>
      <c r="L1256" s="11" t="s">
        <v>1043</v>
      </c>
      <c r="M1256">
        <f t="shared" si="96"/>
        <v>11</v>
      </c>
      <c r="N1256">
        <f t="shared" si="97"/>
        <v>8</v>
      </c>
      <c r="O1256">
        <f t="shared" si="98"/>
        <v>2024</v>
      </c>
      <c r="P1256" s="4">
        <f t="shared" si="99"/>
        <v>45515</v>
      </c>
      <c r="Q1256" t="s">
        <v>1138</v>
      </c>
      <c r="R1256" t="s">
        <v>1137</v>
      </c>
      <c r="S1256">
        <v>1</v>
      </c>
      <c r="T1256" t="s">
        <v>1144</v>
      </c>
      <c r="U1256" s="11" t="str">
        <f t="shared" si="95"/>
        <v>02:31:17 PM</v>
      </c>
      <c r="BL1256" s="2" t="s">
        <v>2406</v>
      </c>
    </row>
    <row r="1257" spans="1:64" x14ac:dyDescent="0.35">
      <c r="A1257">
        <v>4267</v>
      </c>
      <c r="B1257" t="s">
        <v>3</v>
      </c>
      <c r="C1257" s="1">
        <v>45732</v>
      </c>
      <c r="D1257" t="s">
        <v>34</v>
      </c>
      <c r="E1257" t="s">
        <v>26</v>
      </c>
      <c r="F1257">
        <v>3</v>
      </c>
      <c r="G1257">
        <v>1251.6400000000001</v>
      </c>
      <c r="H1257">
        <v>3754.92</v>
      </c>
      <c r="I1257">
        <v>751.15</v>
      </c>
      <c r="J1257">
        <v>3003.77</v>
      </c>
      <c r="K1257">
        <v>389</v>
      </c>
      <c r="L1257" s="11" t="s">
        <v>1044</v>
      </c>
      <c r="M1257">
        <f t="shared" si="96"/>
        <v>16</v>
      </c>
      <c r="N1257">
        <f t="shared" si="97"/>
        <v>3</v>
      </c>
      <c r="O1257">
        <f t="shared" si="98"/>
        <v>2025</v>
      </c>
      <c r="P1257" s="4">
        <f t="shared" si="99"/>
        <v>45732</v>
      </c>
      <c r="Q1257" t="s">
        <v>1139</v>
      </c>
      <c r="R1257" t="s">
        <v>1137</v>
      </c>
      <c r="S1257">
        <v>5</v>
      </c>
      <c r="T1257" t="s">
        <v>1150</v>
      </c>
      <c r="U1257" s="11" t="str">
        <f t="shared" si="95"/>
        <v>05:53:02 AM</v>
      </c>
      <c r="BL1257" s="2" t="s">
        <v>2407</v>
      </c>
    </row>
    <row r="1258" spans="1:64" x14ac:dyDescent="0.35">
      <c r="A1258">
        <v>5706</v>
      </c>
      <c r="B1258" t="s">
        <v>8</v>
      </c>
      <c r="C1258" s="1">
        <v>45394</v>
      </c>
      <c r="D1258" t="s">
        <v>27</v>
      </c>
      <c r="E1258" t="s">
        <v>18</v>
      </c>
      <c r="F1258">
        <v>2</v>
      </c>
      <c r="G1258">
        <v>758.62</v>
      </c>
      <c r="H1258">
        <v>1517.24</v>
      </c>
      <c r="I1258">
        <v>0</v>
      </c>
      <c r="J1258">
        <v>1517.24</v>
      </c>
      <c r="K1258">
        <v>58</v>
      </c>
      <c r="L1258" s="11" t="s">
        <v>1045</v>
      </c>
      <c r="M1258">
        <f t="shared" si="96"/>
        <v>12</v>
      </c>
      <c r="N1258">
        <f t="shared" si="97"/>
        <v>4</v>
      </c>
      <c r="O1258">
        <f t="shared" si="98"/>
        <v>2024</v>
      </c>
      <c r="P1258" s="4">
        <f t="shared" si="99"/>
        <v>45394</v>
      </c>
      <c r="Q1258" t="s">
        <v>1139</v>
      </c>
      <c r="R1258" t="s">
        <v>1135</v>
      </c>
      <c r="S1258">
        <v>4</v>
      </c>
      <c r="T1258" t="s">
        <v>1145</v>
      </c>
      <c r="U1258" s="11" t="str">
        <f t="shared" ref="U1258:U1321" si="100">TEXT(L1258,"hh:mm:ss AM/PM")</f>
        <v>07:21:57 AM</v>
      </c>
      <c r="BL1258" s="2" t="s">
        <v>2408</v>
      </c>
    </row>
    <row r="1259" spans="1:64" x14ac:dyDescent="0.35">
      <c r="A1259">
        <v>5676</v>
      </c>
      <c r="B1259" t="s">
        <v>31</v>
      </c>
      <c r="C1259" s="1">
        <v>45646</v>
      </c>
      <c r="D1259" t="s">
        <v>16</v>
      </c>
      <c r="E1259" t="s">
        <v>5</v>
      </c>
      <c r="F1259">
        <v>2</v>
      </c>
      <c r="G1259">
        <v>1222.5899999999999</v>
      </c>
      <c r="H1259">
        <v>2445.1799999999998</v>
      </c>
      <c r="I1259">
        <v>0</v>
      </c>
      <c r="J1259">
        <v>2445.1799999999998</v>
      </c>
      <c r="K1259">
        <v>400</v>
      </c>
      <c r="L1259" s="11" t="s">
        <v>1046</v>
      </c>
      <c r="M1259">
        <f t="shared" si="96"/>
        <v>20</v>
      </c>
      <c r="N1259">
        <f t="shared" si="97"/>
        <v>12</v>
      </c>
      <c r="O1259">
        <f t="shared" si="98"/>
        <v>2024</v>
      </c>
      <c r="P1259" s="4">
        <f t="shared" si="99"/>
        <v>45646</v>
      </c>
      <c r="Q1259" t="s">
        <v>1134</v>
      </c>
      <c r="R1259" t="s">
        <v>1135</v>
      </c>
      <c r="S1259">
        <v>4</v>
      </c>
      <c r="T1259" t="s">
        <v>1147</v>
      </c>
      <c r="U1259" s="11" t="str">
        <f t="shared" si="100"/>
        <v>01:29:37 PM</v>
      </c>
      <c r="BL1259" s="2" t="s">
        <v>2409</v>
      </c>
    </row>
    <row r="1260" spans="1:64" x14ac:dyDescent="0.35">
      <c r="A1260">
        <v>1969</v>
      </c>
      <c r="B1260" t="s">
        <v>3</v>
      </c>
      <c r="C1260" s="1">
        <v>45850</v>
      </c>
      <c r="D1260" t="s">
        <v>17</v>
      </c>
      <c r="E1260" t="s">
        <v>18</v>
      </c>
      <c r="F1260">
        <v>2</v>
      </c>
      <c r="G1260">
        <v>2470.91</v>
      </c>
      <c r="H1260">
        <v>4941.82</v>
      </c>
      <c r="I1260">
        <v>988.53</v>
      </c>
      <c r="J1260">
        <v>3953.29</v>
      </c>
      <c r="K1260">
        <v>302</v>
      </c>
      <c r="L1260" s="11" t="s">
        <v>1047</v>
      </c>
      <c r="M1260">
        <f t="shared" si="96"/>
        <v>12</v>
      </c>
      <c r="N1260">
        <f t="shared" si="97"/>
        <v>7</v>
      </c>
      <c r="O1260">
        <f t="shared" si="98"/>
        <v>2025</v>
      </c>
      <c r="P1260" s="4">
        <f t="shared" si="99"/>
        <v>45850</v>
      </c>
      <c r="Q1260" t="s">
        <v>1136</v>
      </c>
      <c r="R1260" t="s">
        <v>1137</v>
      </c>
      <c r="S1260">
        <v>5</v>
      </c>
      <c r="T1260" t="s">
        <v>1142</v>
      </c>
      <c r="U1260" s="11" t="str">
        <f t="shared" si="100"/>
        <v>05:38:34 PM</v>
      </c>
      <c r="BL1260" s="2" t="s">
        <v>2410</v>
      </c>
    </row>
    <row r="1261" spans="1:64" x14ac:dyDescent="0.35">
      <c r="A1261">
        <v>2465</v>
      </c>
      <c r="B1261" t="s">
        <v>0</v>
      </c>
      <c r="C1261" s="1">
        <v>45651</v>
      </c>
      <c r="D1261" t="s">
        <v>23</v>
      </c>
      <c r="E1261" t="s">
        <v>21</v>
      </c>
      <c r="F1261">
        <v>1</v>
      </c>
      <c r="G1261">
        <v>741.19</v>
      </c>
      <c r="H1261">
        <v>741.19</v>
      </c>
      <c r="I1261">
        <v>73.87</v>
      </c>
      <c r="J1261">
        <v>667.32</v>
      </c>
      <c r="K1261">
        <v>98</v>
      </c>
      <c r="L1261" s="11" t="s">
        <v>1048</v>
      </c>
      <c r="M1261">
        <f t="shared" si="96"/>
        <v>25</v>
      </c>
      <c r="N1261">
        <f t="shared" si="97"/>
        <v>12</v>
      </c>
      <c r="O1261">
        <f t="shared" si="98"/>
        <v>2024</v>
      </c>
      <c r="P1261" s="4">
        <f t="shared" si="99"/>
        <v>45651</v>
      </c>
      <c r="Q1261" t="s">
        <v>1134</v>
      </c>
      <c r="R1261" t="s">
        <v>1135</v>
      </c>
      <c r="S1261">
        <v>3</v>
      </c>
      <c r="T1261" t="s">
        <v>1143</v>
      </c>
      <c r="U1261" s="11" t="str">
        <f t="shared" si="100"/>
        <v>11:02:22 AM</v>
      </c>
      <c r="BL1261" s="2" t="s">
        <v>2411</v>
      </c>
    </row>
    <row r="1262" spans="1:64" x14ac:dyDescent="0.35">
      <c r="A1262">
        <v>4804</v>
      </c>
      <c r="B1262" t="s">
        <v>20</v>
      </c>
      <c r="C1262" s="1">
        <v>45560</v>
      </c>
      <c r="D1262" t="s">
        <v>17</v>
      </c>
      <c r="E1262" t="s">
        <v>33</v>
      </c>
      <c r="F1262">
        <v>1</v>
      </c>
      <c r="G1262">
        <v>2162.98</v>
      </c>
      <c r="H1262">
        <v>2162.98</v>
      </c>
      <c r="I1262">
        <v>185.09</v>
      </c>
      <c r="J1262">
        <v>1977.89</v>
      </c>
      <c r="K1262">
        <v>194</v>
      </c>
      <c r="L1262" s="11" t="s">
        <v>1049</v>
      </c>
      <c r="M1262">
        <f t="shared" si="96"/>
        <v>25</v>
      </c>
      <c r="N1262">
        <f t="shared" si="97"/>
        <v>9</v>
      </c>
      <c r="O1262">
        <f t="shared" si="98"/>
        <v>2024</v>
      </c>
      <c r="P1262" s="4">
        <f t="shared" si="99"/>
        <v>45560</v>
      </c>
      <c r="Q1262" t="s">
        <v>1134</v>
      </c>
      <c r="R1262" t="s">
        <v>1137</v>
      </c>
      <c r="S1262">
        <v>1</v>
      </c>
      <c r="T1262" t="s">
        <v>1145</v>
      </c>
      <c r="U1262" s="11" t="str">
        <f t="shared" si="100"/>
        <v>10:54:50 AM</v>
      </c>
      <c r="BL1262" s="2" t="s">
        <v>2412</v>
      </c>
    </row>
    <row r="1263" spans="1:64" x14ac:dyDescent="0.35">
      <c r="A1263">
        <v>1611</v>
      </c>
      <c r="B1263" t="s">
        <v>31</v>
      </c>
      <c r="C1263" s="1">
        <v>45854</v>
      </c>
      <c r="D1263" t="s">
        <v>6</v>
      </c>
      <c r="E1263" t="s">
        <v>10</v>
      </c>
      <c r="F1263">
        <v>4</v>
      </c>
      <c r="G1263">
        <v>1235.8699999999999</v>
      </c>
      <c r="H1263">
        <v>4943.4799999999996</v>
      </c>
      <c r="I1263">
        <v>0</v>
      </c>
      <c r="J1263">
        <v>4943.4799999999996</v>
      </c>
      <c r="K1263">
        <v>261</v>
      </c>
      <c r="L1263" s="11" t="s">
        <v>1050</v>
      </c>
      <c r="M1263">
        <f t="shared" si="96"/>
        <v>16</v>
      </c>
      <c r="N1263">
        <f t="shared" si="97"/>
        <v>7</v>
      </c>
      <c r="O1263">
        <f t="shared" si="98"/>
        <v>2025</v>
      </c>
      <c r="P1263" s="4">
        <f t="shared" si="99"/>
        <v>45854</v>
      </c>
      <c r="Q1263" t="s">
        <v>1134</v>
      </c>
      <c r="R1263" t="s">
        <v>1137</v>
      </c>
      <c r="S1263">
        <v>1</v>
      </c>
      <c r="T1263" t="s">
        <v>1145</v>
      </c>
      <c r="U1263" s="11" t="str">
        <f t="shared" si="100"/>
        <v>04:27:07 PM</v>
      </c>
      <c r="BL1263" s="2" t="s">
        <v>2413</v>
      </c>
    </row>
    <row r="1264" spans="1:64" x14ac:dyDescent="0.35">
      <c r="A1264">
        <v>3868</v>
      </c>
      <c r="B1264" t="s">
        <v>20</v>
      </c>
      <c r="C1264" s="1">
        <v>45469</v>
      </c>
      <c r="D1264" t="s">
        <v>24</v>
      </c>
      <c r="E1264" t="s">
        <v>38</v>
      </c>
      <c r="F1264">
        <v>3</v>
      </c>
      <c r="G1264">
        <v>956.99</v>
      </c>
      <c r="H1264">
        <v>2870.97</v>
      </c>
      <c r="I1264">
        <v>0</v>
      </c>
      <c r="J1264">
        <v>2870.97</v>
      </c>
      <c r="K1264">
        <v>482</v>
      </c>
      <c r="L1264" s="11" t="s">
        <v>1051</v>
      </c>
      <c r="M1264">
        <f t="shared" si="96"/>
        <v>26</v>
      </c>
      <c r="N1264">
        <f t="shared" si="97"/>
        <v>6</v>
      </c>
      <c r="O1264">
        <f t="shared" si="98"/>
        <v>2024</v>
      </c>
      <c r="P1264" s="4">
        <f t="shared" si="99"/>
        <v>45469</v>
      </c>
      <c r="Q1264" t="s">
        <v>1134</v>
      </c>
      <c r="R1264" t="s">
        <v>1137</v>
      </c>
      <c r="S1264">
        <v>4</v>
      </c>
      <c r="T1264" t="s">
        <v>1146</v>
      </c>
      <c r="U1264" s="11" t="str">
        <f t="shared" si="100"/>
        <v>07:32:30 AM</v>
      </c>
      <c r="BL1264" s="2" t="s">
        <v>2414</v>
      </c>
    </row>
    <row r="1265" spans="1:64" x14ac:dyDescent="0.35">
      <c r="A1265">
        <v>3880</v>
      </c>
      <c r="B1265" t="s">
        <v>13</v>
      </c>
      <c r="C1265" s="1">
        <v>45870</v>
      </c>
      <c r="D1265" t="s">
        <v>6</v>
      </c>
      <c r="E1265" t="s">
        <v>10</v>
      </c>
      <c r="F1265">
        <v>1</v>
      </c>
      <c r="G1265">
        <v>519.58000000000004</v>
      </c>
      <c r="H1265">
        <v>519.58000000000004</v>
      </c>
      <c r="I1265">
        <v>0</v>
      </c>
      <c r="J1265">
        <v>519.58000000000004</v>
      </c>
      <c r="K1265">
        <v>0</v>
      </c>
      <c r="L1265" s="11" t="s">
        <v>1052</v>
      </c>
      <c r="M1265">
        <f t="shared" si="96"/>
        <v>1</v>
      </c>
      <c r="N1265">
        <f t="shared" si="97"/>
        <v>8</v>
      </c>
      <c r="O1265">
        <f t="shared" si="98"/>
        <v>2025</v>
      </c>
      <c r="P1265" s="4">
        <f t="shared" si="99"/>
        <v>45870</v>
      </c>
      <c r="Q1265" t="s">
        <v>1134</v>
      </c>
      <c r="R1265" t="s">
        <v>1137</v>
      </c>
      <c r="S1265">
        <v>5</v>
      </c>
      <c r="T1265" t="s">
        <v>1143</v>
      </c>
      <c r="U1265" s="11" t="str">
        <f t="shared" si="100"/>
        <v>11:52:20 PM</v>
      </c>
      <c r="BL1265" s="2" t="s">
        <v>2415</v>
      </c>
    </row>
    <row r="1266" spans="1:64" x14ac:dyDescent="0.35">
      <c r="A1266">
        <v>1595</v>
      </c>
      <c r="B1266" t="s">
        <v>25</v>
      </c>
      <c r="C1266" s="1">
        <v>45794</v>
      </c>
      <c r="D1266" t="s">
        <v>6</v>
      </c>
      <c r="E1266" t="s">
        <v>26</v>
      </c>
      <c r="F1266">
        <v>4</v>
      </c>
      <c r="G1266">
        <v>756.13</v>
      </c>
      <c r="H1266">
        <v>3024.52</v>
      </c>
      <c r="I1266">
        <v>302.12</v>
      </c>
      <c r="J1266">
        <v>2722.4</v>
      </c>
      <c r="K1266">
        <v>310</v>
      </c>
      <c r="L1266" s="11" t="s">
        <v>1053</v>
      </c>
      <c r="M1266">
        <f t="shared" si="96"/>
        <v>17</v>
      </c>
      <c r="N1266">
        <f t="shared" si="97"/>
        <v>5</v>
      </c>
      <c r="O1266">
        <f t="shared" si="98"/>
        <v>2025</v>
      </c>
      <c r="P1266" s="4">
        <f t="shared" si="99"/>
        <v>45794</v>
      </c>
      <c r="Q1266" t="s">
        <v>1139</v>
      </c>
      <c r="R1266" t="s">
        <v>1137</v>
      </c>
      <c r="S1266">
        <v>1</v>
      </c>
      <c r="T1266" t="s">
        <v>1145</v>
      </c>
      <c r="U1266" s="11" t="str">
        <f t="shared" si="100"/>
        <v>12:36:27 AM</v>
      </c>
      <c r="BL1266" s="2" t="s">
        <v>2416</v>
      </c>
    </row>
    <row r="1267" spans="1:64" x14ac:dyDescent="0.35">
      <c r="A1267">
        <v>7504</v>
      </c>
      <c r="B1267" t="s">
        <v>8</v>
      </c>
      <c r="C1267" s="1">
        <v>45757</v>
      </c>
      <c r="D1267" t="s">
        <v>24</v>
      </c>
      <c r="E1267" t="s">
        <v>37</v>
      </c>
      <c r="F1267">
        <v>3</v>
      </c>
      <c r="G1267">
        <v>886.44</v>
      </c>
      <c r="H1267">
        <v>2659.32</v>
      </c>
      <c r="I1267">
        <v>0</v>
      </c>
      <c r="J1267">
        <v>2659.32</v>
      </c>
      <c r="K1267">
        <v>57</v>
      </c>
      <c r="L1267" s="11" t="s">
        <v>1054</v>
      </c>
      <c r="M1267">
        <f t="shared" si="96"/>
        <v>10</v>
      </c>
      <c r="N1267">
        <f t="shared" si="97"/>
        <v>4</v>
      </c>
      <c r="O1267">
        <f t="shared" si="98"/>
        <v>2025</v>
      </c>
      <c r="P1267" s="4">
        <f t="shared" si="99"/>
        <v>45757</v>
      </c>
      <c r="Q1267" t="s">
        <v>1134</v>
      </c>
      <c r="R1267" t="s">
        <v>1137</v>
      </c>
      <c r="S1267">
        <v>1</v>
      </c>
      <c r="T1267" t="s">
        <v>1141</v>
      </c>
      <c r="U1267" s="11" t="str">
        <f t="shared" si="100"/>
        <v>01:14:53 PM</v>
      </c>
      <c r="BL1267" s="2" t="s">
        <v>2417</v>
      </c>
    </row>
    <row r="1268" spans="1:64" x14ac:dyDescent="0.35">
      <c r="A1268">
        <v>9116</v>
      </c>
      <c r="B1268" t="s">
        <v>20</v>
      </c>
      <c r="C1268" s="1">
        <v>45289</v>
      </c>
      <c r="D1268" t="s">
        <v>16</v>
      </c>
      <c r="E1268" t="s">
        <v>7</v>
      </c>
      <c r="F1268">
        <v>2</v>
      </c>
      <c r="G1268">
        <v>879.8</v>
      </c>
      <c r="H1268">
        <v>1759.6</v>
      </c>
      <c r="I1268">
        <v>0</v>
      </c>
      <c r="J1268">
        <v>1759.6</v>
      </c>
      <c r="K1268">
        <v>379</v>
      </c>
      <c r="L1268" s="11" t="s">
        <v>1055</v>
      </c>
      <c r="M1268">
        <f t="shared" si="96"/>
        <v>29</v>
      </c>
      <c r="N1268">
        <f t="shared" si="97"/>
        <v>12</v>
      </c>
      <c r="O1268">
        <f t="shared" si="98"/>
        <v>2023</v>
      </c>
      <c r="P1268" s="4">
        <f t="shared" si="99"/>
        <v>45289</v>
      </c>
      <c r="Q1268" t="s">
        <v>1134</v>
      </c>
      <c r="R1268" t="s">
        <v>1137</v>
      </c>
      <c r="S1268">
        <v>3</v>
      </c>
      <c r="T1268" t="s">
        <v>1142</v>
      </c>
      <c r="U1268" s="11" t="str">
        <f t="shared" si="100"/>
        <v>04:59:04 AM</v>
      </c>
      <c r="BL1268" s="2" t="s">
        <v>2418</v>
      </c>
    </row>
    <row r="1269" spans="1:64" x14ac:dyDescent="0.35">
      <c r="A1269">
        <v>5742</v>
      </c>
      <c r="B1269" t="s">
        <v>3</v>
      </c>
      <c r="C1269" s="1">
        <v>45825</v>
      </c>
      <c r="D1269" t="s">
        <v>17</v>
      </c>
      <c r="E1269" t="s">
        <v>12</v>
      </c>
      <c r="F1269">
        <v>2</v>
      </c>
      <c r="G1269">
        <v>1647.55</v>
      </c>
      <c r="H1269">
        <v>3295.1</v>
      </c>
      <c r="I1269">
        <v>377.65</v>
      </c>
      <c r="J1269">
        <v>2917.45</v>
      </c>
      <c r="K1269">
        <v>107</v>
      </c>
      <c r="L1269" s="11" t="s">
        <v>1056</v>
      </c>
      <c r="M1269">
        <f t="shared" si="96"/>
        <v>17</v>
      </c>
      <c r="N1269">
        <f t="shared" si="97"/>
        <v>6</v>
      </c>
      <c r="O1269">
        <f t="shared" si="98"/>
        <v>2025</v>
      </c>
      <c r="P1269" s="4">
        <f t="shared" si="99"/>
        <v>45825</v>
      </c>
      <c r="Q1269" t="s">
        <v>1136</v>
      </c>
      <c r="R1269" t="s">
        <v>1135</v>
      </c>
      <c r="S1269">
        <v>2</v>
      </c>
      <c r="T1269" t="s">
        <v>1145</v>
      </c>
      <c r="U1269" s="11" t="str">
        <f t="shared" si="100"/>
        <v>01:24:43 AM</v>
      </c>
      <c r="BL1269" s="2" t="s">
        <v>2419</v>
      </c>
    </row>
    <row r="1270" spans="1:64" x14ac:dyDescent="0.35">
      <c r="A1270">
        <v>1613</v>
      </c>
      <c r="B1270" t="s">
        <v>8</v>
      </c>
      <c r="C1270" s="1">
        <v>45152</v>
      </c>
      <c r="D1270" t="s">
        <v>16</v>
      </c>
      <c r="E1270" t="s">
        <v>38</v>
      </c>
      <c r="F1270">
        <v>1</v>
      </c>
      <c r="G1270">
        <v>1494</v>
      </c>
      <c r="H1270">
        <v>1494</v>
      </c>
      <c r="I1270">
        <v>298.8</v>
      </c>
      <c r="J1270">
        <v>1195.2</v>
      </c>
      <c r="K1270">
        <v>467</v>
      </c>
      <c r="L1270" s="11" t="s">
        <v>1057</v>
      </c>
      <c r="M1270">
        <f t="shared" si="96"/>
        <v>14</v>
      </c>
      <c r="N1270">
        <f t="shared" si="97"/>
        <v>8</v>
      </c>
      <c r="O1270">
        <f t="shared" si="98"/>
        <v>2023</v>
      </c>
      <c r="P1270" s="4">
        <f t="shared" si="99"/>
        <v>45152</v>
      </c>
      <c r="Q1270" t="s">
        <v>1138</v>
      </c>
      <c r="R1270" t="s">
        <v>1135</v>
      </c>
      <c r="S1270">
        <v>4</v>
      </c>
      <c r="T1270" t="s">
        <v>1142</v>
      </c>
      <c r="U1270" s="11" t="str">
        <f t="shared" si="100"/>
        <v>02:09:08 PM</v>
      </c>
      <c r="BL1270" s="2" t="s">
        <v>2420</v>
      </c>
    </row>
    <row r="1271" spans="1:64" x14ac:dyDescent="0.35">
      <c r="A1271">
        <v>5888</v>
      </c>
      <c r="B1271" t="s">
        <v>15</v>
      </c>
      <c r="C1271" s="1">
        <v>45586</v>
      </c>
      <c r="D1271" t="s">
        <v>4</v>
      </c>
      <c r="E1271" t="s">
        <v>32</v>
      </c>
      <c r="F1271">
        <v>5</v>
      </c>
      <c r="G1271">
        <v>1572.02</v>
      </c>
      <c r="H1271">
        <v>7860.1</v>
      </c>
      <c r="I1271">
        <v>1572.02</v>
      </c>
      <c r="J1271">
        <v>6288.08</v>
      </c>
      <c r="K1271">
        <v>154</v>
      </c>
      <c r="L1271" s="11" t="s">
        <v>1058</v>
      </c>
      <c r="M1271">
        <f t="shared" si="96"/>
        <v>21</v>
      </c>
      <c r="N1271">
        <f t="shared" si="97"/>
        <v>10</v>
      </c>
      <c r="O1271">
        <f t="shared" si="98"/>
        <v>2024</v>
      </c>
      <c r="P1271" s="4">
        <f t="shared" si="99"/>
        <v>45586</v>
      </c>
      <c r="Q1271" t="s">
        <v>1139</v>
      </c>
      <c r="R1271" t="s">
        <v>1135</v>
      </c>
      <c r="S1271">
        <v>4</v>
      </c>
      <c r="T1271" t="s">
        <v>1150</v>
      </c>
      <c r="U1271" s="11" t="str">
        <f t="shared" si="100"/>
        <v>06:06:06 AM</v>
      </c>
      <c r="BL1271" s="2" t="s">
        <v>2421</v>
      </c>
    </row>
    <row r="1272" spans="1:64" x14ac:dyDescent="0.35">
      <c r="A1272">
        <v>2758</v>
      </c>
      <c r="B1272" t="s">
        <v>3</v>
      </c>
      <c r="C1272" s="1">
        <v>45866</v>
      </c>
      <c r="D1272" t="s">
        <v>23</v>
      </c>
      <c r="E1272" t="s">
        <v>29</v>
      </c>
      <c r="F1272">
        <v>2</v>
      </c>
      <c r="G1272">
        <v>543.65</v>
      </c>
      <c r="H1272">
        <v>1087.3</v>
      </c>
      <c r="I1272">
        <v>406.7</v>
      </c>
      <c r="J1272">
        <v>680.6</v>
      </c>
      <c r="K1272">
        <v>281</v>
      </c>
      <c r="L1272" s="11" t="s">
        <v>1059</v>
      </c>
      <c r="M1272">
        <f t="shared" si="96"/>
        <v>28</v>
      </c>
      <c r="N1272">
        <f t="shared" si="97"/>
        <v>7</v>
      </c>
      <c r="O1272">
        <f t="shared" si="98"/>
        <v>2025</v>
      </c>
      <c r="P1272" s="4">
        <f t="shared" si="99"/>
        <v>45866</v>
      </c>
      <c r="Q1272" t="s">
        <v>1139</v>
      </c>
      <c r="R1272" t="s">
        <v>1135</v>
      </c>
      <c r="S1272">
        <v>2</v>
      </c>
      <c r="T1272" t="s">
        <v>1144</v>
      </c>
      <c r="U1272" s="11" t="str">
        <f t="shared" si="100"/>
        <v>06:07:19 AM</v>
      </c>
      <c r="BL1272" s="2" t="s">
        <v>2422</v>
      </c>
    </row>
    <row r="1273" spans="1:64" x14ac:dyDescent="0.35">
      <c r="A1273">
        <v>6489</v>
      </c>
      <c r="B1273" t="s">
        <v>25</v>
      </c>
      <c r="C1273" s="1">
        <v>45366</v>
      </c>
      <c r="D1273" t="s">
        <v>34</v>
      </c>
      <c r="E1273" t="s">
        <v>38</v>
      </c>
      <c r="F1273">
        <v>4</v>
      </c>
      <c r="G1273">
        <v>244.85</v>
      </c>
      <c r="H1273">
        <v>979.4</v>
      </c>
      <c r="I1273">
        <v>195.88</v>
      </c>
      <c r="J1273">
        <v>783.52</v>
      </c>
      <c r="K1273">
        <v>214</v>
      </c>
      <c r="L1273" s="11" t="s">
        <v>1060</v>
      </c>
      <c r="M1273">
        <f t="shared" si="96"/>
        <v>15</v>
      </c>
      <c r="N1273">
        <f t="shared" si="97"/>
        <v>3</v>
      </c>
      <c r="O1273">
        <f t="shared" si="98"/>
        <v>2024</v>
      </c>
      <c r="P1273" s="4">
        <f t="shared" si="99"/>
        <v>45366</v>
      </c>
      <c r="Q1273" t="s">
        <v>1139</v>
      </c>
      <c r="R1273" t="s">
        <v>1135</v>
      </c>
      <c r="S1273">
        <v>1</v>
      </c>
      <c r="T1273" t="s">
        <v>1147</v>
      </c>
      <c r="U1273" s="11" t="str">
        <f t="shared" si="100"/>
        <v>06:59:50 PM</v>
      </c>
      <c r="BL1273" s="2" t="s">
        <v>2423</v>
      </c>
    </row>
    <row r="1274" spans="1:64" x14ac:dyDescent="0.35">
      <c r="A1274">
        <v>8444</v>
      </c>
      <c r="B1274" t="s">
        <v>19</v>
      </c>
      <c r="C1274" s="1">
        <v>45643</v>
      </c>
      <c r="D1274" t="s">
        <v>23</v>
      </c>
      <c r="E1274" t="s">
        <v>26</v>
      </c>
      <c r="F1274">
        <v>1</v>
      </c>
      <c r="G1274">
        <v>2382.9299999999998</v>
      </c>
      <c r="H1274">
        <v>2382.9299999999998</v>
      </c>
      <c r="I1274">
        <v>0</v>
      </c>
      <c r="J1274">
        <v>2382.9299999999998</v>
      </c>
      <c r="K1274">
        <v>31</v>
      </c>
      <c r="L1274" s="11" t="s">
        <v>1061</v>
      </c>
      <c r="M1274">
        <f t="shared" si="96"/>
        <v>17</v>
      </c>
      <c r="N1274">
        <f t="shared" si="97"/>
        <v>12</v>
      </c>
      <c r="O1274">
        <f t="shared" si="98"/>
        <v>2024</v>
      </c>
      <c r="P1274" s="4">
        <f t="shared" si="99"/>
        <v>45643</v>
      </c>
      <c r="Q1274" t="s">
        <v>1134</v>
      </c>
      <c r="R1274" t="s">
        <v>1135</v>
      </c>
      <c r="S1274">
        <v>3</v>
      </c>
      <c r="T1274" t="s">
        <v>1150</v>
      </c>
      <c r="U1274" s="11" t="str">
        <f t="shared" si="100"/>
        <v>10:16:46 PM</v>
      </c>
      <c r="BL1274" s="2" t="s">
        <v>2424</v>
      </c>
    </row>
    <row r="1275" spans="1:64" x14ac:dyDescent="0.35">
      <c r="A1275">
        <v>9901</v>
      </c>
      <c r="B1275" t="s">
        <v>13</v>
      </c>
      <c r="C1275" s="1">
        <v>45552</v>
      </c>
      <c r="D1275" t="s">
        <v>34</v>
      </c>
      <c r="E1275" t="s">
        <v>7</v>
      </c>
      <c r="F1275">
        <v>5</v>
      </c>
      <c r="G1275">
        <v>2420.2800000000002</v>
      </c>
      <c r="H1275">
        <v>12101.4</v>
      </c>
      <c r="I1275">
        <v>210.82</v>
      </c>
      <c r="J1275">
        <v>11890.58</v>
      </c>
      <c r="K1275">
        <v>84</v>
      </c>
      <c r="L1275" s="11" t="s">
        <v>1062</v>
      </c>
      <c r="M1275">
        <f t="shared" si="96"/>
        <v>17</v>
      </c>
      <c r="N1275">
        <f t="shared" si="97"/>
        <v>9</v>
      </c>
      <c r="O1275">
        <f t="shared" si="98"/>
        <v>2024</v>
      </c>
      <c r="P1275" s="4">
        <f t="shared" si="99"/>
        <v>45552</v>
      </c>
      <c r="Q1275" t="s">
        <v>1134</v>
      </c>
      <c r="R1275" t="s">
        <v>1135</v>
      </c>
      <c r="S1275">
        <v>3</v>
      </c>
      <c r="T1275" t="s">
        <v>1142</v>
      </c>
      <c r="U1275" s="11" t="str">
        <f t="shared" si="100"/>
        <v>06:46:24 PM</v>
      </c>
      <c r="BL1275" s="2" t="s">
        <v>2425</v>
      </c>
    </row>
    <row r="1276" spans="1:64" x14ac:dyDescent="0.35">
      <c r="A1276">
        <v>9092</v>
      </c>
      <c r="B1276" t="s">
        <v>13</v>
      </c>
      <c r="C1276" s="1">
        <v>45835</v>
      </c>
      <c r="D1276" t="s">
        <v>9</v>
      </c>
      <c r="E1276" t="s">
        <v>2</v>
      </c>
      <c r="F1276">
        <v>2</v>
      </c>
      <c r="G1276">
        <v>525.39</v>
      </c>
      <c r="H1276">
        <v>1050.78</v>
      </c>
      <c r="I1276">
        <v>314.57</v>
      </c>
      <c r="J1276">
        <v>736.21</v>
      </c>
      <c r="K1276">
        <v>81</v>
      </c>
      <c r="L1276" s="11" t="s">
        <v>1063</v>
      </c>
      <c r="M1276">
        <f t="shared" si="96"/>
        <v>27</v>
      </c>
      <c r="N1276">
        <f t="shared" si="97"/>
        <v>6</v>
      </c>
      <c r="O1276">
        <f t="shared" si="98"/>
        <v>2025</v>
      </c>
      <c r="P1276" s="4">
        <f t="shared" si="99"/>
        <v>45835</v>
      </c>
      <c r="Q1276" t="s">
        <v>1134</v>
      </c>
      <c r="R1276" t="s">
        <v>1137</v>
      </c>
      <c r="S1276">
        <v>4</v>
      </c>
      <c r="T1276" t="s">
        <v>1145</v>
      </c>
      <c r="U1276" s="11" t="str">
        <f t="shared" si="100"/>
        <v>04:46:11 AM</v>
      </c>
      <c r="BL1276" s="2" t="s">
        <v>2426</v>
      </c>
    </row>
    <row r="1277" spans="1:64" x14ac:dyDescent="0.35">
      <c r="A1277">
        <v>3198</v>
      </c>
      <c r="B1277" t="s">
        <v>3</v>
      </c>
      <c r="C1277" s="1">
        <v>45806</v>
      </c>
      <c r="D1277" t="s">
        <v>34</v>
      </c>
      <c r="E1277" t="s">
        <v>36</v>
      </c>
      <c r="F1277">
        <v>5</v>
      </c>
      <c r="G1277">
        <v>705.5</v>
      </c>
      <c r="H1277">
        <v>3527.5</v>
      </c>
      <c r="I1277">
        <v>529.54</v>
      </c>
      <c r="J1277">
        <v>2997.96</v>
      </c>
      <c r="K1277">
        <v>436</v>
      </c>
      <c r="L1277" s="11" t="s">
        <v>817</v>
      </c>
      <c r="M1277">
        <f t="shared" si="96"/>
        <v>29</v>
      </c>
      <c r="N1277">
        <f t="shared" si="97"/>
        <v>5</v>
      </c>
      <c r="O1277">
        <f t="shared" si="98"/>
        <v>2025</v>
      </c>
      <c r="P1277" s="4">
        <f t="shared" si="99"/>
        <v>45806</v>
      </c>
      <c r="Q1277" t="s">
        <v>1136</v>
      </c>
      <c r="R1277" t="s">
        <v>1137</v>
      </c>
      <c r="S1277">
        <v>3</v>
      </c>
      <c r="T1277" t="s">
        <v>1143</v>
      </c>
      <c r="U1277" s="11" t="str">
        <f t="shared" si="100"/>
        <v>04:39:04 AM</v>
      </c>
      <c r="BL1277" s="2" t="s">
        <v>2427</v>
      </c>
    </row>
    <row r="1278" spans="1:64" x14ac:dyDescent="0.35">
      <c r="A1278">
        <v>9261</v>
      </c>
      <c r="B1278" t="s">
        <v>19</v>
      </c>
      <c r="C1278" s="1">
        <v>45508</v>
      </c>
      <c r="D1278" t="s">
        <v>27</v>
      </c>
      <c r="E1278" t="s">
        <v>38</v>
      </c>
      <c r="F1278">
        <v>2</v>
      </c>
      <c r="G1278">
        <v>620.84</v>
      </c>
      <c r="H1278">
        <v>1241.68</v>
      </c>
      <c r="I1278">
        <v>185.92</v>
      </c>
      <c r="J1278">
        <v>1055.76</v>
      </c>
      <c r="K1278">
        <v>273</v>
      </c>
      <c r="L1278" s="11" t="s">
        <v>1064</v>
      </c>
      <c r="M1278">
        <f t="shared" si="96"/>
        <v>4</v>
      </c>
      <c r="N1278">
        <f t="shared" si="97"/>
        <v>8</v>
      </c>
      <c r="O1278">
        <f t="shared" si="98"/>
        <v>2024</v>
      </c>
      <c r="P1278" s="4">
        <f t="shared" si="99"/>
        <v>45508</v>
      </c>
      <c r="Q1278" t="s">
        <v>1138</v>
      </c>
      <c r="R1278" t="s">
        <v>1137</v>
      </c>
      <c r="S1278">
        <v>2</v>
      </c>
      <c r="T1278" t="s">
        <v>1142</v>
      </c>
      <c r="U1278" s="11" t="str">
        <f t="shared" si="100"/>
        <v>12:46:49 PM</v>
      </c>
      <c r="BL1278" s="2" t="s">
        <v>2428</v>
      </c>
    </row>
    <row r="1279" spans="1:64" x14ac:dyDescent="0.35">
      <c r="A1279">
        <v>5470</v>
      </c>
      <c r="B1279" t="s">
        <v>20</v>
      </c>
      <c r="C1279" s="1">
        <v>45294</v>
      </c>
      <c r="D1279" t="s">
        <v>16</v>
      </c>
      <c r="E1279" t="s">
        <v>30</v>
      </c>
      <c r="F1279">
        <v>3</v>
      </c>
      <c r="G1279">
        <v>2314.04</v>
      </c>
      <c r="H1279">
        <v>6942.12</v>
      </c>
      <c r="I1279">
        <v>0</v>
      </c>
      <c r="J1279">
        <v>6942.12</v>
      </c>
      <c r="K1279">
        <v>138</v>
      </c>
      <c r="L1279" s="11" t="s">
        <v>1065</v>
      </c>
      <c r="M1279">
        <f t="shared" si="96"/>
        <v>3</v>
      </c>
      <c r="N1279">
        <f t="shared" si="97"/>
        <v>1</v>
      </c>
      <c r="O1279">
        <f t="shared" si="98"/>
        <v>2024</v>
      </c>
      <c r="P1279" s="4">
        <f t="shared" si="99"/>
        <v>45294</v>
      </c>
      <c r="Q1279" t="s">
        <v>1134</v>
      </c>
      <c r="R1279" t="s">
        <v>1137</v>
      </c>
      <c r="S1279">
        <v>1</v>
      </c>
      <c r="T1279" t="s">
        <v>1145</v>
      </c>
      <c r="U1279" s="11" t="str">
        <f t="shared" si="100"/>
        <v>09:57:31 AM</v>
      </c>
      <c r="BL1279" s="2" t="s">
        <v>2429</v>
      </c>
    </row>
    <row r="1280" spans="1:64" x14ac:dyDescent="0.35">
      <c r="A1280">
        <v>2845</v>
      </c>
      <c r="B1280" t="s">
        <v>31</v>
      </c>
      <c r="C1280" s="1">
        <v>45401</v>
      </c>
      <c r="D1280" t="s">
        <v>6</v>
      </c>
      <c r="E1280" t="s">
        <v>7</v>
      </c>
      <c r="F1280">
        <v>1</v>
      </c>
      <c r="G1280">
        <v>85.49</v>
      </c>
      <c r="H1280">
        <v>85.49</v>
      </c>
      <c r="I1280">
        <v>12.45</v>
      </c>
      <c r="J1280">
        <v>73.040000000000006</v>
      </c>
      <c r="K1280">
        <v>177</v>
      </c>
      <c r="L1280" s="11" t="s">
        <v>1066</v>
      </c>
      <c r="M1280">
        <f t="shared" si="96"/>
        <v>19</v>
      </c>
      <c r="N1280">
        <f t="shared" si="97"/>
        <v>4</v>
      </c>
      <c r="O1280">
        <f t="shared" si="98"/>
        <v>2024</v>
      </c>
      <c r="P1280" s="4">
        <f t="shared" si="99"/>
        <v>45401</v>
      </c>
      <c r="Q1280" t="s">
        <v>1138</v>
      </c>
      <c r="R1280" t="s">
        <v>1135</v>
      </c>
      <c r="S1280">
        <v>2</v>
      </c>
      <c r="T1280" t="s">
        <v>1148</v>
      </c>
      <c r="U1280" s="11" t="str">
        <f t="shared" si="100"/>
        <v>03:36:48 AM</v>
      </c>
      <c r="BL1280" s="2" t="s">
        <v>2430</v>
      </c>
    </row>
    <row r="1281" spans="1:64" x14ac:dyDescent="0.35">
      <c r="A1281">
        <v>3662</v>
      </c>
      <c r="B1281" t="s">
        <v>0</v>
      </c>
      <c r="C1281" s="1">
        <v>45712</v>
      </c>
      <c r="D1281" t="s">
        <v>27</v>
      </c>
      <c r="E1281" t="s">
        <v>2</v>
      </c>
      <c r="F1281">
        <v>2</v>
      </c>
      <c r="G1281">
        <v>1064.8900000000001</v>
      </c>
      <c r="H1281">
        <v>2129.7800000000002</v>
      </c>
      <c r="I1281">
        <v>319.55</v>
      </c>
      <c r="J1281">
        <v>1810.23</v>
      </c>
      <c r="K1281">
        <v>313</v>
      </c>
      <c r="L1281" s="11" t="s">
        <v>1067</v>
      </c>
      <c r="M1281">
        <f t="shared" si="96"/>
        <v>24</v>
      </c>
      <c r="N1281">
        <f t="shared" si="97"/>
        <v>2</v>
      </c>
      <c r="O1281">
        <f t="shared" si="98"/>
        <v>2025</v>
      </c>
      <c r="P1281" s="4">
        <f t="shared" si="99"/>
        <v>45712</v>
      </c>
      <c r="Q1281" t="s">
        <v>1136</v>
      </c>
      <c r="R1281" t="s">
        <v>1135</v>
      </c>
      <c r="S1281">
        <v>5</v>
      </c>
      <c r="T1281" t="s">
        <v>1146</v>
      </c>
      <c r="U1281" s="11" t="str">
        <f t="shared" si="100"/>
        <v>04:49:24 AM</v>
      </c>
      <c r="BL1281" s="2" t="s">
        <v>2431</v>
      </c>
    </row>
    <row r="1282" spans="1:64" x14ac:dyDescent="0.35">
      <c r="A1282">
        <v>8518</v>
      </c>
      <c r="B1282" t="s">
        <v>20</v>
      </c>
      <c r="C1282" s="1">
        <v>45648</v>
      </c>
      <c r="D1282" t="s">
        <v>16</v>
      </c>
      <c r="E1282" t="s">
        <v>28</v>
      </c>
      <c r="F1282">
        <v>3</v>
      </c>
      <c r="G1282">
        <v>610.04999999999995</v>
      </c>
      <c r="H1282">
        <v>1830.15</v>
      </c>
      <c r="I1282">
        <v>366.03</v>
      </c>
      <c r="J1282">
        <v>1464.12</v>
      </c>
      <c r="K1282">
        <v>494</v>
      </c>
      <c r="L1282" s="11" t="s">
        <v>1068</v>
      </c>
      <c r="M1282">
        <f t="shared" ref="M1282:M1345" si="101">DAY(C1282)</f>
        <v>22</v>
      </c>
      <c r="N1282">
        <f t="shared" ref="N1282:N1345" si="102">MONTH(C1282)</f>
        <v>12</v>
      </c>
      <c r="O1282">
        <f t="shared" ref="O1282:O1345" si="103">YEAR(C1282)</f>
        <v>2024</v>
      </c>
      <c r="P1282" s="4">
        <f t="shared" si="99"/>
        <v>45648</v>
      </c>
      <c r="Q1282" t="s">
        <v>1139</v>
      </c>
      <c r="R1282" t="s">
        <v>1137</v>
      </c>
      <c r="S1282">
        <v>4</v>
      </c>
      <c r="T1282" t="s">
        <v>1141</v>
      </c>
      <c r="U1282" s="11" t="str">
        <f t="shared" si="100"/>
        <v>01:42:51 PM</v>
      </c>
      <c r="BL1282" s="2" t="s">
        <v>2432</v>
      </c>
    </row>
    <row r="1283" spans="1:64" x14ac:dyDescent="0.35">
      <c r="A1283">
        <v>5215</v>
      </c>
      <c r="B1283" t="s">
        <v>19</v>
      </c>
      <c r="C1283" s="1">
        <v>45703</v>
      </c>
      <c r="D1283" t="s">
        <v>1</v>
      </c>
      <c r="E1283" t="s">
        <v>7</v>
      </c>
      <c r="F1283">
        <v>5</v>
      </c>
      <c r="G1283">
        <v>338.64</v>
      </c>
      <c r="H1283">
        <v>1693.2</v>
      </c>
      <c r="I1283">
        <v>0</v>
      </c>
      <c r="J1283">
        <v>1693.2</v>
      </c>
      <c r="K1283">
        <v>381</v>
      </c>
      <c r="L1283" s="11" t="s">
        <v>1069</v>
      </c>
      <c r="M1283">
        <f t="shared" si="101"/>
        <v>15</v>
      </c>
      <c r="N1283">
        <f t="shared" si="102"/>
        <v>2</v>
      </c>
      <c r="O1283">
        <f t="shared" si="103"/>
        <v>2025</v>
      </c>
      <c r="P1283" s="4">
        <f t="shared" ref="P1283:P1346" si="104">DATE(O1283,N1283,M1283)</f>
        <v>45703</v>
      </c>
      <c r="Q1283" t="s">
        <v>1134</v>
      </c>
      <c r="R1283" t="s">
        <v>1137</v>
      </c>
      <c r="S1283">
        <v>3</v>
      </c>
      <c r="T1283" t="s">
        <v>1141</v>
      </c>
      <c r="U1283" s="11" t="str">
        <f t="shared" si="100"/>
        <v>04:10:05 PM</v>
      </c>
      <c r="BL1283" s="2" t="s">
        <v>2433</v>
      </c>
    </row>
    <row r="1284" spans="1:64" x14ac:dyDescent="0.35">
      <c r="A1284">
        <v>4050</v>
      </c>
      <c r="B1284" t="s">
        <v>19</v>
      </c>
      <c r="C1284" s="1">
        <v>45155</v>
      </c>
      <c r="D1284" t="s">
        <v>16</v>
      </c>
      <c r="E1284" t="s">
        <v>7</v>
      </c>
      <c r="F1284">
        <v>2</v>
      </c>
      <c r="G1284">
        <v>2048.44</v>
      </c>
      <c r="H1284">
        <v>4096.88</v>
      </c>
      <c r="I1284">
        <v>614.20000000000005</v>
      </c>
      <c r="J1284">
        <v>3482.68</v>
      </c>
      <c r="K1284">
        <v>112</v>
      </c>
      <c r="L1284" s="11" t="s">
        <v>1070</v>
      </c>
      <c r="M1284">
        <f t="shared" si="101"/>
        <v>17</v>
      </c>
      <c r="N1284">
        <f t="shared" si="102"/>
        <v>8</v>
      </c>
      <c r="O1284">
        <f t="shared" si="103"/>
        <v>2023</v>
      </c>
      <c r="P1284" s="4">
        <f t="shared" si="104"/>
        <v>45155</v>
      </c>
      <c r="Q1284" t="s">
        <v>1138</v>
      </c>
      <c r="R1284" t="s">
        <v>1135</v>
      </c>
      <c r="S1284">
        <v>5</v>
      </c>
      <c r="T1284" t="s">
        <v>1149</v>
      </c>
      <c r="U1284" s="11" t="str">
        <f t="shared" si="100"/>
        <v>03:59:06 AM</v>
      </c>
      <c r="BL1284" s="2" t="s">
        <v>2434</v>
      </c>
    </row>
    <row r="1285" spans="1:64" x14ac:dyDescent="0.35">
      <c r="A1285">
        <v>6523</v>
      </c>
      <c r="B1285" t="s">
        <v>31</v>
      </c>
      <c r="C1285" s="1">
        <v>45759</v>
      </c>
      <c r="D1285" t="s">
        <v>17</v>
      </c>
      <c r="E1285" t="s">
        <v>21</v>
      </c>
      <c r="F1285">
        <v>2</v>
      </c>
      <c r="G1285">
        <v>1156.19</v>
      </c>
      <c r="H1285">
        <v>2312.38</v>
      </c>
      <c r="I1285">
        <v>346.94</v>
      </c>
      <c r="J1285">
        <v>1965.44</v>
      </c>
      <c r="K1285">
        <v>373</v>
      </c>
      <c r="L1285" s="11" t="s">
        <v>1071</v>
      </c>
      <c r="M1285">
        <f t="shared" si="101"/>
        <v>12</v>
      </c>
      <c r="N1285">
        <f t="shared" si="102"/>
        <v>4</v>
      </c>
      <c r="O1285">
        <f t="shared" si="103"/>
        <v>2025</v>
      </c>
      <c r="P1285" s="4">
        <f t="shared" si="104"/>
        <v>45759</v>
      </c>
      <c r="Q1285" t="s">
        <v>1138</v>
      </c>
      <c r="R1285" t="s">
        <v>1137</v>
      </c>
      <c r="S1285">
        <v>3</v>
      </c>
      <c r="T1285" t="s">
        <v>1149</v>
      </c>
      <c r="U1285" s="11" t="str">
        <f t="shared" si="100"/>
        <v>11:52:17 AM</v>
      </c>
      <c r="BL1285" s="2" t="s">
        <v>2435</v>
      </c>
    </row>
    <row r="1286" spans="1:64" x14ac:dyDescent="0.35">
      <c r="A1286">
        <v>5833</v>
      </c>
      <c r="B1286" t="s">
        <v>8</v>
      </c>
      <c r="C1286" s="1">
        <v>45586</v>
      </c>
      <c r="D1286" t="s">
        <v>34</v>
      </c>
      <c r="E1286" t="s">
        <v>32</v>
      </c>
      <c r="F1286">
        <v>4</v>
      </c>
      <c r="G1286">
        <v>518.75</v>
      </c>
      <c r="H1286">
        <v>2075</v>
      </c>
      <c r="I1286">
        <v>415</v>
      </c>
      <c r="J1286">
        <v>1660</v>
      </c>
      <c r="K1286">
        <v>94</v>
      </c>
      <c r="L1286" s="11" t="s">
        <v>1072</v>
      </c>
      <c r="M1286">
        <f t="shared" si="101"/>
        <v>21</v>
      </c>
      <c r="N1286">
        <f t="shared" si="102"/>
        <v>10</v>
      </c>
      <c r="O1286">
        <f t="shared" si="103"/>
        <v>2024</v>
      </c>
      <c r="P1286" s="4">
        <f t="shared" si="104"/>
        <v>45586</v>
      </c>
      <c r="Q1286" t="s">
        <v>1134</v>
      </c>
      <c r="R1286" t="s">
        <v>1137</v>
      </c>
      <c r="S1286">
        <v>1</v>
      </c>
      <c r="T1286" t="s">
        <v>1150</v>
      </c>
      <c r="U1286" s="11" t="str">
        <f t="shared" si="100"/>
        <v>03:04:32 PM</v>
      </c>
      <c r="BL1286" s="2" t="s">
        <v>2436</v>
      </c>
    </row>
    <row r="1287" spans="1:64" x14ac:dyDescent="0.35">
      <c r="A1287">
        <v>4164</v>
      </c>
      <c r="B1287" t="s">
        <v>15</v>
      </c>
      <c r="C1287" s="1">
        <v>45281</v>
      </c>
      <c r="D1287" t="s">
        <v>23</v>
      </c>
      <c r="E1287" t="s">
        <v>26</v>
      </c>
      <c r="F1287">
        <v>1</v>
      </c>
      <c r="G1287">
        <v>828.34</v>
      </c>
      <c r="H1287">
        <v>828.34</v>
      </c>
      <c r="I1287">
        <v>83</v>
      </c>
      <c r="J1287">
        <v>745.34</v>
      </c>
      <c r="K1287">
        <v>453</v>
      </c>
      <c r="L1287" s="11" t="s">
        <v>1073</v>
      </c>
      <c r="M1287">
        <f t="shared" si="101"/>
        <v>21</v>
      </c>
      <c r="N1287">
        <f t="shared" si="102"/>
        <v>12</v>
      </c>
      <c r="O1287">
        <f t="shared" si="103"/>
        <v>2023</v>
      </c>
      <c r="P1287" s="4">
        <f t="shared" si="104"/>
        <v>45281</v>
      </c>
      <c r="Q1287" t="s">
        <v>1139</v>
      </c>
      <c r="R1287" t="s">
        <v>1137</v>
      </c>
      <c r="S1287">
        <v>1</v>
      </c>
      <c r="T1287" t="s">
        <v>1146</v>
      </c>
      <c r="U1287" s="11" t="str">
        <f t="shared" si="100"/>
        <v>03:38:17 PM</v>
      </c>
      <c r="BL1287" s="2" t="s">
        <v>2437</v>
      </c>
    </row>
    <row r="1288" spans="1:64" x14ac:dyDescent="0.35">
      <c r="A1288">
        <v>7643</v>
      </c>
      <c r="B1288" t="s">
        <v>31</v>
      </c>
      <c r="C1288" s="1">
        <v>45787</v>
      </c>
      <c r="D1288" t="s">
        <v>4</v>
      </c>
      <c r="E1288" t="s">
        <v>30</v>
      </c>
      <c r="F1288">
        <v>1</v>
      </c>
      <c r="G1288">
        <v>1108.8800000000001</v>
      </c>
      <c r="H1288">
        <v>1108.8800000000001</v>
      </c>
      <c r="I1288">
        <v>323.7</v>
      </c>
      <c r="J1288">
        <v>785.18</v>
      </c>
      <c r="K1288">
        <v>232</v>
      </c>
      <c r="L1288" s="11" t="s">
        <v>1074</v>
      </c>
      <c r="M1288">
        <f t="shared" si="101"/>
        <v>10</v>
      </c>
      <c r="N1288">
        <f t="shared" si="102"/>
        <v>5</v>
      </c>
      <c r="O1288">
        <f t="shared" si="103"/>
        <v>2025</v>
      </c>
      <c r="P1288" s="4">
        <f t="shared" si="104"/>
        <v>45787</v>
      </c>
      <c r="Q1288" t="s">
        <v>1139</v>
      </c>
      <c r="R1288" t="s">
        <v>1137</v>
      </c>
      <c r="S1288">
        <v>1</v>
      </c>
      <c r="T1288" t="s">
        <v>1147</v>
      </c>
      <c r="U1288" s="11" t="str">
        <f t="shared" si="100"/>
        <v>02:05:56 AM</v>
      </c>
      <c r="BL1288" s="2" t="s">
        <v>2438</v>
      </c>
    </row>
    <row r="1289" spans="1:64" x14ac:dyDescent="0.35">
      <c r="A1289">
        <v>8007</v>
      </c>
      <c r="B1289" t="s">
        <v>8</v>
      </c>
      <c r="C1289" s="1">
        <v>45545</v>
      </c>
      <c r="D1289" t="s">
        <v>1</v>
      </c>
      <c r="E1289" t="s">
        <v>38</v>
      </c>
      <c r="F1289">
        <v>4</v>
      </c>
      <c r="G1289">
        <v>1006.79</v>
      </c>
      <c r="H1289">
        <v>4027.16</v>
      </c>
      <c r="I1289">
        <v>0</v>
      </c>
      <c r="J1289">
        <v>4027.16</v>
      </c>
      <c r="K1289">
        <v>56</v>
      </c>
      <c r="L1289" s="11" t="s">
        <v>1075</v>
      </c>
      <c r="M1289">
        <f t="shared" si="101"/>
        <v>10</v>
      </c>
      <c r="N1289">
        <f t="shared" si="102"/>
        <v>9</v>
      </c>
      <c r="O1289">
        <f t="shared" si="103"/>
        <v>2024</v>
      </c>
      <c r="P1289" s="4">
        <f t="shared" si="104"/>
        <v>45545</v>
      </c>
      <c r="Q1289" t="s">
        <v>1139</v>
      </c>
      <c r="R1289" t="s">
        <v>1135</v>
      </c>
      <c r="S1289">
        <v>3</v>
      </c>
      <c r="T1289" t="s">
        <v>1141</v>
      </c>
      <c r="U1289" s="11" t="str">
        <f t="shared" si="100"/>
        <v>08:44:21 AM</v>
      </c>
      <c r="BL1289" s="2" t="s">
        <v>2439</v>
      </c>
    </row>
    <row r="1290" spans="1:64" x14ac:dyDescent="0.35">
      <c r="A1290">
        <v>6372</v>
      </c>
      <c r="B1290" t="s">
        <v>20</v>
      </c>
      <c r="C1290" s="1">
        <v>45212</v>
      </c>
      <c r="D1290" t="s">
        <v>23</v>
      </c>
      <c r="E1290" t="s">
        <v>14</v>
      </c>
      <c r="F1290">
        <v>1</v>
      </c>
      <c r="G1290">
        <v>726.25</v>
      </c>
      <c r="H1290">
        <v>726.25</v>
      </c>
      <c r="I1290">
        <v>400.89</v>
      </c>
      <c r="J1290">
        <v>325.36</v>
      </c>
      <c r="K1290">
        <v>480</v>
      </c>
      <c r="L1290" s="11" t="s">
        <v>1076</v>
      </c>
      <c r="M1290">
        <f t="shared" si="101"/>
        <v>13</v>
      </c>
      <c r="N1290">
        <f t="shared" si="102"/>
        <v>10</v>
      </c>
      <c r="O1290">
        <f t="shared" si="103"/>
        <v>2023</v>
      </c>
      <c r="P1290" s="4">
        <f t="shared" si="104"/>
        <v>45212</v>
      </c>
      <c r="Q1290" t="s">
        <v>1136</v>
      </c>
      <c r="R1290" t="s">
        <v>1137</v>
      </c>
      <c r="S1290">
        <v>5</v>
      </c>
      <c r="T1290" t="s">
        <v>1149</v>
      </c>
      <c r="U1290" s="11" t="str">
        <f t="shared" si="100"/>
        <v>08:44:11 AM</v>
      </c>
      <c r="BL1290" s="2" t="s">
        <v>2440</v>
      </c>
    </row>
    <row r="1291" spans="1:64" x14ac:dyDescent="0.35">
      <c r="A1291">
        <v>7567</v>
      </c>
      <c r="B1291" t="s">
        <v>0</v>
      </c>
      <c r="C1291" s="1">
        <v>45664</v>
      </c>
      <c r="D1291" t="s">
        <v>27</v>
      </c>
      <c r="E1291" t="s">
        <v>10</v>
      </c>
      <c r="F1291">
        <v>1</v>
      </c>
      <c r="G1291">
        <v>569.38</v>
      </c>
      <c r="H1291">
        <v>569.38</v>
      </c>
      <c r="I1291">
        <v>113.71</v>
      </c>
      <c r="J1291">
        <v>455.67</v>
      </c>
      <c r="K1291">
        <v>245</v>
      </c>
      <c r="L1291" s="11" t="s">
        <v>1077</v>
      </c>
      <c r="M1291">
        <f t="shared" si="101"/>
        <v>7</v>
      </c>
      <c r="N1291">
        <f t="shared" si="102"/>
        <v>1</v>
      </c>
      <c r="O1291">
        <f t="shared" si="103"/>
        <v>2025</v>
      </c>
      <c r="P1291" s="4">
        <f t="shared" si="104"/>
        <v>45664</v>
      </c>
      <c r="Q1291" t="s">
        <v>1138</v>
      </c>
      <c r="R1291" t="s">
        <v>1137</v>
      </c>
      <c r="S1291">
        <v>1</v>
      </c>
      <c r="T1291" t="s">
        <v>1146</v>
      </c>
      <c r="U1291" s="11" t="str">
        <f t="shared" si="100"/>
        <v>12:51:58 AM</v>
      </c>
      <c r="BL1291" s="2" t="s">
        <v>2441</v>
      </c>
    </row>
    <row r="1292" spans="1:64" x14ac:dyDescent="0.35">
      <c r="A1292">
        <v>2562</v>
      </c>
      <c r="B1292" t="s">
        <v>19</v>
      </c>
      <c r="C1292" s="1">
        <v>45288</v>
      </c>
      <c r="D1292" t="s">
        <v>11</v>
      </c>
      <c r="E1292" t="s">
        <v>37</v>
      </c>
      <c r="F1292">
        <v>2</v>
      </c>
      <c r="G1292">
        <v>668.98</v>
      </c>
      <c r="H1292">
        <v>1337.96</v>
      </c>
      <c r="I1292">
        <v>0</v>
      </c>
      <c r="J1292">
        <v>1337.96</v>
      </c>
      <c r="K1292">
        <v>278</v>
      </c>
      <c r="L1292" s="11" t="s">
        <v>1078</v>
      </c>
      <c r="M1292">
        <f t="shared" si="101"/>
        <v>28</v>
      </c>
      <c r="N1292">
        <f t="shared" si="102"/>
        <v>12</v>
      </c>
      <c r="O1292">
        <f t="shared" si="103"/>
        <v>2023</v>
      </c>
      <c r="P1292" s="4">
        <f t="shared" si="104"/>
        <v>45288</v>
      </c>
      <c r="Q1292" t="s">
        <v>1138</v>
      </c>
      <c r="R1292" t="s">
        <v>1135</v>
      </c>
      <c r="S1292">
        <v>5</v>
      </c>
      <c r="T1292" t="s">
        <v>1144</v>
      </c>
      <c r="U1292" s="11" t="str">
        <f t="shared" si="100"/>
        <v>11:51:08 AM</v>
      </c>
      <c r="BL1292" s="2" t="s">
        <v>2442</v>
      </c>
    </row>
    <row r="1293" spans="1:64" x14ac:dyDescent="0.35">
      <c r="A1293">
        <v>3303</v>
      </c>
      <c r="B1293" t="s">
        <v>3</v>
      </c>
      <c r="C1293" s="1">
        <v>45515</v>
      </c>
      <c r="D1293" t="s">
        <v>4</v>
      </c>
      <c r="E1293" t="s">
        <v>28</v>
      </c>
      <c r="F1293">
        <v>1</v>
      </c>
      <c r="G1293">
        <v>329.51</v>
      </c>
      <c r="H1293">
        <v>329.51</v>
      </c>
      <c r="I1293">
        <v>377.65</v>
      </c>
      <c r="J1293">
        <v>-48.14</v>
      </c>
      <c r="K1293">
        <v>151</v>
      </c>
      <c r="L1293" s="11" t="s">
        <v>1079</v>
      </c>
      <c r="M1293">
        <f t="shared" si="101"/>
        <v>11</v>
      </c>
      <c r="N1293">
        <f t="shared" si="102"/>
        <v>8</v>
      </c>
      <c r="O1293">
        <f t="shared" si="103"/>
        <v>2024</v>
      </c>
      <c r="P1293" s="4">
        <f t="shared" si="104"/>
        <v>45515</v>
      </c>
      <c r="Q1293" t="s">
        <v>1138</v>
      </c>
      <c r="R1293" t="s">
        <v>1135</v>
      </c>
      <c r="S1293">
        <v>3</v>
      </c>
      <c r="T1293" t="s">
        <v>1147</v>
      </c>
      <c r="U1293" s="11" t="str">
        <f t="shared" si="100"/>
        <v>09:46:46 AM</v>
      </c>
      <c r="BL1293" s="2" t="s">
        <v>2443</v>
      </c>
    </row>
    <row r="1294" spans="1:64" x14ac:dyDescent="0.35">
      <c r="A1294">
        <v>6301</v>
      </c>
      <c r="B1294" t="s">
        <v>13</v>
      </c>
      <c r="C1294" s="1">
        <v>45871</v>
      </c>
      <c r="D1294" t="s">
        <v>23</v>
      </c>
      <c r="E1294" t="s">
        <v>28</v>
      </c>
      <c r="F1294">
        <v>2</v>
      </c>
      <c r="G1294">
        <v>140.27000000000001</v>
      </c>
      <c r="H1294">
        <v>280.54000000000002</v>
      </c>
      <c r="I1294">
        <v>56.44</v>
      </c>
      <c r="J1294">
        <v>224.1</v>
      </c>
      <c r="K1294">
        <v>218</v>
      </c>
      <c r="L1294" s="11" t="s">
        <v>1080</v>
      </c>
      <c r="M1294">
        <f t="shared" si="101"/>
        <v>2</v>
      </c>
      <c r="N1294">
        <f t="shared" si="102"/>
        <v>8</v>
      </c>
      <c r="O1294">
        <f t="shared" si="103"/>
        <v>2025</v>
      </c>
      <c r="P1294" s="4">
        <f t="shared" si="104"/>
        <v>45871</v>
      </c>
      <c r="Q1294" t="s">
        <v>1136</v>
      </c>
      <c r="R1294" t="s">
        <v>1137</v>
      </c>
      <c r="S1294">
        <v>5</v>
      </c>
      <c r="T1294" t="s">
        <v>1142</v>
      </c>
      <c r="U1294" s="11" t="str">
        <f t="shared" si="100"/>
        <v>11:04:54 AM</v>
      </c>
      <c r="BL1294" s="2" t="s">
        <v>2444</v>
      </c>
    </row>
    <row r="1295" spans="1:64" x14ac:dyDescent="0.35">
      <c r="A1295">
        <v>5064</v>
      </c>
      <c r="B1295" t="s">
        <v>25</v>
      </c>
      <c r="C1295" s="1">
        <v>45150</v>
      </c>
      <c r="D1295" t="s">
        <v>16</v>
      </c>
      <c r="E1295" t="s">
        <v>26</v>
      </c>
      <c r="F1295">
        <v>2</v>
      </c>
      <c r="G1295">
        <v>2300.7600000000002</v>
      </c>
      <c r="H1295">
        <v>4601.5200000000004</v>
      </c>
      <c r="I1295">
        <v>0</v>
      </c>
      <c r="J1295">
        <v>4601.5200000000004</v>
      </c>
      <c r="K1295">
        <v>350</v>
      </c>
      <c r="L1295" s="11" t="s">
        <v>1081</v>
      </c>
      <c r="M1295">
        <f t="shared" si="101"/>
        <v>12</v>
      </c>
      <c r="N1295">
        <f t="shared" si="102"/>
        <v>8</v>
      </c>
      <c r="O1295">
        <f t="shared" si="103"/>
        <v>2023</v>
      </c>
      <c r="P1295" s="4">
        <f t="shared" si="104"/>
        <v>45150</v>
      </c>
      <c r="Q1295" t="s">
        <v>1138</v>
      </c>
      <c r="R1295" t="s">
        <v>1135</v>
      </c>
      <c r="S1295">
        <v>3</v>
      </c>
      <c r="T1295" t="s">
        <v>1146</v>
      </c>
      <c r="U1295" s="11" t="str">
        <f t="shared" si="100"/>
        <v>05:31:28 PM</v>
      </c>
      <c r="BL1295" s="2" t="s">
        <v>2445</v>
      </c>
    </row>
    <row r="1296" spans="1:64" x14ac:dyDescent="0.35">
      <c r="A1296">
        <v>5272</v>
      </c>
      <c r="B1296" t="s">
        <v>0</v>
      </c>
      <c r="C1296" s="1">
        <v>45442</v>
      </c>
      <c r="D1296" t="s">
        <v>34</v>
      </c>
      <c r="E1296" t="s">
        <v>18</v>
      </c>
      <c r="F1296">
        <v>1</v>
      </c>
      <c r="G1296">
        <v>622.5</v>
      </c>
      <c r="H1296">
        <v>622.5</v>
      </c>
      <c r="I1296">
        <v>92.96</v>
      </c>
      <c r="J1296">
        <v>529.54</v>
      </c>
      <c r="K1296">
        <v>489</v>
      </c>
      <c r="L1296" s="11" t="s">
        <v>1082</v>
      </c>
      <c r="M1296">
        <f t="shared" si="101"/>
        <v>30</v>
      </c>
      <c r="N1296">
        <f t="shared" si="102"/>
        <v>5</v>
      </c>
      <c r="O1296">
        <f t="shared" si="103"/>
        <v>2024</v>
      </c>
      <c r="P1296" s="4">
        <f t="shared" si="104"/>
        <v>45442</v>
      </c>
      <c r="Q1296" t="s">
        <v>1136</v>
      </c>
      <c r="R1296" t="s">
        <v>1137</v>
      </c>
      <c r="S1296">
        <v>3</v>
      </c>
      <c r="T1296" t="s">
        <v>1143</v>
      </c>
      <c r="U1296" s="11" t="str">
        <f t="shared" si="100"/>
        <v>08:11:27 PM</v>
      </c>
      <c r="BL1296" s="2" t="s">
        <v>2446</v>
      </c>
    </row>
    <row r="1297" spans="1:64" x14ac:dyDescent="0.35">
      <c r="A1297">
        <v>4858</v>
      </c>
      <c r="B1297" t="s">
        <v>0</v>
      </c>
      <c r="C1297" s="1">
        <v>45491</v>
      </c>
      <c r="D1297" t="s">
        <v>17</v>
      </c>
      <c r="E1297" t="s">
        <v>10</v>
      </c>
      <c r="F1297">
        <v>1</v>
      </c>
      <c r="G1297">
        <v>949.52</v>
      </c>
      <c r="H1297">
        <v>949.52</v>
      </c>
      <c r="I1297">
        <v>283.86</v>
      </c>
      <c r="J1297">
        <v>665.66</v>
      </c>
      <c r="K1297">
        <v>473</v>
      </c>
      <c r="L1297" s="11" t="s">
        <v>1083</v>
      </c>
      <c r="M1297">
        <f t="shared" si="101"/>
        <v>18</v>
      </c>
      <c r="N1297">
        <f t="shared" si="102"/>
        <v>7</v>
      </c>
      <c r="O1297">
        <f t="shared" si="103"/>
        <v>2024</v>
      </c>
      <c r="P1297" s="4">
        <f t="shared" si="104"/>
        <v>45491</v>
      </c>
      <c r="Q1297" t="s">
        <v>1139</v>
      </c>
      <c r="R1297" t="s">
        <v>1137</v>
      </c>
      <c r="S1297">
        <v>4</v>
      </c>
      <c r="T1297" t="s">
        <v>1149</v>
      </c>
      <c r="U1297" s="11" t="str">
        <f t="shared" si="100"/>
        <v>04:37:55 PM</v>
      </c>
      <c r="BL1297" s="2" t="s">
        <v>2447</v>
      </c>
    </row>
    <row r="1298" spans="1:64" x14ac:dyDescent="0.35">
      <c r="A1298">
        <v>5374</v>
      </c>
      <c r="B1298" t="s">
        <v>8</v>
      </c>
      <c r="C1298" s="1">
        <v>45401</v>
      </c>
      <c r="D1298" t="s">
        <v>9</v>
      </c>
      <c r="E1298" t="s">
        <v>36</v>
      </c>
      <c r="F1298">
        <v>3</v>
      </c>
      <c r="G1298">
        <v>1525.54</v>
      </c>
      <c r="H1298">
        <v>4576.62</v>
      </c>
      <c r="I1298">
        <v>915.49</v>
      </c>
      <c r="J1298">
        <v>3661.13</v>
      </c>
      <c r="K1298">
        <v>347</v>
      </c>
      <c r="L1298" s="11" t="s">
        <v>1084</v>
      </c>
      <c r="M1298">
        <f t="shared" si="101"/>
        <v>19</v>
      </c>
      <c r="N1298">
        <f t="shared" si="102"/>
        <v>4</v>
      </c>
      <c r="O1298">
        <f t="shared" si="103"/>
        <v>2024</v>
      </c>
      <c r="P1298" s="4">
        <f t="shared" si="104"/>
        <v>45401</v>
      </c>
      <c r="Q1298" t="s">
        <v>1134</v>
      </c>
      <c r="R1298" t="s">
        <v>1135</v>
      </c>
      <c r="S1298">
        <v>3</v>
      </c>
      <c r="T1298" t="s">
        <v>1142</v>
      </c>
      <c r="U1298" s="11" t="str">
        <f t="shared" si="100"/>
        <v>02:50:03 AM</v>
      </c>
      <c r="BL1298" s="2" t="s">
        <v>2448</v>
      </c>
    </row>
    <row r="1299" spans="1:64" x14ac:dyDescent="0.35">
      <c r="A1299">
        <v>5947</v>
      </c>
      <c r="B1299" t="s">
        <v>19</v>
      </c>
      <c r="C1299" s="1">
        <v>45597</v>
      </c>
      <c r="D1299" t="s">
        <v>17</v>
      </c>
      <c r="E1299" t="s">
        <v>26</v>
      </c>
      <c r="F1299">
        <v>3</v>
      </c>
      <c r="G1299">
        <v>2189.54</v>
      </c>
      <c r="H1299">
        <v>6568.62</v>
      </c>
      <c r="I1299">
        <v>0</v>
      </c>
      <c r="J1299">
        <v>6568.62</v>
      </c>
      <c r="K1299">
        <v>138</v>
      </c>
      <c r="L1299" s="11" t="s">
        <v>1085</v>
      </c>
      <c r="M1299">
        <f t="shared" si="101"/>
        <v>1</v>
      </c>
      <c r="N1299">
        <f t="shared" si="102"/>
        <v>11</v>
      </c>
      <c r="O1299">
        <f t="shared" si="103"/>
        <v>2024</v>
      </c>
      <c r="P1299" s="4">
        <f t="shared" si="104"/>
        <v>45597</v>
      </c>
      <c r="Q1299" t="s">
        <v>1138</v>
      </c>
      <c r="R1299" t="s">
        <v>1137</v>
      </c>
      <c r="S1299">
        <v>3</v>
      </c>
      <c r="T1299" t="s">
        <v>1142</v>
      </c>
      <c r="U1299" s="11" t="str">
        <f t="shared" si="100"/>
        <v>08:09:57 AM</v>
      </c>
      <c r="BL1299" s="2" t="s">
        <v>2449</v>
      </c>
    </row>
    <row r="1300" spans="1:64" x14ac:dyDescent="0.35">
      <c r="A1300">
        <v>1187</v>
      </c>
      <c r="B1300" t="s">
        <v>25</v>
      </c>
      <c r="C1300" s="1">
        <v>45348</v>
      </c>
      <c r="D1300" t="s">
        <v>24</v>
      </c>
      <c r="E1300" t="s">
        <v>32</v>
      </c>
      <c r="F1300">
        <v>1</v>
      </c>
      <c r="G1300">
        <v>2156.34</v>
      </c>
      <c r="H1300">
        <v>2156.34</v>
      </c>
      <c r="I1300">
        <v>0</v>
      </c>
      <c r="J1300">
        <v>2156.34</v>
      </c>
      <c r="K1300">
        <v>500</v>
      </c>
      <c r="L1300" s="11" t="s">
        <v>1086</v>
      </c>
      <c r="M1300">
        <f t="shared" si="101"/>
        <v>26</v>
      </c>
      <c r="N1300">
        <f t="shared" si="102"/>
        <v>2</v>
      </c>
      <c r="O1300">
        <f t="shared" si="103"/>
        <v>2024</v>
      </c>
      <c r="P1300" s="4">
        <f t="shared" si="104"/>
        <v>45348</v>
      </c>
      <c r="Q1300" t="s">
        <v>1138</v>
      </c>
      <c r="R1300" t="s">
        <v>1137</v>
      </c>
      <c r="S1300">
        <v>2</v>
      </c>
      <c r="T1300" t="s">
        <v>1149</v>
      </c>
      <c r="U1300" s="11" t="str">
        <f t="shared" si="100"/>
        <v>11:19:39 PM</v>
      </c>
      <c r="BL1300" s="2" t="s">
        <v>2450</v>
      </c>
    </row>
    <row r="1301" spans="1:64" x14ac:dyDescent="0.35">
      <c r="A1301">
        <v>6890</v>
      </c>
      <c r="B1301" t="s">
        <v>8</v>
      </c>
      <c r="C1301" s="1">
        <v>45683</v>
      </c>
      <c r="D1301" t="s">
        <v>11</v>
      </c>
      <c r="E1301" t="s">
        <v>30</v>
      </c>
      <c r="F1301">
        <v>4</v>
      </c>
      <c r="G1301">
        <v>1157.02</v>
      </c>
      <c r="H1301">
        <v>4628.08</v>
      </c>
      <c r="I1301">
        <v>120.35</v>
      </c>
      <c r="J1301">
        <v>4507.7299999999996</v>
      </c>
      <c r="K1301">
        <v>407</v>
      </c>
      <c r="L1301" s="11" t="s">
        <v>1087</v>
      </c>
      <c r="M1301">
        <f t="shared" si="101"/>
        <v>26</v>
      </c>
      <c r="N1301">
        <f t="shared" si="102"/>
        <v>1</v>
      </c>
      <c r="O1301">
        <f t="shared" si="103"/>
        <v>2025</v>
      </c>
      <c r="P1301" s="4">
        <f t="shared" si="104"/>
        <v>45683</v>
      </c>
      <c r="Q1301" t="s">
        <v>1139</v>
      </c>
      <c r="R1301" t="s">
        <v>1137</v>
      </c>
      <c r="S1301">
        <v>1</v>
      </c>
      <c r="T1301" t="s">
        <v>1148</v>
      </c>
      <c r="U1301" s="11" t="str">
        <f t="shared" si="100"/>
        <v>02:04:42 AM</v>
      </c>
      <c r="BL1301" s="2" t="s">
        <v>2451</v>
      </c>
    </row>
    <row r="1302" spans="1:64" x14ac:dyDescent="0.35">
      <c r="A1302">
        <v>4871</v>
      </c>
      <c r="B1302" t="s">
        <v>13</v>
      </c>
      <c r="C1302" s="1">
        <v>45193</v>
      </c>
      <c r="D1302" t="s">
        <v>24</v>
      </c>
      <c r="E1302" t="s">
        <v>30</v>
      </c>
      <c r="F1302">
        <v>1</v>
      </c>
      <c r="G1302">
        <v>859.88</v>
      </c>
      <c r="H1302">
        <v>859.88</v>
      </c>
      <c r="I1302">
        <v>86.32</v>
      </c>
      <c r="J1302">
        <v>773.56</v>
      </c>
      <c r="K1302">
        <v>65</v>
      </c>
      <c r="L1302" s="11" t="s">
        <v>1088</v>
      </c>
      <c r="M1302">
        <f t="shared" si="101"/>
        <v>24</v>
      </c>
      <c r="N1302">
        <f t="shared" si="102"/>
        <v>9</v>
      </c>
      <c r="O1302">
        <f t="shared" si="103"/>
        <v>2023</v>
      </c>
      <c r="P1302" s="4">
        <f t="shared" si="104"/>
        <v>45193</v>
      </c>
      <c r="Q1302" t="s">
        <v>1134</v>
      </c>
      <c r="R1302" t="s">
        <v>1137</v>
      </c>
      <c r="S1302">
        <v>4</v>
      </c>
      <c r="T1302" t="s">
        <v>1148</v>
      </c>
      <c r="U1302" s="11" t="str">
        <f t="shared" si="100"/>
        <v>01:25:03 PM</v>
      </c>
      <c r="BL1302" s="2" t="s">
        <v>2452</v>
      </c>
    </row>
    <row r="1303" spans="1:64" x14ac:dyDescent="0.35">
      <c r="A1303">
        <v>2936</v>
      </c>
      <c r="B1303" t="s">
        <v>25</v>
      </c>
      <c r="C1303" s="1">
        <v>45506</v>
      </c>
      <c r="D1303" t="s">
        <v>11</v>
      </c>
      <c r="E1303" t="s">
        <v>37</v>
      </c>
      <c r="F1303">
        <v>4</v>
      </c>
      <c r="G1303">
        <v>1240.8499999999999</v>
      </c>
      <c r="H1303">
        <v>4963.3999999999996</v>
      </c>
      <c r="I1303">
        <v>346.11</v>
      </c>
      <c r="J1303">
        <v>4617.29</v>
      </c>
      <c r="K1303">
        <v>498</v>
      </c>
      <c r="L1303" s="11" t="s">
        <v>1089</v>
      </c>
      <c r="M1303">
        <f t="shared" si="101"/>
        <v>2</v>
      </c>
      <c r="N1303">
        <f t="shared" si="102"/>
        <v>8</v>
      </c>
      <c r="O1303">
        <f t="shared" si="103"/>
        <v>2024</v>
      </c>
      <c r="P1303" s="4">
        <f t="shared" si="104"/>
        <v>45506</v>
      </c>
      <c r="Q1303" t="s">
        <v>1136</v>
      </c>
      <c r="R1303" t="s">
        <v>1135</v>
      </c>
      <c r="S1303">
        <v>4</v>
      </c>
      <c r="T1303" t="s">
        <v>1141</v>
      </c>
      <c r="U1303" s="11" t="str">
        <f t="shared" si="100"/>
        <v>07:55:22 AM</v>
      </c>
      <c r="BL1303" s="2" t="s">
        <v>2453</v>
      </c>
    </row>
    <row r="1304" spans="1:64" x14ac:dyDescent="0.35">
      <c r="A1304">
        <v>6026</v>
      </c>
      <c r="B1304" t="s">
        <v>25</v>
      </c>
      <c r="C1304" s="1">
        <v>45269</v>
      </c>
      <c r="D1304" t="s">
        <v>23</v>
      </c>
      <c r="E1304" t="s">
        <v>14</v>
      </c>
      <c r="F1304">
        <v>4</v>
      </c>
      <c r="G1304">
        <v>1089.79</v>
      </c>
      <c r="H1304">
        <v>4359.16</v>
      </c>
      <c r="I1304">
        <v>260.62</v>
      </c>
      <c r="J1304">
        <v>4098.54</v>
      </c>
      <c r="K1304">
        <v>254</v>
      </c>
      <c r="L1304" s="11" t="s">
        <v>1090</v>
      </c>
      <c r="M1304">
        <f t="shared" si="101"/>
        <v>9</v>
      </c>
      <c r="N1304">
        <f t="shared" si="102"/>
        <v>12</v>
      </c>
      <c r="O1304">
        <f t="shared" si="103"/>
        <v>2023</v>
      </c>
      <c r="P1304" s="4">
        <f t="shared" si="104"/>
        <v>45269</v>
      </c>
      <c r="Q1304" t="s">
        <v>1134</v>
      </c>
      <c r="R1304" t="s">
        <v>1135</v>
      </c>
      <c r="S1304">
        <v>4</v>
      </c>
      <c r="T1304" t="s">
        <v>1149</v>
      </c>
      <c r="U1304" s="11" t="str">
        <f t="shared" si="100"/>
        <v>09:27:17 AM</v>
      </c>
      <c r="BL1304" s="2" t="s">
        <v>2454</v>
      </c>
    </row>
    <row r="1305" spans="1:64" x14ac:dyDescent="0.35">
      <c r="A1305">
        <v>7642</v>
      </c>
      <c r="B1305" t="s">
        <v>31</v>
      </c>
      <c r="C1305" s="1">
        <v>45677</v>
      </c>
      <c r="D1305" t="s">
        <v>9</v>
      </c>
      <c r="E1305" t="s">
        <v>32</v>
      </c>
      <c r="F1305">
        <v>5</v>
      </c>
      <c r="G1305">
        <v>1802.76</v>
      </c>
      <c r="H1305">
        <v>9013.7999999999993</v>
      </c>
      <c r="I1305">
        <v>0</v>
      </c>
      <c r="J1305">
        <v>9013.7999999999993</v>
      </c>
      <c r="K1305">
        <v>269</v>
      </c>
      <c r="L1305" s="11" t="s">
        <v>1091</v>
      </c>
      <c r="M1305">
        <f t="shared" si="101"/>
        <v>20</v>
      </c>
      <c r="N1305">
        <f t="shared" si="102"/>
        <v>1</v>
      </c>
      <c r="O1305">
        <f t="shared" si="103"/>
        <v>2025</v>
      </c>
      <c r="P1305" s="4">
        <f t="shared" si="104"/>
        <v>45677</v>
      </c>
      <c r="Q1305" t="s">
        <v>1139</v>
      </c>
      <c r="R1305" t="s">
        <v>1137</v>
      </c>
      <c r="S1305">
        <v>2</v>
      </c>
      <c r="T1305" t="s">
        <v>1149</v>
      </c>
      <c r="U1305" s="11" t="str">
        <f t="shared" si="100"/>
        <v>07:02:22 AM</v>
      </c>
      <c r="BL1305" s="2" t="s">
        <v>2455</v>
      </c>
    </row>
    <row r="1306" spans="1:64" x14ac:dyDescent="0.35">
      <c r="A1306">
        <v>9233</v>
      </c>
      <c r="B1306" t="s">
        <v>0</v>
      </c>
      <c r="C1306" s="1">
        <v>45861</v>
      </c>
      <c r="D1306" t="s">
        <v>6</v>
      </c>
      <c r="E1306" t="s">
        <v>12</v>
      </c>
      <c r="F1306">
        <v>1</v>
      </c>
      <c r="G1306">
        <v>571.87</v>
      </c>
      <c r="H1306">
        <v>571.87</v>
      </c>
      <c r="I1306">
        <v>85.49</v>
      </c>
      <c r="J1306">
        <v>486.38</v>
      </c>
      <c r="K1306">
        <v>435</v>
      </c>
      <c r="L1306" s="11" t="s">
        <v>1092</v>
      </c>
      <c r="M1306">
        <f t="shared" si="101"/>
        <v>23</v>
      </c>
      <c r="N1306">
        <f t="shared" si="102"/>
        <v>7</v>
      </c>
      <c r="O1306">
        <f t="shared" si="103"/>
        <v>2025</v>
      </c>
      <c r="P1306" s="4">
        <f t="shared" si="104"/>
        <v>45861</v>
      </c>
      <c r="Q1306" t="s">
        <v>1139</v>
      </c>
      <c r="R1306" t="s">
        <v>1135</v>
      </c>
      <c r="S1306">
        <v>3</v>
      </c>
      <c r="T1306" t="s">
        <v>1141</v>
      </c>
      <c r="U1306" s="11" t="str">
        <f t="shared" si="100"/>
        <v>03:29:41 AM</v>
      </c>
      <c r="BL1306" s="2" t="s">
        <v>2456</v>
      </c>
    </row>
    <row r="1307" spans="1:64" x14ac:dyDescent="0.35">
      <c r="A1307">
        <v>6095</v>
      </c>
      <c r="B1307" t="s">
        <v>3</v>
      </c>
      <c r="C1307" s="1">
        <v>45681</v>
      </c>
      <c r="D1307" t="s">
        <v>34</v>
      </c>
      <c r="E1307" t="s">
        <v>30</v>
      </c>
      <c r="F1307">
        <v>1</v>
      </c>
      <c r="G1307">
        <v>225.76</v>
      </c>
      <c r="H1307">
        <v>225.76</v>
      </c>
      <c r="I1307">
        <v>44.82</v>
      </c>
      <c r="J1307">
        <v>180.94</v>
      </c>
      <c r="K1307">
        <v>178</v>
      </c>
      <c r="L1307" s="11" t="s">
        <v>1093</v>
      </c>
      <c r="M1307">
        <f t="shared" si="101"/>
        <v>24</v>
      </c>
      <c r="N1307">
        <f t="shared" si="102"/>
        <v>1</v>
      </c>
      <c r="O1307">
        <f t="shared" si="103"/>
        <v>2025</v>
      </c>
      <c r="P1307" s="4">
        <f t="shared" si="104"/>
        <v>45681</v>
      </c>
      <c r="Q1307" t="s">
        <v>1134</v>
      </c>
      <c r="R1307" t="s">
        <v>1137</v>
      </c>
      <c r="S1307">
        <v>1</v>
      </c>
      <c r="T1307" t="s">
        <v>1141</v>
      </c>
      <c r="U1307" s="11" t="str">
        <f t="shared" si="100"/>
        <v>12:07:57 AM</v>
      </c>
      <c r="BL1307" s="2" t="s">
        <v>2457</v>
      </c>
    </row>
    <row r="1308" spans="1:64" x14ac:dyDescent="0.35">
      <c r="A1308">
        <v>2923</v>
      </c>
      <c r="B1308" t="s">
        <v>19</v>
      </c>
      <c r="C1308" s="1">
        <v>45641</v>
      </c>
      <c r="D1308" t="s">
        <v>34</v>
      </c>
      <c r="E1308" t="s">
        <v>30</v>
      </c>
      <c r="F1308">
        <v>5</v>
      </c>
      <c r="G1308">
        <v>2421.11</v>
      </c>
      <c r="H1308">
        <v>12105.55</v>
      </c>
      <c r="I1308">
        <v>2421.11</v>
      </c>
      <c r="J1308">
        <v>9684.44</v>
      </c>
      <c r="K1308">
        <v>467</v>
      </c>
      <c r="L1308" s="11" t="s">
        <v>1094</v>
      </c>
      <c r="M1308">
        <f t="shared" si="101"/>
        <v>15</v>
      </c>
      <c r="N1308">
        <f t="shared" si="102"/>
        <v>12</v>
      </c>
      <c r="O1308">
        <f t="shared" si="103"/>
        <v>2024</v>
      </c>
      <c r="P1308" s="4">
        <f t="shared" si="104"/>
        <v>45641</v>
      </c>
      <c r="Q1308" t="s">
        <v>1136</v>
      </c>
      <c r="R1308" t="s">
        <v>1137</v>
      </c>
      <c r="S1308">
        <v>5</v>
      </c>
      <c r="T1308" t="s">
        <v>1150</v>
      </c>
      <c r="U1308" s="11" t="str">
        <f t="shared" si="100"/>
        <v>10:29:10 AM</v>
      </c>
      <c r="BL1308" s="2" t="s">
        <v>2458</v>
      </c>
    </row>
    <row r="1309" spans="1:64" x14ac:dyDescent="0.35">
      <c r="A1309">
        <v>5833</v>
      </c>
      <c r="B1309" t="s">
        <v>31</v>
      </c>
      <c r="C1309" s="1">
        <v>45430</v>
      </c>
      <c r="D1309" t="s">
        <v>6</v>
      </c>
      <c r="E1309" t="s">
        <v>29</v>
      </c>
      <c r="F1309">
        <v>2</v>
      </c>
      <c r="G1309">
        <v>364.37</v>
      </c>
      <c r="H1309">
        <v>728.74</v>
      </c>
      <c r="I1309">
        <v>73.040000000000006</v>
      </c>
      <c r="J1309">
        <v>655.7</v>
      </c>
      <c r="K1309">
        <v>356</v>
      </c>
      <c r="L1309" s="11" t="s">
        <v>1095</v>
      </c>
      <c r="M1309">
        <f t="shared" si="101"/>
        <v>18</v>
      </c>
      <c r="N1309">
        <f t="shared" si="102"/>
        <v>5</v>
      </c>
      <c r="O1309">
        <f t="shared" si="103"/>
        <v>2024</v>
      </c>
      <c r="P1309" s="4">
        <f t="shared" si="104"/>
        <v>45430</v>
      </c>
      <c r="Q1309" t="s">
        <v>1136</v>
      </c>
      <c r="R1309" t="s">
        <v>1137</v>
      </c>
      <c r="S1309">
        <v>3</v>
      </c>
      <c r="T1309" t="s">
        <v>1147</v>
      </c>
      <c r="U1309" s="11" t="str">
        <f t="shared" si="100"/>
        <v>10:55:18 PM</v>
      </c>
      <c r="BL1309" s="2" t="s">
        <v>2459</v>
      </c>
    </row>
    <row r="1310" spans="1:64" x14ac:dyDescent="0.35">
      <c r="A1310">
        <v>4618</v>
      </c>
      <c r="B1310" t="s">
        <v>20</v>
      </c>
      <c r="C1310" s="1">
        <v>45315</v>
      </c>
      <c r="D1310" t="s">
        <v>9</v>
      </c>
      <c r="E1310" t="s">
        <v>12</v>
      </c>
      <c r="F1310">
        <v>1</v>
      </c>
      <c r="G1310">
        <v>1770.39</v>
      </c>
      <c r="H1310">
        <v>1770.39</v>
      </c>
      <c r="I1310">
        <v>176.79</v>
      </c>
      <c r="J1310">
        <v>1593.6</v>
      </c>
      <c r="K1310">
        <v>339</v>
      </c>
      <c r="L1310" s="11" t="s">
        <v>1096</v>
      </c>
      <c r="M1310">
        <f t="shared" si="101"/>
        <v>24</v>
      </c>
      <c r="N1310">
        <f t="shared" si="102"/>
        <v>1</v>
      </c>
      <c r="O1310">
        <f t="shared" si="103"/>
        <v>2024</v>
      </c>
      <c r="P1310" s="4">
        <f t="shared" si="104"/>
        <v>45315</v>
      </c>
      <c r="Q1310" t="s">
        <v>1138</v>
      </c>
      <c r="R1310" t="s">
        <v>1137</v>
      </c>
      <c r="S1310">
        <v>2</v>
      </c>
      <c r="T1310" t="s">
        <v>1145</v>
      </c>
      <c r="U1310" s="11" t="str">
        <f t="shared" si="100"/>
        <v>08:47:41 PM</v>
      </c>
      <c r="BL1310" s="2" t="s">
        <v>2460</v>
      </c>
    </row>
    <row r="1311" spans="1:64" x14ac:dyDescent="0.35">
      <c r="A1311">
        <v>3188</v>
      </c>
      <c r="B1311" t="s">
        <v>8</v>
      </c>
      <c r="C1311" s="1">
        <v>45516</v>
      </c>
      <c r="D1311" t="s">
        <v>1</v>
      </c>
      <c r="E1311" t="s">
        <v>30</v>
      </c>
      <c r="F1311">
        <v>3</v>
      </c>
      <c r="G1311">
        <v>422.47</v>
      </c>
      <c r="H1311">
        <v>1267.4100000000001</v>
      </c>
      <c r="I1311">
        <v>272.24</v>
      </c>
      <c r="J1311">
        <v>995.17</v>
      </c>
      <c r="K1311">
        <v>125</v>
      </c>
      <c r="L1311" s="11" t="s">
        <v>1097</v>
      </c>
      <c r="M1311">
        <f t="shared" si="101"/>
        <v>12</v>
      </c>
      <c r="N1311">
        <f t="shared" si="102"/>
        <v>8</v>
      </c>
      <c r="O1311">
        <f t="shared" si="103"/>
        <v>2024</v>
      </c>
      <c r="P1311" s="4">
        <f t="shared" si="104"/>
        <v>45516</v>
      </c>
      <c r="Q1311" t="s">
        <v>1136</v>
      </c>
      <c r="R1311" t="s">
        <v>1137</v>
      </c>
      <c r="S1311">
        <v>3</v>
      </c>
      <c r="T1311" t="s">
        <v>1141</v>
      </c>
      <c r="U1311" s="11" t="str">
        <f t="shared" si="100"/>
        <v>03:46:19 PM</v>
      </c>
      <c r="BL1311" s="2" t="s">
        <v>2461</v>
      </c>
    </row>
    <row r="1312" spans="1:64" x14ac:dyDescent="0.35">
      <c r="A1312">
        <v>3509</v>
      </c>
      <c r="B1312" t="s">
        <v>13</v>
      </c>
      <c r="C1312" s="1">
        <v>45498</v>
      </c>
      <c r="D1312" t="s">
        <v>23</v>
      </c>
      <c r="E1312" t="s">
        <v>18</v>
      </c>
      <c r="F1312">
        <v>4</v>
      </c>
      <c r="G1312">
        <v>1871.65</v>
      </c>
      <c r="H1312">
        <v>7486.6</v>
      </c>
      <c r="I1312">
        <v>748.66</v>
      </c>
      <c r="J1312">
        <v>6737.94</v>
      </c>
      <c r="K1312">
        <v>383</v>
      </c>
      <c r="L1312" s="11" t="s">
        <v>1098</v>
      </c>
      <c r="M1312">
        <f t="shared" si="101"/>
        <v>25</v>
      </c>
      <c r="N1312">
        <f t="shared" si="102"/>
        <v>7</v>
      </c>
      <c r="O1312">
        <f t="shared" si="103"/>
        <v>2024</v>
      </c>
      <c r="P1312" s="4">
        <f t="shared" si="104"/>
        <v>45498</v>
      </c>
      <c r="Q1312" t="s">
        <v>1134</v>
      </c>
      <c r="R1312" t="s">
        <v>1135</v>
      </c>
      <c r="S1312">
        <v>3</v>
      </c>
      <c r="T1312" t="s">
        <v>1145</v>
      </c>
      <c r="U1312" s="11" t="str">
        <f t="shared" si="100"/>
        <v>03:01:12 PM</v>
      </c>
      <c r="BL1312" s="2" t="s">
        <v>2462</v>
      </c>
    </row>
    <row r="1313" spans="1:64" x14ac:dyDescent="0.35">
      <c r="A1313">
        <v>7121</v>
      </c>
      <c r="B1313" t="s">
        <v>13</v>
      </c>
      <c r="C1313" s="1">
        <v>45467</v>
      </c>
      <c r="D1313" t="s">
        <v>11</v>
      </c>
      <c r="E1313" t="s">
        <v>22</v>
      </c>
      <c r="F1313">
        <v>1</v>
      </c>
      <c r="G1313">
        <v>772.73</v>
      </c>
      <c r="H1313">
        <v>772.73</v>
      </c>
      <c r="I1313">
        <v>0</v>
      </c>
      <c r="J1313">
        <v>772.73</v>
      </c>
      <c r="K1313">
        <v>79</v>
      </c>
      <c r="L1313" s="11" t="s">
        <v>1099</v>
      </c>
      <c r="M1313">
        <f t="shared" si="101"/>
        <v>24</v>
      </c>
      <c r="N1313">
        <f t="shared" si="102"/>
        <v>6</v>
      </c>
      <c r="O1313">
        <f t="shared" si="103"/>
        <v>2024</v>
      </c>
      <c r="P1313" s="4">
        <f t="shared" si="104"/>
        <v>45467</v>
      </c>
      <c r="Q1313" t="s">
        <v>1139</v>
      </c>
      <c r="R1313" t="s">
        <v>1137</v>
      </c>
      <c r="S1313">
        <v>2</v>
      </c>
      <c r="T1313" t="s">
        <v>1143</v>
      </c>
      <c r="U1313" s="11" t="str">
        <f t="shared" si="100"/>
        <v>01:22:23 AM</v>
      </c>
      <c r="BL1313" s="2" t="s">
        <v>2463</v>
      </c>
    </row>
    <row r="1314" spans="1:64" x14ac:dyDescent="0.35">
      <c r="A1314">
        <v>9998</v>
      </c>
      <c r="B1314" t="s">
        <v>20</v>
      </c>
      <c r="C1314" s="1">
        <v>45853</v>
      </c>
      <c r="D1314" t="s">
        <v>17</v>
      </c>
      <c r="E1314" t="s">
        <v>18</v>
      </c>
      <c r="F1314">
        <v>5</v>
      </c>
      <c r="G1314">
        <v>468.12</v>
      </c>
      <c r="H1314">
        <v>2340.6</v>
      </c>
      <c r="I1314">
        <v>0</v>
      </c>
      <c r="J1314">
        <v>2340.6</v>
      </c>
      <c r="K1314">
        <v>202</v>
      </c>
      <c r="L1314" s="11" t="s">
        <v>1100</v>
      </c>
      <c r="M1314">
        <f t="shared" si="101"/>
        <v>15</v>
      </c>
      <c r="N1314">
        <f t="shared" si="102"/>
        <v>7</v>
      </c>
      <c r="O1314">
        <f t="shared" si="103"/>
        <v>2025</v>
      </c>
      <c r="P1314" s="4">
        <f t="shared" si="104"/>
        <v>45853</v>
      </c>
      <c r="Q1314" t="s">
        <v>1138</v>
      </c>
      <c r="R1314" t="s">
        <v>1135</v>
      </c>
      <c r="S1314">
        <v>4</v>
      </c>
      <c r="T1314" t="s">
        <v>1147</v>
      </c>
      <c r="U1314" s="11" t="str">
        <f t="shared" si="100"/>
        <v>02:00:47 AM</v>
      </c>
      <c r="BL1314" s="2" t="s">
        <v>2464</v>
      </c>
    </row>
    <row r="1315" spans="1:64" x14ac:dyDescent="0.35">
      <c r="A1315">
        <v>8714</v>
      </c>
      <c r="B1315" t="s">
        <v>15</v>
      </c>
      <c r="C1315" s="1">
        <v>45733</v>
      </c>
      <c r="D1315" t="s">
        <v>27</v>
      </c>
      <c r="E1315" t="s">
        <v>2</v>
      </c>
      <c r="F1315">
        <v>5</v>
      </c>
      <c r="G1315">
        <v>1289.82</v>
      </c>
      <c r="H1315">
        <v>6449.1</v>
      </c>
      <c r="I1315">
        <v>644.91</v>
      </c>
      <c r="J1315">
        <v>5804.19</v>
      </c>
      <c r="K1315">
        <v>363</v>
      </c>
      <c r="L1315" s="11" t="s">
        <v>1101</v>
      </c>
      <c r="M1315">
        <f t="shared" si="101"/>
        <v>17</v>
      </c>
      <c r="N1315">
        <f t="shared" si="102"/>
        <v>3</v>
      </c>
      <c r="O1315">
        <f t="shared" si="103"/>
        <v>2025</v>
      </c>
      <c r="P1315" s="4">
        <f t="shared" si="104"/>
        <v>45733</v>
      </c>
      <c r="Q1315" t="s">
        <v>1138</v>
      </c>
      <c r="R1315" t="s">
        <v>1135</v>
      </c>
      <c r="S1315">
        <v>4</v>
      </c>
      <c r="T1315" t="s">
        <v>1147</v>
      </c>
      <c r="U1315" s="11" t="str">
        <f t="shared" si="100"/>
        <v>08:44:24 PM</v>
      </c>
      <c r="BL1315" s="2" t="s">
        <v>2465</v>
      </c>
    </row>
    <row r="1316" spans="1:64" x14ac:dyDescent="0.35">
      <c r="A1316">
        <v>9806</v>
      </c>
      <c r="B1316" t="s">
        <v>8</v>
      </c>
      <c r="C1316" s="1">
        <v>45767</v>
      </c>
      <c r="D1316" t="s">
        <v>24</v>
      </c>
      <c r="E1316" t="s">
        <v>32</v>
      </c>
      <c r="F1316">
        <v>5</v>
      </c>
      <c r="G1316">
        <v>991.02</v>
      </c>
      <c r="H1316">
        <v>4955.1000000000004</v>
      </c>
      <c r="I1316">
        <v>0</v>
      </c>
      <c r="J1316">
        <v>4955.1000000000004</v>
      </c>
      <c r="K1316">
        <v>486</v>
      </c>
      <c r="L1316" s="11" t="s">
        <v>1102</v>
      </c>
      <c r="M1316">
        <f t="shared" si="101"/>
        <v>20</v>
      </c>
      <c r="N1316">
        <f t="shared" si="102"/>
        <v>4</v>
      </c>
      <c r="O1316">
        <f t="shared" si="103"/>
        <v>2025</v>
      </c>
      <c r="P1316" s="4">
        <f t="shared" si="104"/>
        <v>45767</v>
      </c>
      <c r="Q1316" t="s">
        <v>1139</v>
      </c>
      <c r="R1316" t="s">
        <v>1137</v>
      </c>
      <c r="S1316">
        <v>1</v>
      </c>
      <c r="T1316" t="s">
        <v>1146</v>
      </c>
      <c r="U1316" s="11" t="str">
        <f t="shared" si="100"/>
        <v>02:45:35 AM</v>
      </c>
      <c r="BL1316" s="2" t="s">
        <v>2466</v>
      </c>
    </row>
    <row r="1317" spans="1:64" x14ac:dyDescent="0.35">
      <c r="A1317">
        <v>4578</v>
      </c>
      <c r="B1317" t="s">
        <v>31</v>
      </c>
      <c r="C1317" s="1">
        <v>45736</v>
      </c>
      <c r="D1317" t="s">
        <v>9</v>
      </c>
      <c r="E1317" t="s">
        <v>29</v>
      </c>
      <c r="F1317">
        <v>2</v>
      </c>
      <c r="G1317">
        <v>1026.71</v>
      </c>
      <c r="H1317">
        <v>2053.42</v>
      </c>
      <c r="I1317">
        <v>0</v>
      </c>
      <c r="J1317">
        <v>2053.42</v>
      </c>
      <c r="K1317">
        <v>421</v>
      </c>
      <c r="L1317" s="11" t="s">
        <v>1103</v>
      </c>
      <c r="M1317">
        <f t="shared" si="101"/>
        <v>20</v>
      </c>
      <c r="N1317">
        <f t="shared" si="102"/>
        <v>3</v>
      </c>
      <c r="O1317">
        <f t="shared" si="103"/>
        <v>2025</v>
      </c>
      <c r="P1317" s="4">
        <f t="shared" si="104"/>
        <v>45736</v>
      </c>
      <c r="Q1317" t="s">
        <v>1136</v>
      </c>
      <c r="R1317" t="s">
        <v>1137</v>
      </c>
      <c r="S1317">
        <v>1</v>
      </c>
      <c r="T1317" t="s">
        <v>1150</v>
      </c>
      <c r="U1317" s="11" t="str">
        <f t="shared" si="100"/>
        <v>02:55:47 PM</v>
      </c>
      <c r="BL1317" s="2" t="s">
        <v>2467</v>
      </c>
    </row>
    <row r="1318" spans="1:64" x14ac:dyDescent="0.35">
      <c r="A1318">
        <v>5054</v>
      </c>
      <c r="B1318" t="s">
        <v>15</v>
      </c>
      <c r="C1318" s="1">
        <v>45673</v>
      </c>
      <c r="D1318" t="s">
        <v>34</v>
      </c>
      <c r="E1318" t="s">
        <v>10</v>
      </c>
      <c r="F1318">
        <v>4</v>
      </c>
      <c r="G1318">
        <v>2073.34</v>
      </c>
      <c r="H1318">
        <v>8293.36</v>
      </c>
      <c r="I1318">
        <v>1244.17</v>
      </c>
      <c r="J1318">
        <v>7049.19</v>
      </c>
      <c r="K1318">
        <v>84</v>
      </c>
      <c r="L1318" s="11" t="s">
        <v>1104</v>
      </c>
      <c r="M1318">
        <f t="shared" si="101"/>
        <v>16</v>
      </c>
      <c r="N1318">
        <f t="shared" si="102"/>
        <v>1</v>
      </c>
      <c r="O1318">
        <f t="shared" si="103"/>
        <v>2025</v>
      </c>
      <c r="P1318" s="4">
        <f t="shared" si="104"/>
        <v>45673</v>
      </c>
      <c r="Q1318" t="s">
        <v>1139</v>
      </c>
      <c r="R1318" t="s">
        <v>1137</v>
      </c>
      <c r="S1318">
        <v>4</v>
      </c>
      <c r="T1318" t="s">
        <v>1148</v>
      </c>
      <c r="U1318" s="11" t="str">
        <f t="shared" si="100"/>
        <v>06:46:37 PM</v>
      </c>
      <c r="BL1318" s="2" t="s">
        <v>2468</v>
      </c>
    </row>
    <row r="1319" spans="1:64" x14ac:dyDescent="0.35">
      <c r="A1319">
        <v>2341</v>
      </c>
      <c r="B1319" t="s">
        <v>13</v>
      </c>
      <c r="C1319" s="1">
        <v>45553</v>
      </c>
      <c r="D1319" t="s">
        <v>6</v>
      </c>
      <c r="E1319" t="s">
        <v>2</v>
      </c>
      <c r="F1319">
        <v>1</v>
      </c>
      <c r="G1319">
        <v>333.66</v>
      </c>
      <c r="H1319">
        <v>333.66</v>
      </c>
      <c r="I1319">
        <v>162.68</v>
      </c>
      <c r="J1319">
        <v>170.98</v>
      </c>
      <c r="K1319">
        <v>185</v>
      </c>
      <c r="L1319" s="11" t="s">
        <v>1105</v>
      </c>
      <c r="M1319">
        <f t="shared" si="101"/>
        <v>18</v>
      </c>
      <c r="N1319">
        <f t="shared" si="102"/>
        <v>9</v>
      </c>
      <c r="O1319">
        <f t="shared" si="103"/>
        <v>2024</v>
      </c>
      <c r="P1319" s="4">
        <f t="shared" si="104"/>
        <v>45553</v>
      </c>
      <c r="Q1319" t="s">
        <v>1136</v>
      </c>
      <c r="R1319" t="s">
        <v>1137</v>
      </c>
      <c r="S1319">
        <v>5</v>
      </c>
      <c r="T1319" t="s">
        <v>1147</v>
      </c>
      <c r="U1319" s="11" t="str">
        <f t="shared" si="100"/>
        <v>10:31:21 PM</v>
      </c>
      <c r="BL1319" s="2" t="s">
        <v>2469</v>
      </c>
    </row>
    <row r="1320" spans="1:64" x14ac:dyDescent="0.35">
      <c r="A1320">
        <v>8319</v>
      </c>
      <c r="B1320" t="s">
        <v>8</v>
      </c>
      <c r="C1320" s="1">
        <v>45555</v>
      </c>
      <c r="D1320" t="s">
        <v>27</v>
      </c>
      <c r="E1320" t="s">
        <v>38</v>
      </c>
      <c r="F1320">
        <v>1</v>
      </c>
      <c r="G1320">
        <v>592.62</v>
      </c>
      <c r="H1320">
        <v>592.62</v>
      </c>
      <c r="I1320">
        <v>118.69</v>
      </c>
      <c r="J1320">
        <v>473.93</v>
      </c>
      <c r="K1320">
        <v>5</v>
      </c>
      <c r="L1320" s="11" t="s">
        <v>1106</v>
      </c>
      <c r="M1320">
        <f t="shared" si="101"/>
        <v>20</v>
      </c>
      <c r="N1320">
        <f t="shared" si="102"/>
        <v>9</v>
      </c>
      <c r="O1320">
        <f t="shared" si="103"/>
        <v>2024</v>
      </c>
      <c r="P1320" s="4">
        <f t="shared" si="104"/>
        <v>45555</v>
      </c>
      <c r="Q1320" t="s">
        <v>1139</v>
      </c>
      <c r="R1320" t="s">
        <v>1137</v>
      </c>
      <c r="S1320">
        <v>3</v>
      </c>
      <c r="T1320" t="s">
        <v>1146</v>
      </c>
      <c r="U1320" s="11" t="str">
        <f t="shared" si="100"/>
        <v>11:00:56 AM</v>
      </c>
      <c r="BL1320" s="2" t="s">
        <v>2470</v>
      </c>
    </row>
    <row r="1321" spans="1:64" x14ac:dyDescent="0.35">
      <c r="A1321">
        <v>6927</v>
      </c>
      <c r="B1321" t="s">
        <v>3</v>
      </c>
      <c r="C1321" s="1">
        <v>45205</v>
      </c>
      <c r="D1321" t="s">
        <v>6</v>
      </c>
      <c r="E1321" t="s">
        <v>29</v>
      </c>
      <c r="F1321">
        <v>2</v>
      </c>
      <c r="G1321">
        <v>730.4</v>
      </c>
      <c r="H1321">
        <v>1460.8</v>
      </c>
      <c r="I1321">
        <v>410.85</v>
      </c>
      <c r="J1321">
        <v>1049.95</v>
      </c>
      <c r="K1321">
        <v>500</v>
      </c>
      <c r="L1321" s="11" t="s">
        <v>1107</v>
      </c>
      <c r="M1321">
        <f t="shared" si="101"/>
        <v>6</v>
      </c>
      <c r="N1321">
        <f t="shared" si="102"/>
        <v>10</v>
      </c>
      <c r="O1321">
        <f t="shared" si="103"/>
        <v>2023</v>
      </c>
      <c r="P1321" s="4">
        <f t="shared" si="104"/>
        <v>45205</v>
      </c>
      <c r="Q1321" t="s">
        <v>1134</v>
      </c>
      <c r="R1321" t="s">
        <v>1135</v>
      </c>
      <c r="S1321">
        <v>5</v>
      </c>
      <c r="T1321" t="s">
        <v>1143</v>
      </c>
      <c r="U1321" s="11" t="str">
        <f t="shared" si="100"/>
        <v>04:22:40 AM</v>
      </c>
      <c r="BL1321" s="2" t="s">
        <v>2471</v>
      </c>
    </row>
    <row r="1322" spans="1:64" x14ac:dyDescent="0.35">
      <c r="A1322">
        <v>2838</v>
      </c>
      <c r="B1322" t="s">
        <v>15</v>
      </c>
      <c r="C1322" s="1">
        <v>45192</v>
      </c>
      <c r="D1322" t="s">
        <v>1</v>
      </c>
      <c r="E1322" t="s">
        <v>29</v>
      </c>
      <c r="F1322">
        <v>3</v>
      </c>
      <c r="G1322">
        <v>306.27</v>
      </c>
      <c r="H1322">
        <v>918.81</v>
      </c>
      <c r="I1322">
        <v>137.78</v>
      </c>
      <c r="J1322">
        <v>781.03</v>
      </c>
      <c r="K1322">
        <v>158</v>
      </c>
      <c r="L1322" s="11" t="s">
        <v>1108</v>
      </c>
      <c r="M1322">
        <f t="shared" si="101"/>
        <v>23</v>
      </c>
      <c r="N1322">
        <f t="shared" si="102"/>
        <v>9</v>
      </c>
      <c r="O1322">
        <f t="shared" si="103"/>
        <v>2023</v>
      </c>
      <c r="P1322" s="4">
        <f t="shared" si="104"/>
        <v>45192</v>
      </c>
      <c r="Q1322" t="s">
        <v>1136</v>
      </c>
      <c r="R1322" t="s">
        <v>1137</v>
      </c>
      <c r="S1322">
        <v>3</v>
      </c>
      <c r="T1322" t="s">
        <v>1149</v>
      </c>
      <c r="U1322" s="11" t="str">
        <f t="shared" ref="U1322:U1385" si="105">TEXT(L1322,"hh:mm:ss AM/PM")</f>
        <v>01:32:59 AM</v>
      </c>
      <c r="BL1322" s="2" t="s">
        <v>2472</v>
      </c>
    </row>
    <row r="1323" spans="1:64" x14ac:dyDescent="0.35">
      <c r="A1323">
        <v>9972</v>
      </c>
      <c r="B1323" t="s">
        <v>19</v>
      </c>
      <c r="C1323" s="1">
        <v>45846</v>
      </c>
      <c r="D1323" t="s">
        <v>9</v>
      </c>
      <c r="E1323" t="s">
        <v>36</v>
      </c>
      <c r="F1323">
        <v>2</v>
      </c>
      <c r="G1323">
        <v>839.13</v>
      </c>
      <c r="H1323">
        <v>1678.26</v>
      </c>
      <c r="I1323">
        <v>335.32</v>
      </c>
      <c r="J1323">
        <v>1342.94</v>
      </c>
      <c r="K1323">
        <v>200</v>
      </c>
      <c r="L1323" s="11" t="s">
        <v>1109</v>
      </c>
      <c r="M1323">
        <f t="shared" si="101"/>
        <v>8</v>
      </c>
      <c r="N1323">
        <f t="shared" si="102"/>
        <v>7</v>
      </c>
      <c r="O1323">
        <f t="shared" si="103"/>
        <v>2025</v>
      </c>
      <c r="P1323" s="4">
        <f t="shared" si="104"/>
        <v>45846</v>
      </c>
      <c r="Q1323" t="s">
        <v>1134</v>
      </c>
      <c r="R1323" t="s">
        <v>1137</v>
      </c>
      <c r="S1323">
        <v>4</v>
      </c>
      <c r="T1323" t="s">
        <v>1146</v>
      </c>
      <c r="U1323" s="11" t="str">
        <f t="shared" si="105"/>
        <v>03:30:04 AM</v>
      </c>
      <c r="BL1323" s="2" t="s">
        <v>2473</v>
      </c>
    </row>
    <row r="1324" spans="1:64" x14ac:dyDescent="0.35">
      <c r="A1324">
        <v>9281</v>
      </c>
      <c r="B1324" t="s">
        <v>0</v>
      </c>
      <c r="C1324" s="1">
        <v>45302</v>
      </c>
      <c r="D1324" t="s">
        <v>11</v>
      </c>
      <c r="E1324" t="s">
        <v>5</v>
      </c>
      <c r="F1324">
        <v>5</v>
      </c>
      <c r="G1324">
        <v>325.36</v>
      </c>
      <c r="H1324">
        <v>1626.8</v>
      </c>
      <c r="I1324">
        <v>278.05</v>
      </c>
      <c r="J1324">
        <v>1348.75</v>
      </c>
      <c r="K1324">
        <v>413</v>
      </c>
      <c r="L1324" s="11" t="s">
        <v>1110</v>
      </c>
      <c r="M1324">
        <f t="shared" si="101"/>
        <v>11</v>
      </c>
      <c r="N1324">
        <f t="shared" si="102"/>
        <v>1</v>
      </c>
      <c r="O1324">
        <f t="shared" si="103"/>
        <v>2024</v>
      </c>
      <c r="P1324" s="4">
        <f t="shared" si="104"/>
        <v>45302</v>
      </c>
      <c r="Q1324" t="s">
        <v>1138</v>
      </c>
      <c r="R1324" t="s">
        <v>1135</v>
      </c>
      <c r="S1324">
        <v>1</v>
      </c>
      <c r="T1324" t="s">
        <v>1147</v>
      </c>
      <c r="U1324" s="11" t="str">
        <f t="shared" si="105"/>
        <v>01:10:53 PM</v>
      </c>
      <c r="BL1324" s="2" t="s">
        <v>2474</v>
      </c>
    </row>
    <row r="1325" spans="1:64" x14ac:dyDescent="0.35">
      <c r="A1325">
        <v>9792</v>
      </c>
      <c r="B1325" t="s">
        <v>13</v>
      </c>
      <c r="C1325" s="1">
        <v>45261</v>
      </c>
      <c r="D1325" t="s">
        <v>34</v>
      </c>
      <c r="E1325" t="s">
        <v>29</v>
      </c>
      <c r="F1325">
        <v>3</v>
      </c>
      <c r="G1325">
        <v>470.61</v>
      </c>
      <c r="H1325">
        <v>1411.83</v>
      </c>
      <c r="I1325">
        <v>376.82</v>
      </c>
      <c r="J1325">
        <v>1035.01</v>
      </c>
      <c r="K1325">
        <v>349</v>
      </c>
      <c r="L1325" s="11">
        <v>0.25353009259259257</v>
      </c>
      <c r="M1325">
        <f t="shared" si="101"/>
        <v>1</v>
      </c>
      <c r="N1325">
        <f t="shared" si="102"/>
        <v>12</v>
      </c>
      <c r="O1325">
        <f t="shared" si="103"/>
        <v>2023</v>
      </c>
      <c r="P1325" s="4">
        <f t="shared" si="104"/>
        <v>45261</v>
      </c>
      <c r="Q1325" t="s">
        <v>1139</v>
      </c>
      <c r="R1325" t="s">
        <v>1135</v>
      </c>
      <c r="S1325">
        <v>1</v>
      </c>
      <c r="T1325" t="s">
        <v>1148</v>
      </c>
      <c r="U1325" s="11" t="str">
        <f t="shared" si="105"/>
        <v>06:05:05 AM</v>
      </c>
      <c r="BL1325" s="2" t="s">
        <v>2475</v>
      </c>
    </row>
    <row r="1326" spans="1:64" x14ac:dyDescent="0.35">
      <c r="A1326">
        <v>3695</v>
      </c>
      <c r="B1326" t="s">
        <v>0</v>
      </c>
      <c r="C1326" s="1">
        <v>45399</v>
      </c>
      <c r="D1326" t="s">
        <v>6</v>
      </c>
      <c r="E1326" t="s">
        <v>33</v>
      </c>
      <c r="F1326">
        <v>2</v>
      </c>
      <c r="G1326">
        <v>1933.07</v>
      </c>
      <c r="H1326">
        <v>3866.14</v>
      </c>
      <c r="I1326">
        <v>386.78</v>
      </c>
      <c r="J1326">
        <v>3479.36</v>
      </c>
      <c r="K1326">
        <v>82</v>
      </c>
      <c r="L1326" s="11">
        <v>0.33019675925925923</v>
      </c>
      <c r="M1326">
        <f t="shared" si="101"/>
        <v>17</v>
      </c>
      <c r="N1326">
        <f t="shared" si="102"/>
        <v>4</v>
      </c>
      <c r="O1326">
        <f t="shared" si="103"/>
        <v>2024</v>
      </c>
      <c r="P1326" s="4">
        <f t="shared" si="104"/>
        <v>45399</v>
      </c>
      <c r="Q1326" t="s">
        <v>1138</v>
      </c>
      <c r="R1326" t="s">
        <v>1137</v>
      </c>
      <c r="S1326">
        <v>5</v>
      </c>
      <c r="T1326" t="s">
        <v>1141</v>
      </c>
      <c r="U1326" s="11" t="str">
        <f t="shared" si="105"/>
        <v>07:55:29 AM</v>
      </c>
      <c r="BL1326" s="2" t="s">
        <v>2476</v>
      </c>
    </row>
    <row r="1327" spans="1:64" x14ac:dyDescent="0.35">
      <c r="A1327">
        <v>9525</v>
      </c>
      <c r="B1327" t="s">
        <v>8</v>
      </c>
      <c r="C1327" s="1">
        <v>45488</v>
      </c>
      <c r="D1327" t="s">
        <v>11</v>
      </c>
      <c r="E1327" t="s">
        <v>26</v>
      </c>
      <c r="F1327">
        <v>3</v>
      </c>
      <c r="G1327">
        <v>1582.81</v>
      </c>
      <c r="H1327">
        <v>4748.43</v>
      </c>
      <c r="I1327">
        <v>378.48</v>
      </c>
      <c r="J1327">
        <v>4369.95</v>
      </c>
      <c r="K1327">
        <v>481</v>
      </c>
      <c r="L1327" s="11">
        <v>0.70541666666666669</v>
      </c>
      <c r="M1327">
        <f t="shared" si="101"/>
        <v>15</v>
      </c>
      <c r="N1327">
        <f t="shared" si="102"/>
        <v>7</v>
      </c>
      <c r="O1327">
        <f t="shared" si="103"/>
        <v>2024</v>
      </c>
      <c r="P1327" s="4">
        <f t="shared" si="104"/>
        <v>45488</v>
      </c>
      <c r="Q1327" t="s">
        <v>1138</v>
      </c>
      <c r="R1327" t="s">
        <v>1135</v>
      </c>
      <c r="S1327">
        <v>1</v>
      </c>
      <c r="T1327" t="s">
        <v>1141</v>
      </c>
      <c r="U1327" s="11" t="str">
        <f t="shared" si="105"/>
        <v>04:55:48 PM</v>
      </c>
      <c r="BL1327" s="2" t="s">
        <v>2477</v>
      </c>
    </row>
    <row r="1328" spans="1:64" x14ac:dyDescent="0.35">
      <c r="A1328">
        <v>2904</v>
      </c>
      <c r="B1328" t="s">
        <v>13</v>
      </c>
      <c r="C1328" s="1">
        <v>45673</v>
      </c>
      <c r="D1328" t="s">
        <v>6</v>
      </c>
      <c r="E1328" t="s">
        <v>33</v>
      </c>
      <c r="F1328">
        <v>5</v>
      </c>
      <c r="G1328">
        <v>1542.97</v>
      </c>
      <c r="H1328">
        <v>7714.85</v>
      </c>
      <c r="I1328">
        <v>291.33</v>
      </c>
      <c r="J1328">
        <v>7423.52</v>
      </c>
      <c r="K1328">
        <v>490</v>
      </c>
      <c r="L1328" s="11">
        <v>0.65240740740740744</v>
      </c>
      <c r="M1328">
        <f t="shared" si="101"/>
        <v>16</v>
      </c>
      <c r="N1328">
        <f t="shared" si="102"/>
        <v>1</v>
      </c>
      <c r="O1328">
        <f t="shared" si="103"/>
        <v>2025</v>
      </c>
      <c r="P1328" s="4">
        <f t="shared" si="104"/>
        <v>45673</v>
      </c>
      <c r="Q1328" t="s">
        <v>1138</v>
      </c>
      <c r="R1328" t="s">
        <v>1137</v>
      </c>
      <c r="S1328">
        <v>4</v>
      </c>
      <c r="T1328" t="s">
        <v>1146</v>
      </c>
      <c r="U1328" s="11" t="str">
        <f t="shared" si="105"/>
        <v>03:39:28 PM</v>
      </c>
      <c r="BL1328" s="2" t="s">
        <v>2478</v>
      </c>
    </row>
    <row r="1329" spans="1:64" x14ac:dyDescent="0.35">
      <c r="A1329">
        <v>4365</v>
      </c>
      <c r="B1329" t="s">
        <v>15</v>
      </c>
      <c r="C1329" s="1">
        <v>45701</v>
      </c>
      <c r="D1329" t="s">
        <v>4</v>
      </c>
      <c r="E1329" t="s">
        <v>28</v>
      </c>
      <c r="F1329">
        <v>2</v>
      </c>
      <c r="G1329">
        <v>1926.43</v>
      </c>
      <c r="H1329">
        <v>3852.86</v>
      </c>
      <c r="I1329">
        <v>385.12</v>
      </c>
      <c r="J1329">
        <v>3467.74</v>
      </c>
      <c r="K1329">
        <v>158</v>
      </c>
      <c r="L1329" s="11">
        <v>0.7631134259259259</v>
      </c>
      <c r="M1329">
        <f t="shared" si="101"/>
        <v>13</v>
      </c>
      <c r="N1329">
        <f t="shared" si="102"/>
        <v>2</v>
      </c>
      <c r="O1329">
        <f t="shared" si="103"/>
        <v>2025</v>
      </c>
      <c r="P1329" s="4">
        <f t="shared" si="104"/>
        <v>45701</v>
      </c>
      <c r="Q1329" t="s">
        <v>1138</v>
      </c>
      <c r="R1329" t="s">
        <v>1135</v>
      </c>
      <c r="S1329">
        <v>5</v>
      </c>
      <c r="T1329" t="s">
        <v>1144</v>
      </c>
      <c r="U1329" s="11" t="str">
        <f t="shared" si="105"/>
        <v>06:18:53 PM</v>
      </c>
      <c r="BL1329" s="2" t="s">
        <v>2479</v>
      </c>
    </row>
    <row r="1330" spans="1:64" x14ac:dyDescent="0.35">
      <c r="A1330">
        <v>9008</v>
      </c>
      <c r="B1330" t="s">
        <v>0</v>
      </c>
      <c r="C1330" s="1">
        <v>45215</v>
      </c>
      <c r="D1330" t="s">
        <v>34</v>
      </c>
      <c r="E1330" t="s">
        <v>10</v>
      </c>
      <c r="F1330">
        <v>2</v>
      </c>
      <c r="G1330">
        <v>2330.64</v>
      </c>
      <c r="H1330">
        <v>4661.28</v>
      </c>
      <c r="I1330">
        <v>698.86</v>
      </c>
      <c r="J1330">
        <v>3962.42</v>
      </c>
      <c r="K1330">
        <v>82</v>
      </c>
      <c r="L1330" s="11">
        <v>0.31585648148148149</v>
      </c>
      <c r="M1330">
        <f t="shared" si="101"/>
        <v>16</v>
      </c>
      <c r="N1330">
        <f t="shared" si="102"/>
        <v>10</v>
      </c>
      <c r="O1330">
        <f t="shared" si="103"/>
        <v>2023</v>
      </c>
      <c r="P1330" s="4">
        <f t="shared" si="104"/>
        <v>45215</v>
      </c>
      <c r="Q1330" t="s">
        <v>1139</v>
      </c>
      <c r="R1330" t="s">
        <v>1135</v>
      </c>
      <c r="S1330">
        <v>3</v>
      </c>
      <c r="T1330" t="s">
        <v>1148</v>
      </c>
      <c r="U1330" s="11" t="str">
        <f t="shared" si="105"/>
        <v>07:34:50 AM</v>
      </c>
      <c r="BL1330" s="2" t="s">
        <v>2480</v>
      </c>
    </row>
    <row r="1331" spans="1:64" x14ac:dyDescent="0.35">
      <c r="A1331">
        <v>9361</v>
      </c>
      <c r="B1331" t="s">
        <v>25</v>
      </c>
      <c r="C1331" s="1">
        <v>45491</v>
      </c>
      <c r="D1331" t="s">
        <v>11</v>
      </c>
      <c r="E1331" t="s">
        <v>32</v>
      </c>
      <c r="F1331">
        <v>1</v>
      </c>
      <c r="G1331">
        <v>513.77</v>
      </c>
      <c r="H1331">
        <v>513.77</v>
      </c>
      <c r="I1331">
        <v>77.19</v>
      </c>
      <c r="J1331">
        <v>436.58</v>
      </c>
      <c r="K1331">
        <v>395</v>
      </c>
      <c r="L1331" s="11">
        <v>0.62732638888888892</v>
      </c>
      <c r="M1331">
        <f t="shared" si="101"/>
        <v>18</v>
      </c>
      <c r="N1331">
        <f t="shared" si="102"/>
        <v>7</v>
      </c>
      <c r="O1331">
        <f t="shared" si="103"/>
        <v>2024</v>
      </c>
      <c r="P1331" s="4">
        <f t="shared" si="104"/>
        <v>45491</v>
      </c>
      <c r="Q1331" t="s">
        <v>1138</v>
      </c>
      <c r="R1331" t="s">
        <v>1137</v>
      </c>
      <c r="S1331">
        <v>1</v>
      </c>
      <c r="T1331" t="s">
        <v>1149</v>
      </c>
      <c r="U1331" s="11" t="str">
        <f t="shared" si="105"/>
        <v>03:03:21 PM</v>
      </c>
      <c r="BL1331" s="2" t="s">
        <v>2481</v>
      </c>
    </row>
    <row r="1332" spans="1:64" x14ac:dyDescent="0.35">
      <c r="A1332">
        <v>1911</v>
      </c>
      <c r="B1332" t="s">
        <v>15</v>
      </c>
      <c r="C1332" s="1">
        <v>45497</v>
      </c>
      <c r="D1332" t="s">
        <v>24</v>
      </c>
      <c r="E1332" t="s">
        <v>22</v>
      </c>
      <c r="F1332">
        <v>2</v>
      </c>
      <c r="G1332">
        <v>2344.75</v>
      </c>
      <c r="H1332">
        <v>4689.5</v>
      </c>
      <c r="I1332">
        <v>203.35</v>
      </c>
      <c r="J1332">
        <v>4486.1499999999996</v>
      </c>
      <c r="K1332">
        <v>497</v>
      </c>
      <c r="L1332" s="11">
        <v>0.75884259259259257</v>
      </c>
      <c r="M1332">
        <f t="shared" si="101"/>
        <v>24</v>
      </c>
      <c r="N1332">
        <f t="shared" si="102"/>
        <v>7</v>
      </c>
      <c r="O1332">
        <f t="shared" si="103"/>
        <v>2024</v>
      </c>
      <c r="P1332" s="4">
        <f t="shared" si="104"/>
        <v>45497</v>
      </c>
      <c r="Q1332" t="s">
        <v>1139</v>
      </c>
      <c r="R1332" t="s">
        <v>1135</v>
      </c>
      <c r="S1332">
        <v>2</v>
      </c>
      <c r="T1332" t="s">
        <v>1144</v>
      </c>
      <c r="U1332" s="11" t="str">
        <f t="shared" si="105"/>
        <v>06:12:44 PM</v>
      </c>
      <c r="BL1332" s="2" t="s">
        <v>2482</v>
      </c>
    </row>
    <row r="1333" spans="1:64" x14ac:dyDescent="0.35">
      <c r="A1333">
        <v>3161</v>
      </c>
      <c r="B1333" t="s">
        <v>19</v>
      </c>
      <c r="C1333" s="1">
        <v>45543</v>
      </c>
      <c r="D1333" t="s">
        <v>9</v>
      </c>
      <c r="E1333" t="s">
        <v>5</v>
      </c>
      <c r="F1333">
        <v>5</v>
      </c>
      <c r="G1333">
        <v>2289.9699999999998</v>
      </c>
      <c r="H1333">
        <v>11449.85</v>
      </c>
      <c r="I1333">
        <v>1717.27</v>
      </c>
      <c r="J1333">
        <v>9732.58</v>
      </c>
      <c r="K1333">
        <v>66</v>
      </c>
      <c r="L1333" s="11">
        <v>0.11174768518518519</v>
      </c>
      <c r="M1333">
        <f t="shared" si="101"/>
        <v>8</v>
      </c>
      <c r="N1333">
        <f t="shared" si="102"/>
        <v>9</v>
      </c>
      <c r="O1333">
        <f t="shared" si="103"/>
        <v>2024</v>
      </c>
      <c r="P1333" s="4">
        <f t="shared" si="104"/>
        <v>45543</v>
      </c>
      <c r="Q1333" t="s">
        <v>1139</v>
      </c>
      <c r="R1333" t="s">
        <v>1135</v>
      </c>
      <c r="S1333">
        <v>1</v>
      </c>
      <c r="T1333" t="s">
        <v>1148</v>
      </c>
      <c r="U1333" s="11" t="str">
        <f t="shared" si="105"/>
        <v>02:40:55 AM</v>
      </c>
      <c r="BL1333" s="2" t="s">
        <v>2483</v>
      </c>
    </row>
    <row r="1334" spans="1:64" x14ac:dyDescent="0.35">
      <c r="A1334">
        <v>7806</v>
      </c>
      <c r="B1334" t="s">
        <v>3</v>
      </c>
      <c r="C1334" s="1">
        <v>45499</v>
      </c>
      <c r="D1334" t="s">
        <v>17</v>
      </c>
      <c r="E1334" t="s">
        <v>10</v>
      </c>
      <c r="F1334">
        <v>3</v>
      </c>
      <c r="G1334">
        <v>283.02999999999997</v>
      </c>
      <c r="H1334">
        <v>849.09</v>
      </c>
      <c r="I1334">
        <v>126.99</v>
      </c>
      <c r="J1334">
        <v>722.1</v>
      </c>
      <c r="K1334">
        <v>211</v>
      </c>
      <c r="L1334" s="11">
        <v>0.29712962962962963</v>
      </c>
      <c r="M1334">
        <f t="shared" si="101"/>
        <v>26</v>
      </c>
      <c r="N1334">
        <f t="shared" si="102"/>
        <v>7</v>
      </c>
      <c r="O1334">
        <f t="shared" si="103"/>
        <v>2024</v>
      </c>
      <c r="P1334" s="4">
        <f t="shared" si="104"/>
        <v>45499</v>
      </c>
      <c r="Q1334" t="s">
        <v>1134</v>
      </c>
      <c r="R1334" t="s">
        <v>1135</v>
      </c>
      <c r="S1334">
        <v>3</v>
      </c>
      <c r="T1334" t="s">
        <v>1150</v>
      </c>
      <c r="U1334" s="11" t="str">
        <f t="shared" si="105"/>
        <v>07:07:52 AM</v>
      </c>
      <c r="BL1334" s="2" t="s">
        <v>2484</v>
      </c>
    </row>
    <row r="1335" spans="1:64" x14ac:dyDescent="0.35">
      <c r="A1335">
        <v>1945</v>
      </c>
      <c r="B1335" t="s">
        <v>20</v>
      </c>
      <c r="C1335" s="1">
        <v>45579</v>
      </c>
      <c r="D1335" t="s">
        <v>17</v>
      </c>
      <c r="E1335" t="s">
        <v>29</v>
      </c>
      <c r="F1335">
        <v>2</v>
      </c>
      <c r="G1335">
        <v>1766.24</v>
      </c>
      <c r="H1335">
        <v>3532.48</v>
      </c>
      <c r="I1335">
        <v>706.33</v>
      </c>
      <c r="J1335">
        <v>2826.15</v>
      </c>
      <c r="K1335">
        <v>287</v>
      </c>
      <c r="L1335" s="11">
        <v>0.38793981481481482</v>
      </c>
      <c r="M1335">
        <f t="shared" si="101"/>
        <v>14</v>
      </c>
      <c r="N1335">
        <f t="shared" si="102"/>
        <v>10</v>
      </c>
      <c r="O1335">
        <f t="shared" si="103"/>
        <v>2024</v>
      </c>
      <c r="P1335" s="4">
        <f t="shared" si="104"/>
        <v>45579</v>
      </c>
      <c r="Q1335" t="s">
        <v>1136</v>
      </c>
      <c r="R1335" t="s">
        <v>1135</v>
      </c>
      <c r="S1335">
        <v>5</v>
      </c>
      <c r="T1335" t="s">
        <v>1149</v>
      </c>
      <c r="U1335" s="11" t="str">
        <f t="shared" si="105"/>
        <v>09:18:38 AM</v>
      </c>
      <c r="BL1335" s="2" t="s">
        <v>2485</v>
      </c>
    </row>
    <row r="1336" spans="1:64" x14ac:dyDescent="0.35">
      <c r="A1336">
        <v>8575</v>
      </c>
      <c r="B1336" t="s">
        <v>0</v>
      </c>
      <c r="C1336" s="1">
        <v>45667</v>
      </c>
      <c r="D1336" t="s">
        <v>24</v>
      </c>
      <c r="E1336" t="s">
        <v>21</v>
      </c>
      <c r="F1336">
        <v>2</v>
      </c>
      <c r="G1336">
        <v>1454.16</v>
      </c>
      <c r="H1336">
        <v>2908.32</v>
      </c>
      <c r="I1336">
        <v>581.83000000000004</v>
      </c>
      <c r="J1336">
        <v>2326.4899999999998</v>
      </c>
      <c r="K1336">
        <v>437</v>
      </c>
      <c r="L1336" s="11">
        <v>0.23034722222222223</v>
      </c>
      <c r="M1336">
        <f t="shared" si="101"/>
        <v>10</v>
      </c>
      <c r="N1336">
        <f t="shared" si="102"/>
        <v>1</v>
      </c>
      <c r="O1336">
        <f t="shared" si="103"/>
        <v>2025</v>
      </c>
      <c r="P1336" s="4">
        <f t="shared" si="104"/>
        <v>45667</v>
      </c>
      <c r="Q1336" t="s">
        <v>1136</v>
      </c>
      <c r="R1336" t="s">
        <v>1135</v>
      </c>
      <c r="S1336">
        <v>3</v>
      </c>
      <c r="T1336" t="s">
        <v>1148</v>
      </c>
      <c r="U1336" s="11" t="str">
        <f t="shared" si="105"/>
        <v>05:31:42 AM</v>
      </c>
      <c r="BL1336" s="2" t="s">
        <v>2486</v>
      </c>
    </row>
    <row r="1337" spans="1:64" x14ac:dyDescent="0.35">
      <c r="A1337">
        <v>6049</v>
      </c>
      <c r="B1337" t="s">
        <v>13</v>
      </c>
      <c r="C1337" s="1">
        <v>45706</v>
      </c>
      <c r="D1337" t="s">
        <v>34</v>
      </c>
      <c r="E1337" t="s">
        <v>32</v>
      </c>
      <c r="F1337">
        <v>3</v>
      </c>
      <c r="G1337">
        <v>1203.5</v>
      </c>
      <c r="H1337">
        <v>3610.5</v>
      </c>
      <c r="I1337">
        <v>111.22</v>
      </c>
      <c r="J1337">
        <v>3499.28</v>
      </c>
      <c r="K1337">
        <v>328</v>
      </c>
      <c r="L1337" s="11">
        <v>0.67616898148148152</v>
      </c>
      <c r="M1337">
        <f t="shared" si="101"/>
        <v>18</v>
      </c>
      <c r="N1337">
        <f t="shared" si="102"/>
        <v>2</v>
      </c>
      <c r="O1337">
        <f t="shared" si="103"/>
        <v>2025</v>
      </c>
      <c r="P1337" s="4">
        <f t="shared" si="104"/>
        <v>45706</v>
      </c>
      <c r="Q1337" t="s">
        <v>1139</v>
      </c>
      <c r="R1337" t="s">
        <v>1135</v>
      </c>
      <c r="S1337">
        <v>2</v>
      </c>
      <c r="T1337" t="s">
        <v>1148</v>
      </c>
      <c r="U1337" s="11" t="str">
        <f t="shared" si="105"/>
        <v>04:13:41 PM</v>
      </c>
      <c r="BL1337" s="2" t="s">
        <v>2487</v>
      </c>
    </row>
    <row r="1338" spans="1:64" x14ac:dyDescent="0.35">
      <c r="A1338">
        <v>1356</v>
      </c>
      <c r="B1338" t="s">
        <v>0</v>
      </c>
      <c r="C1338" s="1">
        <v>45452</v>
      </c>
      <c r="D1338" t="s">
        <v>9</v>
      </c>
      <c r="E1338" t="s">
        <v>5</v>
      </c>
      <c r="F1338">
        <v>2</v>
      </c>
      <c r="G1338">
        <v>1048.29</v>
      </c>
      <c r="H1338">
        <v>2096.58</v>
      </c>
      <c r="I1338">
        <v>314.57</v>
      </c>
      <c r="J1338">
        <v>1782.01</v>
      </c>
      <c r="K1338">
        <v>33</v>
      </c>
      <c r="L1338" s="11">
        <v>0.57765046296296296</v>
      </c>
      <c r="M1338">
        <f t="shared" si="101"/>
        <v>9</v>
      </c>
      <c r="N1338">
        <f t="shared" si="102"/>
        <v>6</v>
      </c>
      <c r="O1338">
        <f t="shared" si="103"/>
        <v>2024</v>
      </c>
      <c r="P1338" s="4">
        <f t="shared" si="104"/>
        <v>45452</v>
      </c>
      <c r="Q1338" t="s">
        <v>1134</v>
      </c>
      <c r="R1338" t="s">
        <v>1137</v>
      </c>
      <c r="S1338">
        <v>4</v>
      </c>
      <c r="T1338" t="s">
        <v>1141</v>
      </c>
      <c r="U1338" s="11" t="str">
        <f t="shared" si="105"/>
        <v>01:51:49 PM</v>
      </c>
      <c r="BL1338" s="2" t="s">
        <v>2488</v>
      </c>
    </row>
    <row r="1339" spans="1:64" x14ac:dyDescent="0.35">
      <c r="A1339">
        <v>5169</v>
      </c>
      <c r="B1339" t="s">
        <v>15</v>
      </c>
      <c r="C1339" s="1">
        <v>45779</v>
      </c>
      <c r="D1339" t="s">
        <v>6</v>
      </c>
      <c r="E1339" t="s">
        <v>37</v>
      </c>
      <c r="F1339">
        <v>1</v>
      </c>
      <c r="G1339">
        <v>751.98</v>
      </c>
      <c r="H1339">
        <v>751.98</v>
      </c>
      <c r="I1339">
        <v>75.53</v>
      </c>
      <c r="J1339">
        <v>676.45</v>
      </c>
      <c r="K1339">
        <v>19</v>
      </c>
      <c r="L1339" s="11">
        <v>0.3964699074074074</v>
      </c>
      <c r="M1339">
        <f t="shared" si="101"/>
        <v>2</v>
      </c>
      <c r="N1339">
        <f t="shared" si="102"/>
        <v>5</v>
      </c>
      <c r="O1339">
        <f t="shared" si="103"/>
        <v>2025</v>
      </c>
      <c r="P1339" s="4">
        <f t="shared" si="104"/>
        <v>45779</v>
      </c>
      <c r="Q1339" t="s">
        <v>1139</v>
      </c>
      <c r="R1339" t="s">
        <v>1137</v>
      </c>
      <c r="S1339">
        <v>1</v>
      </c>
      <c r="T1339" t="s">
        <v>1150</v>
      </c>
      <c r="U1339" s="11" t="str">
        <f t="shared" si="105"/>
        <v>09:30:55 AM</v>
      </c>
      <c r="BL1339" s="2" t="s">
        <v>2489</v>
      </c>
    </row>
    <row r="1340" spans="1:64" x14ac:dyDescent="0.35">
      <c r="A1340">
        <v>1049</v>
      </c>
      <c r="B1340" t="s">
        <v>8</v>
      </c>
      <c r="C1340" s="1">
        <v>45724</v>
      </c>
      <c r="D1340" t="s">
        <v>16</v>
      </c>
      <c r="E1340" t="s">
        <v>33</v>
      </c>
      <c r="F1340">
        <v>3</v>
      </c>
      <c r="G1340">
        <v>1450.01</v>
      </c>
      <c r="H1340">
        <v>4350.03</v>
      </c>
      <c r="I1340">
        <v>394.25</v>
      </c>
      <c r="J1340">
        <v>3955.78</v>
      </c>
      <c r="K1340">
        <v>307</v>
      </c>
      <c r="L1340" s="11">
        <v>2.9074074074074075E-2</v>
      </c>
      <c r="M1340">
        <f t="shared" si="101"/>
        <v>8</v>
      </c>
      <c r="N1340">
        <f t="shared" si="102"/>
        <v>3</v>
      </c>
      <c r="O1340">
        <f t="shared" si="103"/>
        <v>2025</v>
      </c>
      <c r="P1340" s="4">
        <f t="shared" si="104"/>
        <v>45724</v>
      </c>
      <c r="Q1340" t="s">
        <v>1139</v>
      </c>
      <c r="R1340" t="s">
        <v>1135</v>
      </c>
      <c r="S1340">
        <v>5</v>
      </c>
      <c r="T1340" t="s">
        <v>1148</v>
      </c>
      <c r="U1340" s="11" t="str">
        <f t="shared" si="105"/>
        <v>12:41:52 AM</v>
      </c>
      <c r="BL1340" s="2" t="s">
        <v>2490</v>
      </c>
    </row>
    <row r="1341" spans="1:64" x14ac:dyDescent="0.35">
      <c r="A1341">
        <v>4570</v>
      </c>
      <c r="B1341" t="s">
        <v>25</v>
      </c>
      <c r="C1341" s="1">
        <v>45594</v>
      </c>
      <c r="D1341" t="s">
        <v>9</v>
      </c>
      <c r="E1341" t="s">
        <v>37</v>
      </c>
      <c r="F1341">
        <v>2</v>
      </c>
      <c r="G1341">
        <v>212.48</v>
      </c>
      <c r="H1341">
        <v>424.96</v>
      </c>
      <c r="I1341">
        <v>0</v>
      </c>
      <c r="J1341">
        <v>424.96</v>
      </c>
      <c r="K1341">
        <v>444</v>
      </c>
      <c r="L1341" s="11">
        <v>9.9050925925925931E-2</v>
      </c>
      <c r="M1341">
        <f t="shared" si="101"/>
        <v>29</v>
      </c>
      <c r="N1341">
        <f t="shared" si="102"/>
        <v>10</v>
      </c>
      <c r="O1341">
        <f t="shared" si="103"/>
        <v>2024</v>
      </c>
      <c r="P1341" s="4">
        <f t="shared" si="104"/>
        <v>45594</v>
      </c>
      <c r="Q1341" t="s">
        <v>1139</v>
      </c>
      <c r="R1341" t="s">
        <v>1137</v>
      </c>
      <c r="S1341">
        <v>4</v>
      </c>
      <c r="T1341" t="s">
        <v>1150</v>
      </c>
      <c r="U1341" s="11" t="str">
        <f t="shared" si="105"/>
        <v>02:22:38 AM</v>
      </c>
      <c r="BL1341" s="2" t="s">
        <v>2491</v>
      </c>
    </row>
    <row r="1342" spans="1:64" x14ac:dyDescent="0.35">
      <c r="A1342">
        <v>2196</v>
      </c>
      <c r="B1342" t="s">
        <v>13</v>
      </c>
      <c r="C1342" s="1">
        <v>45180</v>
      </c>
      <c r="D1342" t="s">
        <v>24</v>
      </c>
      <c r="E1342" t="s">
        <v>2</v>
      </c>
      <c r="F1342">
        <v>2</v>
      </c>
      <c r="G1342">
        <v>283.02999999999997</v>
      </c>
      <c r="H1342">
        <v>566.05999999999995</v>
      </c>
      <c r="I1342">
        <v>56.44</v>
      </c>
      <c r="J1342">
        <v>509.62</v>
      </c>
      <c r="K1342">
        <v>35</v>
      </c>
      <c r="L1342" s="11">
        <v>0.61777777777777776</v>
      </c>
      <c r="M1342">
        <f t="shared" si="101"/>
        <v>11</v>
      </c>
      <c r="N1342">
        <f t="shared" si="102"/>
        <v>9</v>
      </c>
      <c r="O1342">
        <f t="shared" si="103"/>
        <v>2023</v>
      </c>
      <c r="P1342" s="4">
        <f t="shared" si="104"/>
        <v>45180</v>
      </c>
      <c r="Q1342" t="s">
        <v>1134</v>
      </c>
      <c r="R1342" t="s">
        <v>1137</v>
      </c>
      <c r="S1342">
        <v>3</v>
      </c>
      <c r="T1342" t="s">
        <v>1143</v>
      </c>
      <c r="U1342" s="11" t="str">
        <f t="shared" si="105"/>
        <v>02:49:36 PM</v>
      </c>
      <c r="BL1342" s="2" t="s">
        <v>2492</v>
      </c>
    </row>
    <row r="1343" spans="1:64" x14ac:dyDescent="0.35">
      <c r="A1343">
        <v>7941</v>
      </c>
      <c r="B1343" t="s">
        <v>0</v>
      </c>
      <c r="C1343" s="1">
        <v>45412</v>
      </c>
      <c r="D1343" t="s">
        <v>24</v>
      </c>
      <c r="E1343" t="s">
        <v>22</v>
      </c>
      <c r="F1343">
        <v>4</v>
      </c>
      <c r="G1343">
        <v>1345.43</v>
      </c>
      <c r="H1343">
        <v>5381.72</v>
      </c>
      <c r="I1343">
        <v>1076.51</v>
      </c>
      <c r="J1343">
        <v>4305.21</v>
      </c>
      <c r="K1343">
        <v>342</v>
      </c>
      <c r="L1343" s="11">
        <v>0.22540509259259259</v>
      </c>
      <c r="M1343">
        <f t="shared" si="101"/>
        <v>30</v>
      </c>
      <c r="N1343">
        <f t="shared" si="102"/>
        <v>4</v>
      </c>
      <c r="O1343">
        <f t="shared" si="103"/>
        <v>2024</v>
      </c>
      <c r="P1343" s="4">
        <f t="shared" si="104"/>
        <v>45412</v>
      </c>
      <c r="Q1343" t="s">
        <v>1136</v>
      </c>
      <c r="R1343" t="s">
        <v>1137</v>
      </c>
      <c r="S1343">
        <v>5</v>
      </c>
      <c r="T1343" t="s">
        <v>1150</v>
      </c>
      <c r="U1343" s="11" t="str">
        <f t="shared" si="105"/>
        <v>05:24:35 AM</v>
      </c>
      <c r="BL1343" s="2" t="s">
        <v>2493</v>
      </c>
    </row>
    <row r="1344" spans="1:64" x14ac:dyDescent="0.35">
      <c r="A1344">
        <v>2044</v>
      </c>
      <c r="B1344" t="s">
        <v>20</v>
      </c>
      <c r="C1344" s="1">
        <v>45565</v>
      </c>
      <c r="D1344" t="s">
        <v>4</v>
      </c>
      <c r="E1344" t="s">
        <v>5</v>
      </c>
      <c r="F1344">
        <v>3</v>
      </c>
      <c r="G1344">
        <v>2401.19</v>
      </c>
      <c r="H1344">
        <v>7203.57</v>
      </c>
      <c r="I1344">
        <v>1440.88</v>
      </c>
      <c r="J1344">
        <v>5762.69</v>
      </c>
      <c r="K1344">
        <v>152</v>
      </c>
      <c r="L1344" s="11">
        <v>0.47793981481481479</v>
      </c>
      <c r="M1344">
        <f t="shared" si="101"/>
        <v>30</v>
      </c>
      <c r="N1344">
        <f t="shared" si="102"/>
        <v>9</v>
      </c>
      <c r="O1344">
        <f t="shared" si="103"/>
        <v>2024</v>
      </c>
      <c r="P1344" s="4">
        <f t="shared" si="104"/>
        <v>45565</v>
      </c>
      <c r="Q1344" t="s">
        <v>1134</v>
      </c>
      <c r="R1344" t="s">
        <v>1135</v>
      </c>
      <c r="S1344">
        <v>4</v>
      </c>
      <c r="T1344" t="s">
        <v>1145</v>
      </c>
      <c r="U1344" s="11" t="str">
        <f t="shared" si="105"/>
        <v>11:28:14 AM</v>
      </c>
      <c r="BL1344" s="2" t="s">
        <v>2494</v>
      </c>
    </row>
    <row r="1345" spans="1:64" x14ac:dyDescent="0.35">
      <c r="A1345">
        <v>1987</v>
      </c>
      <c r="B1345" t="s">
        <v>25</v>
      </c>
      <c r="C1345" s="1">
        <v>45870</v>
      </c>
      <c r="D1345" t="s">
        <v>9</v>
      </c>
      <c r="E1345" t="s">
        <v>37</v>
      </c>
      <c r="F1345">
        <v>4</v>
      </c>
      <c r="G1345">
        <v>1371.16</v>
      </c>
      <c r="H1345">
        <v>5484.64</v>
      </c>
      <c r="I1345">
        <v>0</v>
      </c>
      <c r="J1345">
        <v>5484.64</v>
      </c>
      <c r="K1345">
        <v>401</v>
      </c>
      <c r="L1345" s="11">
        <v>0.94765046296296296</v>
      </c>
      <c r="M1345">
        <f t="shared" si="101"/>
        <v>1</v>
      </c>
      <c r="N1345">
        <f t="shared" si="102"/>
        <v>8</v>
      </c>
      <c r="O1345">
        <f t="shared" si="103"/>
        <v>2025</v>
      </c>
      <c r="P1345" s="4">
        <f t="shared" si="104"/>
        <v>45870</v>
      </c>
      <c r="Q1345" t="s">
        <v>1138</v>
      </c>
      <c r="R1345" t="s">
        <v>1137</v>
      </c>
      <c r="S1345">
        <v>5</v>
      </c>
      <c r="T1345" t="s">
        <v>1149</v>
      </c>
      <c r="U1345" s="11" t="str">
        <f t="shared" si="105"/>
        <v>10:44:37 PM</v>
      </c>
      <c r="BL1345" s="2" t="s">
        <v>2495</v>
      </c>
    </row>
    <row r="1346" spans="1:64" x14ac:dyDescent="0.35">
      <c r="A1346">
        <v>2130</v>
      </c>
      <c r="B1346" t="s">
        <v>13</v>
      </c>
      <c r="C1346" s="1">
        <v>45870</v>
      </c>
      <c r="D1346" t="s">
        <v>11</v>
      </c>
      <c r="E1346" t="s">
        <v>21</v>
      </c>
      <c r="F1346">
        <v>1</v>
      </c>
      <c r="G1346">
        <v>1432.58</v>
      </c>
      <c r="H1346">
        <v>1432.58</v>
      </c>
      <c r="I1346">
        <v>322.87</v>
      </c>
      <c r="J1346">
        <v>1109.71</v>
      </c>
      <c r="K1346">
        <v>457</v>
      </c>
      <c r="L1346" s="11">
        <v>0.42777777777777776</v>
      </c>
      <c r="M1346">
        <f t="shared" ref="M1346:M1409" si="106">DAY(C1346)</f>
        <v>1</v>
      </c>
      <c r="N1346">
        <f t="shared" ref="N1346:N1409" si="107">MONTH(C1346)</f>
        <v>8</v>
      </c>
      <c r="O1346">
        <f t="shared" ref="O1346:O1409" si="108">YEAR(C1346)</f>
        <v>2025</v>
      </c>
      <c r="P1346" s="4">
        <f t="shared" si="104"/>
        <v>45870</v>
      </c>
      <c r="Q1346" t="s">
        <v>1134</v>
      </c>
      <c r="R1346" t="s">
        <v>1135</v>
      </c>
      <c r="S1346">
        <v>2</v>
      </c>
      <c r="T1346" t="s">
        <v>1141</v>
      </c>
      <c r="U1346" s="11" t="str">
        <f t="shared" si="105"/>
        <v>10:16:00 AM</v>
      </c>
      <c r="BL1346" s="2" t="s">
        <v>2496</v>
      </c>
    </row>
    <row r="1347" spans="1:64" x14ac:dyDescent="0.35">
      <c r="A1347">
        <v>8734</v>
      </c>
      <c r="B1347" t="s">
        <v>8</v>
      </c>
      <c r="C1347" s="1">
        <v>45169</v>
      </c>
      <c r="D1347" t="s">
        <v>11</v>
      </c>
      <c r="E1347" t="s">
        <v>10</v>
      </c>
      <c r="F1347">
        <v>1</v>
      </c>
      <c r="G1347">
        <v>444.05</v>
      </c>
      <c r="H1347">
        <v>444.05</v>
      </c>
      <c r="I1347">
        <v>44.82</v>
      </c>
      <c r="J1347">
        <v>399.23</v>
      </c>
      <c r="K1347">
        <v>234</v>
      </c>
      <c r="L1347" s="11">
        <v>0.13746527777777778</v>
      </c>
      <c r="M1347">
        <f t="shared" si="106"/>
        <v>31</v>
      </c>
      <c r="N1347">
        <f t="shared" si="107"/>
        <v>8</v>
      </c>
      <c r="O1347">
        <f t="shared" si="108"/>
        <v>2023</v>
      </c>
      <c r="P1347" s="4">
        <f t="shared" ref="P1347:P1410" si="109">DATE(O1347,N1347,M1347)</f>
        <v>45169</v>
      </c>
      <c r="Q1347" t="s">
        <v>1134</v>
      </c>
      <c r="R1347" t="s">
        <v>1137</v>
      </c>
      <c r="S1347">
        <v>2</v>
      </c>
      <c r="T1347" t="s">
        <v>1141</v>
      </c>
      <c r="U1347" s="11" t="str">
        <f t="shared" si="105"/>
        <v>03:17:57 AM</v>
      </c>
      <c r="BL1347" s="2" t="s">
        <v>2497</v>
      </c>
    </row>
    <row r="1348" spans="1:64" x14ac:dyDescent="0.35">
      <c r="A1348">
        <v>5703</v>
      </c>
      <c r="B1348" t="s">
        <v>25</v>
      </c>
      <c r="C1348" s="1">
        <v>45462</v>
      </c>
      <c r="D1348" t="s">
        <v>4</v>
      </c>
      <c r="E1348" t="s">
        <v>5</v>
      </c>
      <c r="F1348">
        <v>3</v>
      </c>
      <c r="G1348">
        <v>1335.47</v>
      </c>
      <c r="H1348">
        <v>4006.41</v>
      </c>
      <c r="I1348">
        <v>800.95</v>
      </c>
      <c r="J1348">
        <v>3205.46</v>
      </c>
      <c r="K1348">
        <v>1</v>
      </c>
      <c r="L1348" s="11">
        <v>0.98383101851851851</v>
      </c>
      <c r="M1348">
        <f t="shared" si="106"/>
        <v>19</v>
      </c>
      <c r="N1348">
        <f t="shared" si="107"/>
        <v>6</v>
      </c>
      <c r="O1348">
        <f t="shared" si="108"/>
        <v>2024</v>
      </c>
      <c r="P1348" s="4">
        <f t="shared" si="109"/>
        <v>45462</v>
      </c>
      <c r="Q1348" t="s">
        <v>1134</v>
      </c>
      <c r="R1348" t="s">
        <v>1135</v>
      </c>
      <c r="S1348">
        <v>1</v>
      </c>
      <c r="T1348" t="s">
        <v>1141</v>
      </c>
      <c r="U1348" s="11" t="str">
        <f t="shared" si="105"/>
        <v>11:36:43 PM</v>
      </c>
      <c r="BL1348" s="2" t="s">
        <v>2498</v>
      </c>
    </row>
    <row r="1349" spans="1:64" x14ac:dyDescent="0.35">
      <c r="A1349">
        <v>3948</v>
      </c>
      <c r="B1349" t="s">
        <v>15</v>
      </c>
      <c r="C1349" s="1">
        <v>45742</v>
      </c>
      <c r="D1349" t="s">
        <v>16</v>
      </c>
      <c r="E1349" t="s">
        <v>38</v>
      </c>
      <c r="F1349">
        <v>1</v>
      </c>
      <c r="G1349">
        <v>608.39</v>
      </c>
      <c r="H1349">
        <v>608.39</v>
      </c>
      <c r="I1349">
        <v>0</v>
      </c>
      <c r="J1349">
        <v>608.39</v>
      </c>
      <c r="K1349">
        <v>96</v>
      </c>
      <c r="L1349" s="11">
        <v>0.36228009259259258</v>
      </c>
      <c r="M1349">
        <f t="shared" si="106"/>
        <v>26</v>
      </c>
      <c r="N1349">
        <f t="shared" si="107"/>
        <v>3</v>
      </c>
      <c r="O1349">
        <f t="shared" si="108"/>
        <v>2025</v>
      </c>
      <c r="P1349" s="4">
        <f t="shared" si="109"/>
        <v>45742</v>
      </c>
      <c r="Q1349" t="s">
        <v>1134</v>
      </c>
      <c r="R1349" t="s">
        <v>1135</v>
      </c>
      <c r="S1349">
        <v>1</v>
      </c>
      <c r="T1349" t="s">
        <v>1141</v>
      </c>
      <c r="U1349" s="11" t="str">
        <f t="shared" si="105"/>
        <v>08:41:41 AM</v>
      </c>
      <c r="BL1349" s="2" t="s">
        <v>2499</v>
      </c>
    </row>
    <row r="1350" spans="1:64" x14ac:dyDescent="0.35">
      <c r="A1350">
        <v>3218</v>
      </c>
      <c r="B1350" t="s">
        <v>3</v>
      </c>
      <c r="C1350" s="1">
        <v>45739</v>
      </c>
      <c r="D1350" t="s">
        <v>23</v>
      </c>
      <c r="E1350" t="s">
        <v>21</v>
      </c>
      <c r="F1350">
        <v>2</v>
      </c>
      <c r="G1350">
        <v>919.64</v>
      </c>
      <c r="H1350">
        <v>1839.28</v>
      </c>
      <c r="I1350">
        <v>0</v>
      </c>
      <c r="J1350">
        <v>1839.28</v>
      </c>
      <c r="K1350">
        <v>487</v>
      </c>
      <c r="L1350" s="11">
        <v>0.51790509259259254</v>
      </c>
      <c r="M1350">
        <f t="shared" si="106"/>
        <v>23</v>
      </c>
      <c r="N1350">
        <f t="shared" si="107"/>
        <v>3</v>
      </c>
      <c r="O1350">
        <f t="shared" si="108"/>
        <v>2025</v>
      </c>
      <c r="P1350" s="4">
        <f t="shared" si="109"/>
        <v>45739</v>
      </c>
      <c r="Q1350" t="s">
        <v>1136</v>
      </c>
      <c r="R1350" t="s">
        <v>1137</v>
      </c>
      <c r="S1350">
        <v>2</v>
      </c>
      <c r="T1350" t="s">
        <v>1148</v>
      </c>
      <c r="U1350" s="11" t="str">
        <f t="shared" si="105"/>
        <v>12:25:47 PM</v>
      </c>
      <c r="BL1350" s="2" t="s">
        <v>2500</v>
      </c>
    </row>
    <row r="1351" spans="1:64" x14ac:dyDescent="0.35">
      <c r="A1351">
        <v>7887</v>
      </c>
      <c r="B1351" t="s">
        <v>8</v>
      </c>
      <c r="C1351" s="1">
        <v>45435</v>
      </c>
      <c r="D1351" t="s">
        <v>11</v>
      </c>
      <c r="E1351" t="s">
        <v>12</v>
      </c>
      <c r="F1351">
        <v>1</v>
      </c>
      <c r="G1351">
        <v>809.25</v>
      </c>
      <c r="H1351">
        <v>809.25</v>
      </c>
      <c r="I1351">
        <v>0</v>
      </c>
      <c r="J1351">
        <v>809.25</v>
      </c>
      <c r="K1351">
        <v>157</v>
      </c>
      <c r="L1351" s="11">
        <v>0.81560185185185186</v>
      </c>
      <c r="M1351">
        <f t="shared" si="106"/>
        <v>23</v>
      </c>
      <c r="N1351">
        <f t="shared" si="107"/>
        <v>5</v>
      </c>
      <c r="O1351">
        <f t="shared" si="108"/>
        <v>2024</v>
      </c>
      <c r="P1351" s="4">
        <f t="shared" si="109"/>
        <v>45435</v>
      </c>
      <c r="Q1351" t="s">
        <v>1138</v>
      </c>
      <c r="R1351" t="s">
        <v>1137</v>
      </c>
      <c r="S1351">
        <v>5</v>
      </c>
      <c r="T1351" t="s">
        <v>1141</v>
      </c>
      <c r="U1351" s="11" t="str">
        <f t="shared" si="105"/>
        <v>07:34:28 PM</v>
      </c>
      <c r="BL1351" s="2" t="s">
        <v>2501</v>
      </c>
    </row>
    <row r="1352" spans="1:64" x14ac:dyDescent="0.35">
      <c r="A1352">
        <v>7266</v>
      </c>
      <c r="B1352" t="s">
        <v>15</v>
      </c>
      <c r="C1352" s="1">
        <v>45493</v>
      </c>
      <c r="D1352" t="s">
        <v>16</v>
      </c>
      <c r="E1352" t="s">
        <v>22</v>
      </c>
      <c r="F1352">
        <v>4</v>
      </c>
      <c r="G1352">
        <v>1069.8699999999999</v>
      </c>
      <c r="H1352">
        <v>4279.4799999999996</v>
      </c>
      <c r="I1352">
        <v>406.7</v>
      </c>
      <c r="J1352">
        <v>3872.78</v>
      </c>
      <c r="K1352">
        <v>180</v>
      </c>
      <c r="L1352" s="11">
        <v>0.47347222222222224</v>
      </c>
      <c r="M1352">
        <f t="shared" si="106"/>
        <v>20</v>
      </c>
      <c r="N1352">
        <f t="shared" si="107"/>
        <v>7</v>
      </c>
      <c r="O1352">
        <f t="shared" si="108"/>
        <v>2024</v>
      </c>
      <c r="P1352" s="4">
        <f t="shared" si="109"/>
        <v>45493</v>
      </c>
      <c r="Q1352" t="s">
        <v>1136</v>
      </c>
      <c r="R1352" t="s">
        <v>1135</v>
      </c>
      <c r="S1352">
        <v>2</v>
      </c>
      <c r="T1352" t="s">
        <v>1150</v>
      </c>
      <c r="U1352" s="11" t="str">
        <f t="shared" si="105"/>
        <v>11:21:48 AM</v>
      </c>
      <c r="BL1352" s="2" t="s">
        <v>2502</v>
      </c>
    </row>
    <row r="1353" spans="1:64" x14ac:dyDescent="0.35">
      <c r="A1353">
        <v>7184</v>
      </c>
      <c r="B1353" t="s">
        <v>25</v>
      </c>
      <c r="C1353" s="1">
        <v>45436</v>
      </c>
      <c r="D1353" t="s">
        <v>4</v>
      </c>
      <c r="E1353" t="s">
        <v>18</v>
      </c>
      <c r="F1353">
        <v>4</v>
      </c>
      <c r="G1353">
        <v>1113.03</v>
      </c>
      <c r="H1353">
        <v>4452.12</v>
      </c>
      <c r="I1353">
        <v>227.42</v>
      </c>
      <c r="J1353">
        <v>4224.7</v>
      </c>
      <c r="K1353">
        <v>90</v>
      </c>
      <c r="L1353" s="11">
        <v>0.34707175925925926</v>
      </c>
      <c r="M1353">
        <f t="shared" si="106"/>
        <v>24</v>
      </c>
      <c r="N1353">
        <f t="shared" si="107"/>
        <v>5</v>
      </c>
      <c r="O1353">
        <f t="shared" si="108"/>
        <v>2024</v>
      </c>
      <c r="P1353" s="4">
        <f t="shared" si="109"/>
        <v>45436</v>
      </c>
      <c r="Q1353" t="s">
        <v>1136</v>
      </c>
      <c r="R1353" t="s">
        <v>1137</v>
      </c>
      <c r="S1353">
        <v>1</v>
      </c>
      <c r="T1353" t="s">
        <v>1145</v>
      </c>
      <c r="U1353" s="11" t="str">
        <f t="shared" si="105"/>
        <v>08:19:47 AM</v>
      </c>
      <c r="BL1353" s="2" t="s">
        <v>2503</v>
      </c>
    </row>
    <row r="1354" spans="1:64" x14ac:dyDescent="0.35">
      <c r="A1354">
        <v>2314</v>
      </c>
      <c r="B1354" t="s">
        <v>19</v>
      </c>
      <c r="C1354" s="1">
        <v>45675</v>
      </c>
      <c r="D1354" t="s">
        <v>16</v>
      </c>
      <c r="E1354" t="s">
        <v>5</v>
      </c>
      <c r="F1354">
        <v>3</v>
      </c>
      <c r="G1354">
        <v>1772.05</v>
      </c>
      <c r="H1354">
        <v>5316.15</v>
      </c>
      <c r="I1354">
        <v>350.26</v>
      </c>
      <c r="J1354">
        <v>4965.8900000000003</v>
      </c>
      <c r="K1354">
        <v>480</v>
      </c>
      <c r="L1354" s="11">
        <v>0.20565972222222223</v>
      </c>
      <c r="M1354">
        <f t="shared" si="106"/>
        <v>18</v>
      </c>
      <c r="N1354">
        <f t="shared" si="107"/>
        <v>1</v>
      </c>
      <c r="O1354">
        <f t="shared" si="108"/>
        <v>2025</v>
      </c>
      <c r="P1354" s="4">
        <f t="shared" si="109"/>
        <v>45675</v>
      </c>
      <c r="Q1354" t="s">
        <v>1134</v>
      </c>
      <c r="R1354" t="s">
        <v>1137</v>
      </c>
      <c r="S1354">
        <v>2</v>
      </c>
      <c r="T1354" t="s">
        <v>1146</v>
      </c>
      <c r="U1354" s="11" t="str">
        <f t="shared" si="105"/>
        <v>04:56:09 AM</v>
      </c>
      <c r="BL1354" s="2" t="s">
        <v>2504</v>
      </c>
    </row>
    <row r="1355" spans="1:64" x14ac:dyDescent="0.35">
      <c r="A1355">
        <v>9835</v>
      </c>
      <c r="B1355" t="s">
        <v>0</v>
      </c>
      <c r="C1355" s="1">
        <v>45248</v>
      </c>
      <c r="D1355" t="s">
        <v>4</v>
      </c>
      <c r="E1355" t="s">
        <v>28</v>
      </c>
      <c r="F1355">
        <v>5</v>
      </c>
      <c r="G1355">
        <v>2326.4899999999998</v>
      </c>
      <c r="H1355">
        <v>11632.45</v>
      </c>
      <c r="I1355">
        <v>0</v>
      </c>
      <c r="J1355">
        <v>11632.45</v>
      </c>
      <c r="K1355">
        <v>53</v>
      </c>
      <c r="L1355" s="11">
        <v>0.40621527777777777</v>
      </c>
      <c r="M1355">
        <f t="shared" si="106"/>
        <v>18</v>
      </c>
      <c r="N1355">
        <f t="shared" si="107"/>
        <v>11</v>
      </c>
      <c r="O1355">
        <f t="shared" si="108"/>
        <v>2023</v>
      </c>
      <c r="P1355" s="4">
        <f t="shared" si="109"/>
        <v>45248</v>
      </c>
      <c r="Q1355" t="s">
        <v>1139</v>
      </c>
      <c r="R1355" t="s">
        <v>1137</v>
      </c>
      <c r="S1355">
        <v>2</v>
      </c>
      <c r="T1355" t="s">
        <v>1142</v>
      </c>
      <c r="U1355" s="11" t="str">
        <f t="shared" si="105"/>
        <v>09:44:57 AM</v>
      </c>
      <c r="BL1355" s="2" t="s">
        <v>2505</v>
      </c>
    </row>
    <row r="1356" spans="1:64" x14ac:dyDescent="0.35">
      <c r="A1356">
        <v>6697</v>
      </c>
      <c r="B1356" t="s">
        <v>3</v>
      </c>
      <c r="C1356" s="1">
        <v>45237</v>
      </c>
      <c r="D1356" t="s">
        <v>4</v>
      </c>
      <c r="E1356" t="s">
        <v>22</v>
      </c>
      <c r="F1356">
        <v>5</v>
      </c>
      <c r="G1356">
        <v>1481.55</v>
      </c>
      <c r="H1356">
        <v>7407.75</v>
      </c>
      <c r="I1356">
        <v>741.19</v>
      </c>
      <c r="J1356">
        <v>6666.56</v>
      </c>
      <c r="K1356">
        <v>16</v>
      </c>
      <c r="L1356" s="11">
        <v>0.97964120370370367</v>
      </c>
      <c r="M1356">
        <f t="shared" si="106"/>
        <v>7</v>
      </c>
      <c r="N1356">
        <f t="shared" si="107"/>
        <v>11</v>
      </c>
      <c r="O1356">
        <f t="shared" si="108"/>
        <v>2023</v>
      </c>
      <c r="P1356" s="4">
        <f t="shared" si="109"/>
        <v>45237</v>
      </c>
      <c r="Q1356" t="s">
        <v>1139</v>
      </c>
      <c r="R1356" t="s">
        <v>1135</v>
      </c>
      <c r="S1356">
        <v>5</v>
      </c>
      <c r="T1356" t="s">
        <v>1147</v>
      </c>
      <c r="U1356" s="11" t="str">
        <f t="shared" si="105"/>
        <v>11:30:41 PM</v>
      </c>
      <c r="BL1356" s="2" t="s">
        <v>2506</v>
      </c>
    </row>
    <row r="1357" spans="1:64" x14ac:dyDescent="0.35">
      <c r="A1357">
        <v>3924</v>
      </c>
      <c r="B1357" t="s">
        <v>31</v>
      </c>
      <c r="C1357" s="1">
        <v>45562</v>
      </c>
      <c r="D1357" t="s">
        <v>6</v>
      </c>
      <c r="E1357" t="s">
        <v>22</v>
      </c>
      <c r="F1357">
        <v>5</v>
      </c>
      <c r="G1357">
        <v>999.32</v>
      </c>
      <c r="H1357">
        <v>4996.6000000000004</v>
      </c>
      <c r="I1357">
        <v>199.2</v>
      </c>
      <c r="J1357">
        <v>4797.3999999999996</v>
      </c>
      <c r="K1357">
        <v>100</v>
      </c>
      <c r="L1357" s="11">
        <v>0.77927083333333336</v>
      </c>
      <c r="M1357">
        <f t="shared" si="106"/>
        <v>27</v>
      </c>
      <c r="N1357">
        <f t="shared" si="107"/>
        <v>9</v>
      </c>
      <c r="O1357">
        <f t="shared" si="108"/>
        <v>2024</v>
      </c>
      <c r="P1357" s="4">
        <f t="shared" si="109"/>
        <v>45562</v>
      </c>
      <c r="Q1357" t="s">
        <v>1136</v>
      </c>
      <c r="R1357" t="s">
        <v>1135</v>
      </c>
      <c r="S1357">
        <v>4</v>
      </c>
      <c r="T1357" t="s">
        <v>1146</v>
      </c>
      <c r="U1357" s="11" t="str">
        <f t="shared" si="105"/>
        <v>06:42:09 PM</v>
      </c>
      <c r="BL1357" s="2" t="s">
        <v>2507</v>
      </c>
    </row>
    <row r="1358" spans="1:64" x14ac:dyDescent="0.35">
      <c r="A1358">
        <v>7439</v>
      </c>
      <c r="B1358" t="s">
        <v>15</v>
      </c>
      <c r="C1358" s="1">
        <v>45555</v>
      </c>
      <c r="D1358" t="s">
        <v>9</v>
      </c>
      <c r="E1358" t="s">
        <v>21</v>
      </c>
      <c r="F1358">
        <v>1</v>
      </c>
      <c r="G1358">
        <v>2343.92</v>
      </c>
      <c r="H1358">
        <v>2343.92</v>
      </c>
      <c r="I1358">
        <v>176.79</v>
      </c>
      <c r="J1358">
        <v>2167.13</v>
      </c>
      <c r="K1358">
        <v>400</v>
      </c>
      <c r="L1358" s="11">
        <v>0.46605324074074073</v>
      </c>
      <c r="M1358">
        <f t="shared" si="106"/>
        <v>20</v>
      </c>
      <c r="N1358">
        <f t="shared" si="107"/>
        <v>9</v>
      </c>
      <c r="O1358">
        <f t="shared" si="108"/>
        <v>2024</v>
      </c>
      <c r="P1358" s="4">
        <f t="shared" si="109"/>
        <v>45555</v>
      </c>
      <c r="Q1358" t="s">
        <v>1136</v>
      </c>
      <c r="R1358" t="s">
        <v>1137</v>
      </c>
      <c r="S1358">
        <v>1</v>
      </c>
      <c r="T1358" t="s">
        <v>1146</v>
      </c>
      <c r="U1358" s="11" t="str">
        <f t="shared" si="105"/>
        <v>11:11:07 AM</v>
      </c>
      <c r="BL1358" s="2" t="s">
        <v>2508</v>
      </c>
    </row>
    <row r="1359" spans="1:64" x14ac:dyDescent="0.35">
      <c r="A1359">
        <v>3086</v>
      </c>
      <c r="B1359" t="s">
        <v>19</v>
      </c>
      <c r="C1359" s="1">
        <v>45710</v>
      </c>
      <c r="D1359" t="s">
        <v>24</v>
      </c>
      <c r="E1359" t="s">
        <v>5</v>
      </c>
      <c r="F1359">
        <v>2</v>
      </c>
      <c r="G1359">
        <v>92.13</v>
      </c>
      <c r="H1359">
        <v>184.26</v>
      </c>
      <c r="I1359">
        <v>87.98</v>
      </c>
      <c r="J1359">
        <v>96.28</v>
      </c>
      <c r="K1359">
        <v>465</v>
      </c>
      <c r="L1359" s="11">
        <v>0.9836111111111111</v>
      </c>
      <c r="M1359">
        <f t="shared" si="106"/>
        <v>22</v>
      </c>
      <c r="N1359">
        <f t="shared" si="107"/>
        <v>2</v>
      </c>
      <c r="O1359">
        <f t="shared" si="108"/>
        <v>2025</v>
      </c>
      <c r="P1359" s="4">
        <f t="shared" si="109"/>
        <v>45710</v>
      </c>
      <c r="Q1359" t="s">
        <v>1134</v>
      </c>
      <c r="R1359" t="s">
        <v>1137</v>
      </c>
      <c r="S1359">
        <v>5</v>
      </c>
      <c r="T1359" t="s">
        <v>1150</v>
      </c>
      <c r="U1359" s="11" t="str">
        <f t="shared" si="105"/>
        <v>11:36:24 PM</v>
      </c>
      <c r="BL1359" s="2" t="s">
        <v>2509</v>
      </c>
    </row>
    <row r="1360" spans="1:64" x14ac:dyDescent="0.35">
      <c r="A1360">
        <v>4648</v>
      </c>
      <c r="B1360" t="s">
        <v>8</v>
      </c>
      <c r="C1360" s="1">
        <v>45793</v>
      </c>
      <c r="D1360" t="s">
        <v>11</v>
      </c>
      <c r="E1360" t="s">
        <v>36</v>
      </c>
      <c r="F1360">
        <v>5</v>
      </c>
      <c r="G1360">
        <v>846.6</v>
      </c>
      <c r="H1360">
        <v>4233</v>
      </c>
      <c r="I1360">
        <v>846.6</v>
      </c>
      <c r="J1360">
        <v>3386.4</v>
      </c>
      <c r="K1360">
        <v>87</v>
      </c>
      <c r="L1360" s="11">
        <v>0.67577546296296298</v>
      </c>
      <c r="M1360">
        <f t="shared" si="106"/>
        <v>16</v>
      </c>
      <c r="N1360">
        <f t="shared" si="107"/>
        <v>5</v>
      </c>
      <c r="O1360">
        <f t="shared" si="108"/>
        <v>2025</v>
      </c>
      <c r="P1360" s="4">
        <f t="shared" si="109"/>
        <v>45793</v>
      </c>
      <c r="Q1360" t="s">
        <v>1136</v>
      </c>
      <c r="R1360" t="s">
        <v>1137</v>
      </c>
      <c r="S1360">
        <v>2</v>
      </c>
      <c r="T1360" t="s">
        <v>1141</v>
      </c>
      <c r="U1360" s="11" t="str">
        <f t="shared" si="105"/>
        <v>04:13:07 PM</v>
      </c>
      <c r="BL1360" s="2" t="s">
        <v>2510</v>
      </c>
    </row>
    <row r="1361" spans="1:64" x14ac:dyDescent="0.35">
      <c r="A1361">
        <v>1056</v>
      </c>
      <c r="B1361" t="s">
        <v>3</v>
      </c>
      <c r="C1361" s="1">
        <v>45732</v>
      </c>
      <c r="D1361" t="s">
        <v>9</v>
      </c>
      <c r="E1361" t="s">
        <v>33</v>
      </c>
      <c r="F1361">
        <v>5</v>
      </c>
      <c r="G1361">
        <v>1633.44</v>
      </c>
      <c r="H1361">
        <v>8167.2</v>
      </c>
      <c r="I1361">
        <v>225.76</v>
      </c>
      <c r="J1361">
        <v>7941.44</v>
      </c>
      <c r="K1361">
        <v>424</v>
      </c>
      <c r="L1361" s="11">
        <v>0.15643518518518518</v>
      </c>
      <c r="M1361">
        <f t="shared" si="106"/>
        <v>16</v>
      </c>
      <c r="N1361">
        <f t="shared" si="107"/>
        <v>3</v>
      </c>
      <c r="O1361">
        <f t="shared" si="108"/>
        <v>2025</v>
      </c>
      <c r="P1361" s="4">
        <f t="shared" si="109"/>
        <v>45732</v>
      </c>
      <c r="Q1361" t="s">
        <v>1134</v>
      </c>
      <c r="R1361" t="s">
        <v>1135</v>
      </c>
      <c r="S1361">
        <v>2</v>
      </c>
      <c r="T1361" t="s">
        <v>1148</v>
      </c>
      <c r="U1361" s="11" t="str">
        <f t="shared" si="105"/>
        <v>03:45:16 AM</v>
      </c>
      <c r="BL1361" s="2" t="s">
        <v>2511</v>
      </c>
    </row>
    <row r="1362" spans="1:64" x14ac:dyDescent="0.35">
      <c r="A1362">
        <v>1372</v>
      </c>
      <c r="B1362" t="s">
        <v>13</v>
      </c>
      <c r="C1362" s="1">
        <v>45376</v>
      </c>
      <c r="D1362" t="s">
        <v>23</v>
      </c>
      <c r="E1362" t="s">
        <v>21</v>
      </c>
      <c r="F1362">
        <v>3</v>
      </c>
      <c r="G1362">
        <v>1327.17</v>
      </c>
      <c r="H1362">
        <v>3981.51</v>
      </c>
      <c r="I1362">
        <v>318.72000000000003</v>
      </c>
      <c r="J1362">
        <v>3662.79</v>
      </c>
      <c r="K1362">
        <v>223</v>
      </c>
      <c r="L1362" s="11">
        <v>0.81079861111111107</v>
      </c>
      <c r="M1362">
        <f t="shared" si="106"/>
        <v>25</v>
      </c>
      <c r="N1362">
        <f t="shared" si="107"/>
        <v>3</v>
      </c>
      <c r="O1362">
        <f t="shared" si="108"/>
        <v>2024</v>
      </c>
      <c r="P1362" s="4">
        <f t="shared" si="109"/>
        <v>45376</v>
      </c>
      <c r="Q1362" t="s">
        <v>1139</v>
      </c>
      <c r="R1362" t="s">
        <v>1135</v>
      </c>
      <c r="S1362">
        <v>4</v>
      </c>
      <c r="T1362" t="s">
        <v>1150</v>
      </c>
      <c r="U1362" s="11" t="str">
        <f t="shared" si="105"/>
        <v>07:27:33 PM</v>
      </c>
      <c r="BL1362" s="2" t="s">
        <v>2512</v>
      </c>
    </row>
    <row r="1363" spans="1:64" x14ac:dyDescent="0.35">
      <c r="A1363">
        <v>8585</v>
      </c>
      <c r="B1363" t="s">
        <v>8</v>
      </c>
      <c r="C1363" s="1">
        <v>45668</v>
      </c>
      <c r="D1363" t="s">
        <v>27</v>
      </c>
      <c r="E1363" t="s">
        <v>38</v>
      </c>
      <c r="F1363">
        <v>5</v>
      </c>
      <c r="G1363">
        <v>1969.59</v>
      </c>
      <c r="H1363">
        <v>9847.9500000000007</v>
      </c>
      <c r="I1363">
        <v>136.12</v>
      </c>
      <c r="J1363">
        <v>9711.83</v>
      </c>
      <c r="K1363">
        <v>431</v>
      </c>
      <c r="L1363" s="11">
        <v>0.42995370370370373</v>
      </c>
      <c r="M1363">
        <f t="shared" si="106"/>
        <v>11</v>
      </c>
      <c r="N1363">
        <f t="shared" si="107"/>
        <v>1</v>
      </c>
      <c r="O1363">
        <f t="shared" si="108"/>
        <v>2025</v>
      </c>
      <c r="P1363" s="4">
        <f t="shared" si="109"/>
        <v>45668</v>
      </c>
      <c r="Q1363" t="s">
        <v>1139</v>
      </c>
      <c r="R1363" t="s">
        <v>1137</v>
      </c>
      <c r="S1363">
        <v>1</v>
      </c>
      <c r="T1363" t="s">
        <v>1148</v>
      </c>
      <c r="U1363" s="11" t="str">
        <f t="shared" si="105"/>
        <v>10:19:08 AM</v>
      </c>
      <c r="BL1363" s="2" t="s">
        <v>2513</v>
      </c>
    </row>
    <row r="1364" spans="1:64" x14ac:dyDescent="0.35">
      <c r="A1364">
        <v>9920</v>
      </c>
      <c r="B1364" t="s">
        <v>25</v>
      </c>
      <c r="C1364" s="1">
        <v>45474</v>
      </c>
      <c r="D1364" t="s">
        <v>6</v>
      </c>
      <c r="E1364" t="s">
        <v>32</v>
      </c>
      <c r="F1364">
        <v>1</v>
      </c>
      <c r="G1364">
        <v>143.59</v>
      </c>
      <c r="H1364">
        <v>143.59</v>
      </c>
      <c r="I1364">
        <v>288.01</v>
      </c>
      <c r="J1364">
        <v>-144.41999999999999</v>
      </c>
      <c r="K1364">
        <v>5</v>
      </c>
      <c r="L1364" s="11">
        <v>0.97190972222222227</v>
      </c>
      <c r="M1364">
        <f t="shared" si="106"/>
        <v>1</v>
      </c>
      <c r="N1364">
        <f t="shared" si="107"/>
        <v>7</v>
      </c>
      <c r="O1364">
        <f t="shared" si="108"/>
        <v>2024</v>
      </c>
      <c r="P1364" s="4">
        <f t="shared" si="109"/>
        <v>45474</v>
      </c>
      <c r="Q1364" t="s">
        <v>1138</v>
      </c>
      <c r="R1364" t="s">
        <v>1137</v>
      </c>
      <c r="S1364">
        <v>1</v>
      </c>
      <c r="T1364" t="s">
        <v>1142</v>
      </c>
      <c r="U1364" s="11" t="str">
        <f t="shared" si="105"/>
        <v>11:19:33 PM</v>
      </c>
      <c r="BL1364" s="2" t="s">
        <v>2514</v>
      </c>
    </row>
    <row r="1365" spans="1:64" x14ac:dyDescent="0.35">
      <c r="A1365">
        <v>9715</v>
      </c>
      <c r="B1365" t="s">
        <v>3</v>
      </c>
      <c r="C1365" s="1">
        <v>45439</v>
      </c>
      <c r="D1365" t="s">
        <v>4</v>
      </c>
      <c r="E1365" t="s">
        <v>21</v>
      </c>
      <c r="F1365">
        <v>1</v>
      </c>
      <c r="G1365">
        <v>1869.16</v>
      </c>
      <c r="H1365">
        <v>1869.16</v>
      </c>
      <c r="I1365">
        <v>0</v>
      </c>
      <c r="J1365">
        <v>1869.16</v>
      </c>
      <c r="K1365">
        <v>66</v>
      </c>
      <c r="L1365" s="11">
        <v>0.13443287037037038</v>
      </c>
      <c r="M1365">
        <f t="shared" si="106"/>
        <v>27</v>
      </c>
      <c r="N1365">
        <f t="shared" si="107"/>
        <v>5</v>
      </c>
      <c r="O1365">
        <f t="shared" si="108"/>
        <v>2024</v>
      </c>
      <c r="P1365" s="4">
        <f t="shared" si="109"/>
        <v>45439</v>
      </c>
      <c r="Q1365" t="s">
        <v>1139</v>
      </c>
      <c r="R1365" t="s">
        <v>1137</v>
      </c>
      <c r="S1365">
        <v>3</v>
      </c>
      <c r="T1365" t="s">
        <v>1143</v>
      </c>
      <c r="U1365" s="11" t="str">
        <f t="shared" si="105"/>
        <v>03:13:35 AM</v>
      </c>
      <c r="BL1365" s="2" t="s">
        <v>2515</v>
      </c>
    </row>
    <row r="1366" spans="1:64" x14ac:dyDescent="0.35">
      <c r="A1366">
        <v>4762</v>
      </c>
      <c r="B1366" t="s">
        <v>25</v>
      </c>
      <c r="C1366" s="1">
        <v>45337</v>
      </c>
      <c r="D1366" t="s">
        <v>23</v>
      </c>
      <c r="E1366" t="s">
        <v>14</v>
      </c>
      <c r="F1366">
        <v>2</v>
      </c>
      <c r="G1366">
        <v>796.8</v>
      </c>
      <c r="H1366">
        <v>1593.6</v>
      </c>
      <c r="I1366">
        <v>0</v>
      </c>
      <c r="J1366">
        <v>1593.6</v>
      </c>
      <c r="K1366">
        <v>274</v>
      </c>
      <c r="L1366" s="11">
        <v>0.5033333333333333</v>
      </c>
      <c r="M1366">
        <f t="shared" si="106"/>
        <v>15</v>
      </c>
      <c r="N1366">
        <f t="shared" si="107"/>
        <v>2</v>
      </c>
      <c r="O1366">
        <f t="shared" si="108"/>
        <v>2024</v>
      </c>
      <c r="P1366" s="4">
        <f t="shared" si="109"/>
        <v>45337</v>
      </c>
      <c r="Q1366" t="s">
        <v>1136</v>
      </c>
      <c r="R1366" t="s">
        <v>1137</v>
      </c>
      <c r="S1366">
        <v>1</v>
      </c>
      <c r="T1366" t="s">
        <v>1147</v>
      </c>
      <c r="U1366" s="11" t="str">
        <f t="shared" si="105"/>
        <v>12:04:48 PM</v>
      </c>
      <c r="BL1366" s="2" t="s">
        <v>2516</v>
      </c>
    </row>
    <row r="1367" spans="1:64" x14ac:dyDescent="0.35">
      <c r="A1367">
        <v>8546</v>
      </c>
      <c r="B1367" t="s">
        <v>13</v>
      </c>
      <c r="C1367" s="1">
        <v>45413</v>
      </c>
      <c r="D1367" t="s">
        <v>24</v>
      </c>
      <c r="E1367" t="s">
        <v>29</v>
      </c>
      <c r="F1367">
        <v>3</v>
      </c>
      <c r="G1367">
        <v>282.2</v>
      </c>
      <c r="H1367">
        <v>846.6</v>
      </c>
      <c r="I1367">
        <v>0</v>
      </c>
      <c r="J1367">
        <v>846.6</v>
      </c>
      <c r="K1367">
        <v>73</v>
      </c>
      <c r="L1367" s="11">
        <v>0.76884259259259258</v>
      </c>
      <c r="M1367">
        <f t="shared" si="106"/>
        <v>1</v>
      </c>
      <c r="N1367">
        <f t="shared" si="107"/>
        <v>5</v>
      </c>
      <c r="O1367">
        <f t="shared" si="108"/>
        <v>2024</v>
      </c>
      <c r="P1367" s="4">
        <f t="shared" si="109"/>
        <v>45413</v>
      </c>
      <c r="Q1367" t="s">
        <v>1139</v>
      </c>
      <c r="R1367" t="s">
        <v>1137</v>
      </c>
      <c r="S1367">
        <v>4</v>
      </c>
      <c r="T1367" t="s">
        <v>1143</v>
      </c>
      <c r="U1367" s="11" t="str">
        <f t="shared" si="105"/>
        <v>06:27:08 PM</v>
      </c>
      <c r="BL1367" s="2" t="s">
        <v>2517</v>
      </c>
    </row>
    <row r="1368" spans="1:64" x14ac:dyDescent="0.35">
      <c r="A1368">
        <v>3541</v>
      </c>
      <c r="B1368" t="s">
        <v>0</v>
      </c>
      <c r="C1368" s="1">
        <v>45359</v>
      </c>
      <c r="D1368" t="s">
        <v>4</v>
      </c>
      <c r="E1368" t="s">
        <v>22</v>
      </c>
      <c r="F1368">
        <v>5</v>
      </c>
      <c r="G1368">
        <v>377.65</v>
      </c>
      <c r="H1368">
        <v>1888.25</v>
      </c>
      <c r="I1368">
        <v>283.02999999999997</v>
      </c>
      <c r="J1368">
        <v>1605.22</v>
      </c>
      <c r="K1368">
        <v>72</v>
      </c>
      <c r="L1368" s="11">
        <v>0.43077546296296299</v>
      </c>
      <c r="M1368">
        <f t="shared" si="106"/>
        <v>8</v>
      </c>
      <c r="N1368">
        <f t="shared" si="107"/>
        <v>3</v>
      </c>
      <c r="O1368">
        <f t="shared" si="108"/>
        <v>2024</v>
      </c>
      <c r="P1368" s="4">
        <f t="shared" si="109"/>
        <v>45359</v>
      </c>
      <c r="Q1368" t="s">
        <v>1134</v>
      </c>
      <c r="R1368" t="s">
        <v>1137</v>
      </c>
      <c r="S1368">
        <v>3</v>
      </c>
      <c r="T1368" t="s">
        <v>1150</v>
      </c>
      <c r="U1368" s="11" t="str">
        <f t="shared" si="105"/>
        <v>10:20:19 AM</v>
      </c>
      <c r="BL1368" s="2" t="s">
        <v>2518</v>
      </c>
    </row>
    <row r="1369" spans="1:64" x14ac:dyDescent="0.35">
      <c r="A1369">
        <v>4088</v>
      </c>
      <c r="B1369" t="s">
        <v>8</v>
      </c>
      <c r="C1369" s="1">
        <v>45873</v>
      </c>
      <c r="D1369" t="s">
        <v>4</v>
      </c>
      <c r="E1369" t="s">
        <v>32</v>
      </c>
      <c r="F1369">
        <v>4</v>
      </c>
      <c r="G1369">
        <v>2114.84</v>
      </c>
      <c r="H1369">
        <v>8459.36</v>
      </c>
      <c r="I1369">
        <v>845.77</v>
      </c>
      <c r="J1369">
        <v>7613.59</v>
      </c>
      <c r="K1369">
        <v>467</v>
      </c>
      <c r="L1369" s="11">
        <v>0.19288194444444445</v>
      </c>
      <c r="M1369">
        <f t="shared" si="106"/>
        <v>4</v>
      </c>
      <c r="N1369">
        <f t="shared" si="107"/>
        <v>8</v>
      </c>
      <c r="O1369">
        <f t="shared" si="108"/>
        <v>2025</v>
      </c>
      <c r="P1369" s="4">
        <f t="shared" si="109"/>
        <v>45873</v>
      </c>
      <c r="Q1369" t="s">
        <v>1139</v>
      </c>
      <c r="R1369" t="s">
        <v>1135</v>
      </c>
      <c r="S1369">
        <v>3</v>
      </c>
      <c r="T1369" t="s">
        <v>1141</v>
      </c>
      <c r="U1369" s="11" t="str">
        <f t="shared" si="105"/>
        <v>04:37:45 AM</v>
      </c>
      <c r="BL1369" s="2" t="s">
        <v>2519</v>
      </c>
    </row>
    <row r="1370" spans="1:64" x14ac:dyDescent="0.35">
      <c r="A1370">
        <v>2848</v>
      </c>
      <c r="B1370" t="s">
        <v>0</v>
      </c>
      <c r="C1370" s="1">
        <v>45170</v>
      </c>
      <c r="D1370" t="s">
        <v>34</v>
      </c>
      <c r="E1370" t="s">
        <v>28</v>
      </c>
      <c r="F1370">
        <v>4</v>
      </c>
      <c r="G1370">
        <v>258.95999999999998</v>
      </c>
      <c r="H1370">
        <v>1035.8399999999999</v>
      </c>
      <c r="I1370">
        <v>207.5</v>
      </c>
      <c r="J1370">
        <v>828.34</v>
      </c>
      <c r="K1370">
        <v>491</v>
      </c>
      <c r="L1370" s="11">
        <v>0.46393518518518517</v>
      </c>
      <c r="M1370">
        <f t="shared" si="106"/>
        <v>1</v>
      </c>
      <c r="N1370">
        <f t="shared" si="107"/>
        <v>9</v>
      </c>
      <c r="O1370">
        <f t="shared" si="108"/>
        <v>2023</v>
      </c>
      <c r="P1370" s="4">
        <f t="shared" si="109"/>
        <v>45170</v>
      </c>
      <c r="Q1370" t="s">
        <v>1138</v>
      </c>
      <c r="R1370" t="s">
        <v>1137</v>
      </c>
      <c r="S1370">
        <v>2</v>
      </c>
      <c r="T1370" t="s">
        <v>1147</v>
      </c>
      <c r="U1370" s="11" t="str">
        <f t="shared" si="105"/>
        <v>11:08:04 AM</v>
      </c>
      <c r="BL1370" s="2" t="s">
        <v>2520</v>
      </c>
    </row>
    <row r="1371" spans="1:64" x14ac:dyDescent="0.35">
      <c r="A1371">
        <v>7868</v>
      </c>
      <c r="B1371" t="s">
        <v>13</v>
      </c>
      <c r="C1371" s="1">
        <v>45622</v>
      </c>
      <c r="D1371" t="s">
        <v>9</v>
      </c>
      <c r="E1371" t="s">
        <v>10</v>
      </c>
      <c r="F1371">
        <v>4</v>
      </c>
      <c r="G1371">
        <v>2028.52</v>
      </c>
      <c r="H1371">
        <v>8114.08</v>
      </c>
      <c r="I1371">
        <v>382.63</v>
      </c>
      <c r="J1371">
        <v>7731.45</v>
      </c>
      <c r="K1371">
        <v>92</v>
      </c>
      <c r="L1371" s="11">
        <v>0.75796296296296295</v>
      </c>
      <c r="M1371">
        <f t="shared" si="106"/>
        <v>26</v>
      </c>
      <c r="N1371">
        <f t="shared" si="107"/>
        <v>11</v>
      </c>
      <c r="O1371">
        <f t="shared" si="108"/>
        <v>2024</v>
      </c>
      <c r="P1371" s="4">
        <f t="shared" si="109"/>
        <v>45622</v>
      </c>
      <c r="Q1371" t="s">
        <v>1139</v>
      </c>
      <c r="R1371" t="s">
        <v>1135</v>
      </c>
      <c r="S1371">
        <v>2</v>
      </c>
      <c r="T1371" t="s">
        <v>1146</v>
      </c>
      <c r="U1371" s="11" t="str">
        <f t="shared" si="105"/>
        <v>06:11:28 PM</v>
      </c>
      <c r="BL1371" s="2" t="s">
        <v>2521</v>
      </c>
    </row>
    <row r="1372" spans="1:64" x14ac:dyDescent="0.35">
      <c r="A1372">
        <v>1256</v>
      </c>
      <c r="B1372" t="s">
        <v>20</v>
      </c>
      <c r="C1372" s="1">
        <v>45331</v>
      </c>
      <c r="D1372" t="s">
        <v>4</v>
      </c>
      <c r="E1372" t="s">
        <v>10</v>
      </c>
      <c r="F1372">
        <v>3</v>
      </c>
      <c r="G1372">
        <v>1246.6600000000001</v>
      </c>
      <c r="H1372">
        <v>3739.98</v>
      </c>
      <c r="I1372">
        <v>747.83</v>
      </c>
      <c r="J1372">
        <v>2992.15</v>
      </c>
      <c r="K1372">
        <v>314</v>
      </c>
      <c r="L1372" s="11">
        <v>0.48680555555555555</v>
      </c>
      <c r="M1372">
        <f t="shared" si="106"/>
        <v>9</v>
      </c>
      <c r="N1372">
        <f t="shared" si="107"/>
        <v>2</v>
      </c>
      <c r="O1372">
        <f t="shared" si="108"/>
        <v>2024</v>
      </c>
      <c r="P1372" s="4">
        <f t="shared" si="109"/>
        <v>45331</v>
      </c>
      <c r="Q1372" t="s">
        <v>1134</v>
      </c>
      <c r="R1372" t="s">
        <v>1137</v>
      </c>
      <c r="S1372">
        <v>1</v>
      </c>
      <c r="T1372" t="s">
        <v>1144</v>
      </c>
      <c r="U1372" s="11" t="str">
        <f t="shared" si="105"/>
        <v>11:41:00 AM</v>
      </c>
      <c r="BL1372" s="2" t="s">
        <v>2522</v>
      </c>
    </row>
    <row r="1373" spans="1:64" x14ac:dyDescent="0.35">
      <c r="A1373">
        <v>4376</v>
      </c>
      <c r="B1373" t="s">
        <v>13</v>
      </c>
      <c r="C1373" s="1">
        <v>45197</v>
      </c>
      <c r="D1373" t="s">
        <v>24</v>
      </c>
      <c r="E1373" t="s">
        <v>38</v>
      </c>
      <c r="F1373">
        <v>2</v>
      </c>
      <c r="G1373">
        <v>1541.31</v>
      </c>
      <c r="H1373">
        <v>3082.62</v>
      </c>
      <c r="I1373">
        <v>253.15</v>
      </c>
      <c r="J1373">
        <v>2829.47</v>
      </c>
      <c r="K1373">
        <v>274</v>
      </c>
      <c r="L1373" s="11">
        <v>0.5335185185185185</v>
      </c>
      <c r="M1373">
        <f t="shared" si="106"/>
        <v>28</v>
      </c>
      <c r="N1373">
        <f t="shared" si="107"/>
        <v>9</v>
      </c>
      <c r="O1373">
        <f t="shared" si="108"/>
        <v>2023</v>
      </c>
      <c r="P1373" s="4">
        <f t="shared" si="109"/>
        <v>45197</v>
      </c>
      <c r="Q1373" t="s">
        <v>1134</v>
      </c>
      <c r="R1373" t="s">
        <v>1137</v>
      </c>
      <c r="S1373">
        <v>3</v>
      </c>
      <c r="T1373" t="s">
        <v>1145</v>
      </c>
      <c r="U1373" s="11" t="str">
        <f t="shared" si="105"/>
        <v>12:48:16 PM</v>
      </c>
      <c r="BL1373" s="2" t="s">
        <v>2523</v>
      </c>
    </row>
    <row r="1374" spans="1:64" x14ac:dyDescent="0.35">
      <c r="A1374">
        <v>2653</v>
      </c>
      <c r="B1374" t="s">
        <v>8</v>
      </c>
      <c r="C1374" s="1">
        <v>45606</v>
      </c>
      <c r="D1374" t="s">
        <v>6</v>
      </c>
      <c r="E1374" t="s">
        <v>12</v>
      </c>
      <c r="F1374">
        <v>1</v>
      </c>
      <c r="G1374">
        <v>2245.15</v>
      </c>
      <c r="H1374">
        <v>2245.15</v>
      </c>
      <c r="I1374">
        <v>449.03</v>
      </c>
      <c r="J1374">
        <v>1796.12</v>
      </c>
      <c r="K1374">
        <v>15</v>
      </c>
      <c r="L1374" s="11">
        <v>0.20614583333333333</v>
      </c>
      <c r="M1374">
        <f t="shared" si="106"/>
        <v>10</v>
      </c>
      <c r="N1374">
        <f t="shared" si="107"/>
        <v>11</v>
      </c>
      <c r="O1374">
        <f t="shared" si="108"/>
        <v>2024</v>
      </c>
      <c r="P1374" s="4">
        <f t="shared" si="109"/>
        <v>45606</v>
      </c>
      <c r="Q1374" t="s">
        <v>1136</v>
      </c>
      <c r="R1374" t="s">
        <v>1135</v>
      </c>
      <c r="S1374">
        <v>2</v>
      </c>
      <c r="T1374" t="s">
        <v>1149</v>
      </c>
      <c r="U1374" s="11" t="str">
        <f t="shared" si="105"/>
        <v>04:56:51 AM</v>
      </c>
      <c r="BL1374" s="2" t="s">
        <v>2524</v>
      </c>
    </row>
    <row r="1375" spans="1:64" x14ac:dyDescent="0.35">
      <c r="A1375">
        <v>1550</v>
      </c>
      <c r="B1375" t="s">
        <v>31</v>
      </c>
      <c r="C1375" s="1">
        <v>45491</v>
      </c>
      <c r="D1375" t="s">
        <v>4</v>
      </c>
      <c r="E1375" t="s">
        <v>30</v>
      </c>
      <c r="F1375">
        <v>3</v>
      </c>
      <c r="G1375">
        <v>741.19</v>
      </c>
      <c r="H1375">
        <v>2223.5700000000002</v>
      </c>
      <c r="I1375">
        <v>333.66</v>
      </c>
      <c r="J1375">
        <v>1889.91</v>
      </c>
      <c r="K1375">
        <v>102</v>
      </c>
      <c r="L1375" s="11">
        <v>0.39776620370370369</v>
      </c>
      <c r="M1375">
        <f t="shared" si="106"/>
        <v>18</v>
      </c>
      <c r="N1375">
        <f t="shared" si="107"/>
        <v>7</v>
      </c>
      <c r="O1375">
        <f t="shared" si="108"/>
        <v>2024</v>
      </c>
      <c r="P1375" s="4">
        <f t="shared" si="109"/>
        <v>45491</v>
      </c>
      <c r="Q1375" t="s">
        <v>1139</v>
      </c>
      <c r="R1375" t="s">
        <v>1135</v>
      </c>
      <c r="S1375">
        <v>4</v>
      </c>
      <c r="T1375" t="s">
        <v>1144</v>
      </c>
      <c r="U1375" s="11" t="str">
        <f t="shared" si="105"/>
        <v>09:32:47 AM</v>
      </c>
      <c r="BL1375" s="2" t="s">
        <v>2525</v>
      </c>
    </row>
    <row r="1376" spans="1:64" x14ac:dyDescent="0.35">
      <c r="A1376">
        <v>1797</v>
      </c>
      <c r="B1376" t="s">
        <v>3</v>
      </c>
      <c r="C1376" s="1">
        <v>45335</v>
      </c>
      <c r="D1376" t="s">
        <v>16</v>
      </c>
      <c r="E1376" t="s">
        <v>26</v>
      </c>
      <c r="F1376">
        <v>4</v>
      </c>
      <c r="G1376">
        <v>1875.8</v>
      </c>
      <c r="H1376">
        <v>7503.2</v>
      </c>
      <c r="I1376">
        <v>397.57</v>
      </c>
      <c r="J1376">
        <v>7105.63</v>
      </c>
      <c r="K1376">
        <v>253</v>
      </c>
      <c r="L1376" s="11">
        <v>8.3275462962962968E-2</v>
      </c>
      <c r="M1376">
        <f t="shared" si="106"/>
        <v>13</v>
      </c>
      <c r="N1376">
        <f t="shared" si="107"/>
        <v>2</v>
      </c>
      <c r="O1376">
        <f t="shared" si="108"/>
        <v>2024</v>
      </c>
      <c r="P1376" s="4">
        <f t="shared" si="109"/>
        <v>45335</v>
      </c>
      <c r="Q1376" t="s">
        <v>1134</v>
      </c>
      <c r="R1376" t="s">
        <v>1135</v>
      </c>
      <c r="S1376">
        <v>2</v>
      </c>
      <c r="T1376" t="s">
        <v>1141</v>
      </c>
      <c r="U1376" s="11" t="str">
        <f t="shared" si="105"/>
        <v>01:59:55 AM</v>
      </c>
      <c r="BL1376" s="2" t="s">
        <v>2526</v>
      </c>
    </row>
    <row r="1377" spans="1:64" x14ac:dyDescent="0.35">
      <c r="A1377">
        <v>1724</v>
      </c>
      <c r="B1377" t="s">
        <v>31</v>
      </c>
      <c r="C1377" s="1">
        <v>45457</v>
      </c>
      <c r="D1377" t="s">
        <v>24</v>
      </c>
      <c r="E1377" t="s">
        <v>18</v>
      </c>
      <c r="F1377">
        <v>2</v>
      </c>
      <c r="G1377">
        <v>1735.53</v>
      </c>
      <c r="H1377">
        <v>3471.06</v>
      </c>
      <c r="I1377">
        <v>346.94</v>
      </c>
      <c r="J1377">
        <v>3124.12</v>
      </c>
      <c r="K1377">
        <v>454</v>
      </c>
      <c r="L1377" s="11">
        <v>0.54700231481481476</v>
      </c>
      <c r="M1377">
        <f t="shared" si="106"/>
        <v>14</v>
      </c>
      <c r="N1377">
        <f t="shared" si="107"/>
        <v>6</v>
      </c>
      <c r="O1377">
        <f t="shared" si="108"/>
        <v>2024</v>
      </c>
      <c r="P1377" s="4">
        <f t="shared" si="109"/>
        <v>45457</v>
      </c>
      <c r="Q1377" t="s">
        <v>1138</v>
      </c>
      <c r="R1377" t="s">
        <v>1135</v>
      </c>
      <c r="S1377">
        <v>2</v>
      </c>
      <c r="T1377" t="s">
        <v>1150</v>
      </c>
      <c r="U1377" s="11" t="str">
        <f t="shared" si="105"/>
        <v>01:07:41 PM</v>
      </c>
      <c r="BL1377" s="2" t="s">
        <v>2527</v>
      </c>
    </row>
    <row r="1378" spans="1:64" x14ac:dyDescent="0.35">
      <c r="A1378">
        <v>8191</v>
      </c>
      <c r="B1378" t="s">
        <v>0</v>
      </c>
      <c r="C1378" s="1">
        <v>45327</v>
      </c>
      <c r="D1378" t="s">
        <v>17</v>
      </c>
      <c r="E1378" t="s">
        <v>26</v>
      </c>
      <c r="F1378">
        <v>2</v>
      </c>
      <c r="G1378">
        <v>1993.66</v>
      </c>
      <c r="H1378">
        <v>3987.32</v>
      </c>
      <c r="I1378">
        <v>398.4</v>
      </c>
      <c r="J1378">
        <v>3588.92</v>
      </c>
      <c r="K1378">
        <v>488</v>
      </c>
      <c r="L1378" s="11">
        <v>0.85339120370370369</v>
      </c>
      <c r="M1378">
        <f t="shared" si="106"/>
        <v>5</v>
      </c>
      <c r="N1378">
        <f t="shared" si="107"/>
        <v>2</v>
      </c>
      <c r="O1378">
        <f t="shared" si="108"/>
        <v>2024</v>
      </c>
      <c r="P1378" s="4">
        <f t="shared" si="109"/>
        <v>45327</v>
      </c>
      <c r="Q1378" t="s">
        <v>1136</v>
      </c>
      <c r="R1378" t="s">
        <v>1137</v>
      </c>
      <c r="S1378">
        <v>3</v>
      </c>
      <c r="T1378" t="s">
        <v>1146</v>
      </c>
      <c r="U1378" s="11" t="str">
        <f t="shared" si="105"/>
        <v>08:28:53 PM</v>
      </c>
      <c r="BL1378" s="2" t="s">
        <v>2528</v>
      </c>
    </row>
    <row r="1379" spans="1:64" x14ac:dyDescent="0.35">
      <c r="A1379">
        <v>9843</v>
      </c>
      <c r="B1379" t="s">
        <v>15</v>
      </c>
      <c r="C1379" s="1">
        <v>45313</v>
      </c>
      <c r="D1379" t="s">
        <v>9</v>
      </c>
      <c r="E1379" t="s">
        <v>2</v>
      </c>
      <c r="F1379">
        <v>3</v>
      </c>
      <c r="G1379">
        <v>1581.15</v>
      </c>
      <c r="H1379">
        <v>4743.45</v>
      </c>
      <c r="I1379">
        <v>473.93</v>
      </c>
      <c r="J1379">
        <v>4269.5200000000004</v>
      </c>
      <c r="K1379">
        <v>310</v>
      </c>
      <c r="L1379" s="11">
        <v>0.76266203703703705</v>
      </c>
      <c r="M1379">
        <f t="shared" si="106"/>
        <v>22</v>
      </c>
      <c r="N1379">
        <f t="shared" si="107"/>
        <v>1</v>
      </c>
      <c r="O1379">
        <f t="shared" si="108"/>
        <v>2024</v>
      </c>
      <c r="P1379" s="4">
        <f t="shared" si="109"/>
        <v>45313</v>
      </c>
      <c r="Q1379" t="s">
        <v>1138</v>
      </c>
      <c r="R1379" t="s">
        <v>1135</v>
      </c>
      <c r="S1379">
        <v>3</v>
      </c>
      <c r="T1379" t="s">
        <v>1150</v>
      </c>
      <c r="U1379" s="11" t="str">
        <f t="shared" si="105"/>
        <v>06:18:14 PM</v>
      </c>
      <c r="BL1379" s="2" t="s">
        <v>2529</v>
      </c>
    </row>
    <row r="1380" spans="1:64" x14ac:dyDescent="0.35">
      <c r="A1380">
        <v>1924</v>
      </c>
      <c r="B1380" t="s">
        <v>31</v>
      </c>
      <c r="C1380" s="1">
        <v>45253</v>
      </c>
      <c r="D1380" t="s">
        <v>17</v>
      </c>
      <c r="E1380" t="s">
        <v>12</v>
      </c>
      <c r="F1380">
        <v>3</v>
      </c>
      <c r="G1380">
        <v>2243.4899999999998</v>
      </c>
      <c r="H1380">
        <v>6730.47</v>
      </c>
      <c r="I1380">
        <v>673.13</v>
      </c>
      <c r="J1380">
        <v>6057.34</v>
      </c>
      <c r="K1380">
        <v>419</v>
      </c>
      <c r="L1380" s="11">
        <v>9.9432870370370366E-2</v>
      </c>
      <c r="M1380">
        <f t="shared" si="106"/>
        <v>23</v>
      </c>
      <c r="N1380">
        <f t="shared" si="107"/>
        <v>11</v>
      </c>
      <c r="O1380">
        <f t="shared" si="108"/>
        <v>2023</v>
      </c>
      <c r="P1380" s="4">
        <f t="shared" si="109"/>
        <v>45253</v>
      </c>
      <c r="Q1380" t="s">
        <v>1139</v>
      </c>
      <c r="R1380" t="s">
        <v>1137</v>
      </c>
      <c r="S1380">
        <v>5</v>
      </c>
      <c r="T1380" t="s">
        <v>1141</v>
      </c>
      <c r="U1380" s="11" t="str">
        <f t="shared" si="105"/>
        <v>02:23:11 AM</v>
      </c>
      <c r="BL1380" s="2" t="s">
        <v>2530</v>
      </c>
    </row>
    <row r="1381" spans="1:64" x14ac:dyDescent="0.35">
      <c r="A1381">
        <v>9255</v>
      </c>
      <c r="B1381" t="s">
        <v>8</v>
      </c>
      <c r="C1381" s="1">
        <v>45369</v>
      </c>
      <c r="D1381" t="s">
        <v>1</v>
      </c>
      <c r="E1381" t="s">
        <v>36</v>
      </c>
      <c r="F1381">
        <v>3</v>
      </c>
      <c r="G1381">
        <v>1494.83</v>
      </c>
      <c r="H1381">
        <v>4484.49</v>
      </c>
      <c r="I1381">
        <v>448.2</v>
      </c>
      <c r="J1381">
        <v>4036.29</v>
      </c>
      <c r="K1381">
        <v>150</v>
      </c>
      <c r="L1381" s="11">
        <v>0.76040509259259259</v>
      </c>
      <c r="M1381">
        <f t="shared" si="106"/>
        <v>18</v>
      </c>
      <c r="N1381">
        <f t="shared" si="107"/>
        <v>3</v>
      </c>
      <c r="O1381">
        <f t="shared" si="108"/>
        <v>2024</v>
      </c>
      <c r="P1381" s="4">
        <f t="shared" si="109"/>
        <v>45369</v>
      </c>
      <c r="Q1381" t="s">
        <v>1139</v>
      </c>
      <c r="R1381" t="s">
        <v>1135</v>
      </c>
      <c r="S1381">
        <v>4</v>
      </c>
      <c r="T1381" t="s">
        <v>1143</v>
      </c>
      <c r="U1381" s="11" t="str">
        <f t="shared" si="105"/>
        <v>06:14:59 PM</v>
      </c>
      <c r="BL1381" s="2" t="s">
        <v>2531</v>
      </c>
    </row>
    <row r="1382" spans="1:64" x14ac:dyDescent="0.35">
      <c r="A1382">
        <v>4836</v>
      </c>
      <c r="B1382" t="s">
        <v>20</v>
      </c>
      <c r="C1382" s="1">
        <v>45778</v>
      </c>
      <c r="D1382" t="s">
        <v>4</v>
      </c>
      <c r="E1382" t="s">
        <v>18</v>
      </c>
      <c r="F1382">
        <v>3</v>
      </c>
      <c r="G1382">
        <v>1115.52</v>
      </c>
      <c r="H1382">
        <v>3346.56</v>
      </c>
      <c r="I1382">
        <v>668.98</v>
      </c>
      <c r="J1382">
        <v>2677.58</v>
      </c>
      <c r="K1382">
        <v>95</v>
      </c>
      <c r="L1382" s="11">
        <v>0.64192129629629635</v>
      </c>
      <c r="M1382">
        <f t="shared" si="106"/>
        <v>1</v>
      </c>
      <c r="N1382">
        <f t="shared" si="107"/>
        <v>5</v>
      </c>
      <c r="O1382">
        <f t="shared" si="108"/>
        <v>2025</v>
      </c>
      <c r="P1382" s="4">
        <f t="shared" si="109"/>
        <v>45778</v>
      </c>
      <c r="Q1382" t="s">
        <v>1139</v>
      </c>
      <c r="R1382" t="s">
        <v>1137</v>
      </c>
      <c r="S1382">
        <v>3</v>
      </c>
      <c r="T1382" t="s">
        <v>1147</v>
      </c>
      <c r="U1382" s="11" t="str">
        <f t="shared" si="105"/>
        <v>03:24:22 PM</v>
      </c>
      <c r="BL1382" s="2" t="s">
        <v>2532</v>
      </c>
    </row>
    <row r="1383" spans="1:64" x14ac:dyDescent="0.35">
      <c r="A1383">
        <v>6224</v>
      </c>
      <c r="B1383" t="s">
        <v>0</v>
      </c>
      <c r="C1383" s="1">
        <v>45593</v>
      </c>
      <c r="D1383" t="s">
        <v>6</v>
      </c>
      <c r="E1383" t="s">
        <v>12</v>
      </c>
      <c r="F1383">
        <v>3</v>
      </c>
      <c r="G1383">
        <v>431.6</v>
      </c>
      <c r="H1383">
        <v>1294.8</v>
      </c>
      <c r="I1383">
        <v>188.41</v>
      </c>
      <c r="J1383">
        <v>1106.3900000000001</v>
      </c>
      <c r="K1383">
        <v>160</v>
      </c>
      <c r="L1383" s="11">
        <v>0.57240740740740736</v>
      </c>
      <c r="M1383">
        <f t="shared" si="106"/>
        <v>28</v>
      </c>
      <c r="N1383">
        <f t="shared" si="107"/>
        <v>10</v>
      </c>
      <c r="O1383">
        <f t="shared" si="108"/>
        <v>2024</v>
      </c>
      <c r="P1383" s="4">
        <f t="shared" si="109"/>
        <v>45593</v>
      </c>
      <c r="Q1383" t="s">
        <v>1136</v>
      </c>
      <c r="R1383" t="s">
        <v>1137</v>
      </c>
      <c r="S1383">
        <v>1</v>
      </c>
      <c r="T1383" t="s">
        <v>1144</v>
      </c>
      <c r="U1383" s="11" t="str">
        <f t="shared" si="105"/>
        <v>01:44:16 PM</v>
      </c>
      <c r="BL1383" s="2" t="s">
        <v>2533</v>
      </c>
    </row>
    <row r="1384" spans="1:64" x14ac:dyDescent="0.35">
      <c r="A1384">
        <v>6253</v>
      </c>
      <c r="B1384" t="s">
        <v>20</v>
      </c>
      <c r="C1384" s="1">
        <v>45329</v>
      </c>
      <c r="D1384" t="s">
        <v>11</v>
      </c>
      <c r="E1384" t="s">
        <v>33</v>
      </c>
      <c r="F1384">
        <v>4</v>
      </c>
      <c r="G1384">
        <v>1448.35</v>
      </c>
      <c r="H1384">
        <v>5793.4</v>
      </c>
      <c r="I1384">
        <v>104.58</v>
      </c>
      <c r="J1384">
        <v>5688.82</v>
      </c>
      <c r="K1384">
        <v>164</v>
      </c>
      <c r="L1384" s="11">
        <v>0.72142361111111108</v>
      </c>
      <c r="M1384">
        <f t="shared" si="106"/>
        <v>7</v>
      </c>
      <c r="N1384">
        <f t="shared" si="107"/>
        <v>2</v>
      </c>
      <c r="O1384">
        <f t="shared" si="108"/>
        <v>2024</v>
      </c>
      <c r="P1384" s="4">
        <f t="shared" si="109"/>
        <v>45329</v>
      </c>
      <c r="Q1384" t="s">
        <v>1134</v>
      </c>
      <c r="R1384" t="s">
        <v>1137</v>
      </c>
      <c r="S1384">
        <v>4</v>
      </c>
      <c r="T1384" t="s">
        <v>1148</v>
      </c>
      <c r="U1384" s="11" t="str">
        <f t="shared" si="105"/>
        <v>05:18:51 PM</v>
      </c>
      <c r="BL1384" s="2" t="s">
        <v>2534</v>
      </c>
    </row>
    <row r="1385" spans="1:64" x14ac:dyDescent="0.35">
      <c r="A1385">
        <v>5944</v>
      </c>
      <c r="B1385" t="s">
        <v>19</v>
      </c>
      <c r="C1385" s="1">
        <v>45825</v>
      </c>
      <c r="D1385" t="s">
        <v>17</v>
      </c>
      <c r="E1385" t="s">
        <v>33</v>
      </c>
      <c r="F1385">
        <v>5</v>
      </c>
      <c r="G1385">
        <v>605.9</v>
      </c>
      <c r="H1385">
        <v>3029.5</v>
      </c>
      <c r="I1385">
        <v>0</v>
      </c>
      <c r="J1385">
        <v>3029.5</v>
      </c>
      <c r="K1385">
        <v>287</v>
      </c>
      <c r="L1385" s="11">
        <v>0.42581018518518521</v>
      </c>
      <c r="M1385">
        <f t="shared" si="106"/>
        <v>17</v>
      </c>
      <c r="N1385">
        <f t="shared" si="107"/>
        <v>6</v>
      </c>
      <c r="O1385">
        <f t="shared" si="108"/>
        <v>2025</v>
      </c>
      <c r="P1385" s="4">
        <f t="shared" si="109"/>
        <v>45825</v>
      </c>
      <c r="Q1385" t="s">
        <v>1136</v>
      </c>
      <c r="R1385" t="s">
        <v>1137</v>
      </c>
      <c r="S1385">
        <v>4</v>
      </c>
      <c r="T1385" t="s">
        <v>1146</v>
      </c>
      <c r="U1385" s="11" t="str">
        <f t="shared" si="105"/>
        <v>10:13:10 AM</v>
      </c>
      <c r="BL1385" s="2" t="s">
        <v>2535</v>
      </c>
    </row>
    <row r="1386" spans="1:64" x14ac:dyDescent="0.35">
      <c r="A1386">
        <v>3347</v>
      </c>
      <c r="B1386" t="s">
        <v>0</v>
      </c>
      <c r="C1386" s="1">
        <v>45657</v>
      </c>
      <c r="D1386" t="s">
        <v>17</v>
      </c>
      <c r="E1386" t="s">
        <v>5</v>
      </c>
      <c r="F1386">
        <v>4</v>
      </c>
      <c r="G1386">
        <v>847.43</v>
      </c>
      <c r="H1386">
        <v>3389.72</v>
      </c>
      <c r="I1386">
        <v>678.11</v>
      </c>
      <c r="J1386">
        <v>2711.61</v>
      </c>
      <c r="K1386">
        <v>163</v>
      </c>
      <c r="L1386" s="11">
        <v>0.66313657407407411</v>
      </c>
      <c r="M1386">
        <f t="shared" si="106"/>
        <v>31</v>
      </c>
      <c r="N1386">
        <f t="shared" si="107"/>
        <v>12</v>
      </c>
      <c r="O1386">
        <f t="shared" si="108"/>
        <v>2024</v>
      </c>
      <c r="P1386" s="4">
        <f t="shared" si="109"/>
        <v>45657</v>
      </c>
      <c r="Q1386" t="s">
        <v>1138</v>
      </c>
      <c r="R1386" t="s">
        <v>1137</v>
      </c>
      <c r="S1386">
        <v>3</v>
      </c>
      <c r="T1386" t="s">
        <v>1147</v>
      </c>
      <c r="U1386" s="11" t="str">
        <f t="shared" ref="U1386:U1449" si="110">TEXT(L1386,"hh:mm:ss AM/PM")</f>
        <v>03:54:55 PM</v>
      </c>
      <c r="BL1386" s="2" t="s">
        <v>2536</v>
      </c>
    </row>
    <row r="1387" spans="1:64" x14ac:dyDescent="0.35">
      <c r="A1387">
        <v>9540</v>
      </c>
      <c r="B1387" t="s">
        <v>20</v>
      </c>
      <c r="C1387" s="1">
        <v>45316</v>
      </c>
      <c r="D1387" t="s">
        <v>34</v>
      </c>
      <c r="E1387" t="s">
        <v>37</v>
      </c>
      <c r="F1387">
        <v>1</v>
      </c>
      <c r="G1387">
        <v>2465.9299999999998</v>
      </c>
      <c r="H1387">
        <v>2465.9299999999998</v>
      </c>
      <c r="I1387">
        <v>233.23</v>
      </c>
      <c r="J1387">
        <v>2232.6999999999998</v>
      </c>
      <c r="K1387">
        <v>215</v>
      </c>
      <c r="L1387" s="11">
        <v>0.83680555555555558</v>
      </c>
      <c r="M1387">
        <f t="shared" si="106"/>
        <v>25</v>
      </c>
      <c r="N1387">
        <f t="shared" si="107"/>
        <v>1</v>
      </c>
      <c r="O1387">
        <f t="shared" si="108"/>
        <v>2024</v>
      </c>
      <c r="P1387" s="4">
        <f t="shared" si="109"/>
        <v>45316</v>
      </c>
      <c r="Q1387" t="s">
        <v>1136</v>
      </c>
      <c r="R1387" t="s">
        <v>1137</v>
      </c>
      <c r="S1387">
        <v>4</v>
      </c>
      <c r="T1387" t="s">
        <v>1147</v>
      </c>
      <c r="U1387" s="11" t="str">
        <f t="shared" si="110"/>
        <v>08:05:00 PM</v>
      </c>
      <c r="BL1387" s="2" t="s">
        <v>2537</v>
      </c>
    </row>
    <row r="1388" spans="1:64" x14ac:dyDescent="0.35">
      <c r="A1388">
        <v>7775</v>
      </c>
      <c r="B1388" t="s">
        <v>25</v>
      </c>
      <c r="C1388" s="1">
        <v>45378</v>
      </c>
      <c r="D1388" t="s">
        <v>17</v>
      </c>
      <c r="E1388" t="s">
        <v>21</v>
      </c>
      <c r="F1388">
        <v>2</v>
      </c>
      <c r="G1388">
        <v>1469.93</v>
      </c>
      <c r="H1388">
        <v>2939.86</v>
      </c>
      <c r="I1388">
        <v>0</v>
      </c>
      <c r="J1388">
        <v>2939.86</v>
      </c>
      <c r="K1388">
        <v>145</v>
      </c>
      <c r="L1388" s="11">
        <v>0.8481481481481481</v>
      </c>
      <c r="M1388">
        <f t="shared" si="106"/>
        <v>27</v>
      </c>
      <c r="N1388">
        <f t="shared" si="107"/>
        <v>3</v>
      </c>
      <c r="O1388">
        <f t="shared" si="108"/>
        <v>2024</v>
      </c>
      <c r="P1388" s="4">
        <f t="shared" si="109"/>
        <v>45378</v>
      </c>
      <c r="Q1388" t="s">
        <v>1138</v>
      </c>
      <c r="R1388" t="s">
        <v>1135</v>
      </c>
      <c r="S1388">
        <v>3</v>
      </c>
      <c r="T1388" t="s">
        <v>1146</v>
      </c>
      <c r="U1388" s="11" t="str">
        <f t="shared" si="110"/>
        <v>08:21:20 PM</v>
      </c>
      <c r="BL1388" s="2" t="s">
        <v>2538</v>
      </c>
    </row>
    <row r="1389" spans="1:64" x14ac:dyDescent="0.35">
      <c r="A1389">
        <v>5508</v>
      </c>
      <c r="B1389" t="s">
        <v>20</v>
      </c>
      <c r="C1389" s="1">
        <v>45192</v>
      </c>
      <c r="D1389" t="s">
        <v>34</v>
      </c>
      <c r="E1389" t="s">
        <v>26</v>
      </c>
      <c r="F1389">
        <v>2</v>
      </c>
      <c r="G1389">
        <v>2108.1999999999998</v>
      </c>
      <c r="H1389">
        <v>4216.3999999999996</v>
      </c>
      <c r="I1389">
        <v>387.61</v>
      </c>
      <c r="J1389">
        <v>3828.79</v>
      </c>
      <c r="K1389">
        <v>206</v>
      </c>
      <c r="L1389" s="11">
        <v>0.1252199074074074</v>
      </c>
      <c r="M1389">
        <f t="shared" si="106"/>
        <v>23</v>
      </c>
      <c r="N1389">
        <f t="shared" si="107"/>
        <v>9</v>
      </c>
      <c r="O1389">
        <f t="shared" si="108"/>
        <v>2023</v>
      </c>
      <c r="P1389" s="4">
        <f t="shared" si="109"/>
        <v>45192</v>
      </c>
      <c r="Q1389" t="s">
        <v>1136</v>
      </c>
      <c r="R1389" t="s">
        <v>1137</v>
      </c>
      <c r="S1389">
        <v>2</v>
      </c>
      <c r="T1389" t="s">
        <v>1142</v>
      </c>
      <c r="U1389" s="11" t="str">
        <f t="shared" si="110"/>
        <v>03:00:19 AM</v>
      </c>
      <c r="BL1389" s="2" t="s">
        <v>2539</v>
      </c>
    </row>
    <row r="1390" spans="1:64" x14ac:dyDescent="0.35">
      <c r="A1390">
        <v>3869</v>
      </c>
      <c r="B1390" t="s">
        <v>20</v>
      </c>
      <c r="C1390" s="1">
        <v>45631</v>
      </c>
      <c r="D1390" t="s">
        <v>11</v>
      </c>
      <c r="E1390" t="s">
        <v>28</v>
      </c>
      <c r="F1390">
        <v>1</v>
      </c>
      <c r="G1390">
        <v>1213.46</v>
      </c>
      <c r="H1390">
        <v>1213.46</v>
      </c>
      <c r="I1390">
        <v>0</v>
      </c>
      <c r="J1390">
        <v>1213.46</v>
      </c>
      <c r="K1390">
        <v>424</v>
      </c>
      <c r="L1390" s="11">
        <v>0.86262731481481481</v>
      </c>
      <c r="M1390">
        <f t="shared" si="106"/>
        <v>5</v>
      </c>
      <c r="N1390">
        <f t="shared" si="107"/>
        <v>12</v>
      </c>
      <c r="O1390">
        <f t="shared" si="108"/>
        <v>2024</v>
      </c>
      <c r="P1390" s="4">
        <f t="shared" si="109"/>
        <v>45631</v>
      </c>
      <c r="Q1390" t="s">
        <v>1134</v>
      </c>
      <c r="R1390" t="s">
        <v>1135</v>
      </c>
      <c r="S1390">
        <v>5</v>
      </c>
      <c r="T1390" t="s">
        <v>1147</v>
      </c>
      <c r="U1390" s="11" t="str">
        <f t="shared" si="110"/>
        <v>08:42:11 PM</v>
      </c>
      <c r="BL1390" s="2" t="s">
        <v>2540</v>
      </c>
    </row>
    <row r="1391" spans="1:64" x14ac:dyDescent="0.35">
      <c r="A1391">
        <v>7999</v>
      </c>
      <c r="B1391" t="s">
        <v>19</v>
      </c>
      <c r="C1391" s="1">
        <v>45576</v>
      </c>
      <c r="D1391" t="s">
        <v>24</v>
      </c>
      <c r="E1391" t="s">
        <v>10</v>
      </c>
      <c r="F1391">
        <v>3</v>
      </c>
      <c r="G1391">
        <v>1045.8</v>
      </c>
      <c r="H1391">
        <v>3137.4</v>
      </c>
      <c r="I1391">
        <v>313.74</v>
      </c>
      <c r="J1391">
        <v>2823.66</v>
      </c>
      <c r="K1391">
        <v>284</v>
      </c>
      <c r="L1391" s="11">
        <v>0.34761574074074075</v>
      </c>
      <c r="M1391">
        <f t="shared" si="106"/>
        <v>11</v>
      </c>
      <c r="N1391">
        <f t="shared" si="107"/>
        <v>10</v>
      </c>
      <c r="O1391">
        <f t="shared" si="108"/>
        <v>2024</v>
      </c>
      <c r="P1391" s="4">
        <f t="shared" si="109"/>
        <v>45576</v>
      </c>
      <c r="Q1391" t="s">
        <v>1138</v>
      </c>
      <c r="R1391" t="s">
        <v>1135</v>
      </c>
      <c r="S1391">
        <v>2</v>
      </c>
      <c r="T1391" t="s">
        <v>1143</v>
      </c>
      <c r="U1391" s="11" t="str">
        <f t="shared" si="110"/>
        <v>08:20:34 AM</v>
      </c>
      <c r="BL1391" s="2" t="s">
        <v>2541</v>
      </c>
    </row>
    <row r="1392" spans="1:64" x14ac:dyDescent="0.35">
      <c r="A1392">
        <v>9120</v>
      </c>
      <c r="B1392" t="s">
        <v>20</v>
      </c>
      <c r="C1392" s="1">
        <v>45181</v>
      </c>
      <c r="D1392" t="s">
        <v>9</v>
      </c>
      <c r="E1392" t="s">
        <v>26</v>
      </c>
      <c r="F1392">
        <v>4</v>
      </c>
      <c r="G1392">
        <v>1269.9000000000001</v>
      </c>
      <c r="H1392">
        <v>5079.6000000000004</v>
      </c>
      <c r="I1392">
        <v>761.94</v>
      </c>
      <c r="J1392">
        <v>4317.66</v>
      </c>
      <c r="K1392">
        <v>328</v>
      </c>
      <c r="L1392" s="11">
        <v>0.79849537037037033</v>
      </c>
      <c r="M1392">
        <f t="shared" si="106"/>
        <v>12</v>
      </c>
      <c r="N1392">
        <f t="shared" si="107"/>
        <v>9</v>
      </c>
      <c r="O1392">
        <f t="shared" si="108"/>
        <v>2023</v>
      </c>
      <c r="P1392" s="4">
        <f t="shared" si="109"/>
        <v>45181</v>
      </c>
      <c r="Q1392" t="s">
        <v>1139</v>
      </c>
      <c r="R1392" t="s">
        <v>1137</v>
      </c>
      <c r="S1392">
        <v>3</v>
      </c>
      <c r="T1392" t="s">
        <v>1142</v>
      </c>
      <c r="U1392" s="11" t="str">
        <f t="shared" si="110"/>
        <v>07:09:50 PM</v>
      </c>
      <c r="BL1392" s="2" t="s">
        <v>2542</v>
      </c>
    </row>
    <row r="1393" spans="1:64" x14ac:dyDescent="0.35">
      <c r="A1393">
        <v>6642</v>
      </c>
      <c r="B1393" t="s">
        <v>0</v>
      </c>
      <c r="C1393" s="1">
        <v>45644</v>
      </c>
      <c r="D1393" t="s">
        <v>1</v>
      </c>
      <c r="E1393" t="s">
        <v>14</v>
      </c>
      <c r="F1393">
        <v>1</v>
      </c>
      <c r="G1393">
        <v>2069.19</v>
      </c>
      <c r="H1393">
        <v>2069.19</v>
      </c>
      <c r="I1393">
        <v>310.42</v>
      </c>
      <c r="J1393">
        <v>1758.77</v>
      </c>
      <c r="K1393">
        <v>71</v>
      </c>
      <c r="L1393" s="11">
        <v>0.62086805555555558</v>
      </c>
      <c r="M1393">
        <f t="shared" si="106"/>
        <v>18</v>
      </c>
      <c r="N1393">
        <f t="shared" si="107"/>
        <v>12</v>
      </c>
      <c r="O1393">
        <f t="shared" si="108"/>
        <v>2024</v>
      </c>
      <c r="P1393" s="4">
        <f t="shared" si="109"/>
        <v>45644</v>
      </c>
      <c r="Q1393" t="s">
        <v>1139</v>
      </c>
      <c r="R1393" t="s">
        <v>1135</v>
      </c>
      <c r="S1393">
        <v>3</v>
      </c>
      <c r="T1393" t="s">
        <v>1145</v>
      </c>
      <c r="U1393" s="11" t="str">
        <f t="shared" si="110"/>
        <v>02:54:03 PM</v>
      </c>
      <c r="BL1393" s="2" t="s">
        <v>2543</v>
      </c>
    </row>
    <row r="1394" spans="1:64" x14ac:dyDescent="0.35">
      <c r="A1394">
        <v>7244</v>
      </c>
      <c r="B1394" t="s">
        <v>13</v>
      </c>
      <c r="C1394" s="1">
        <v>45755</v>
      </c>
      <c r="D1394" t="s">
        <v>6</v>
      </c>
      <c r="E1394" t="s">
        <v>18</v>
      </c>
      <c r="F1394">
        <v>1</v>
      </c>
      <c r="G1394">
        <v>541.99</v>
      </c>
      <c r="H1394">
        <v>541.99</v>
      </c>
      <c r="I1394">
        <v>411.68</v>
      </c>
      <c r="J1394">
        <v>130.31</v>
      </c>
      <c r="K1394">
        <v>461</v>
      </c>
      <c r="L1394" s="11">
        <v>6.7638888888888887E-2</v>
      </c>
      <c r="M1394">
        <f t="shared" si="106"/>
        <v>8</v>
      </c>
      <c r="N1394">
        <f t="shared" si="107"/>
        <v>4</v>
      </c>
      <c r="O1394">
        <f t="shared" si="108"/>
        <v>2025</v>
      </c>
      <c r="P1394" s="4">
        <f t="shared" si="109"/>
        <v>45755</v>
      </c>
      <c r="Q1394" t="s">
        <v>1136</v>
      </c>
      <c r="R1394" t="s">
        <v>1137</v>
      </c>
      <c r="S1394">
        <v>2</v>
      </c>
      <c r="T1394" t="s">
        <v>1143</v>
      </c>
      <c r="U1394" s="11" t="str">
        <f t="shared" si="110"/>
        <v>01:37:24 AM</v>
      </c>
      <c r="BL1394" s="2" t="s">
        <v>2544</v>
      </c>
    </row>
    <row r="1395" spans="1:64" x14ac:dyDescent="0.35">
      <c r="A1395">
        <v>9592</v>
      </c>
      <c r="B1395" t="s">
        <v>20</v>
      </c>
      <c r="C1395" s="1">
        <v>45392</v>
      </c>
      <c r="D1395" t="s">
        <v>24</v>
      </c>
      <c r="E1395" t="s">
        <v>29</v>
      </c>
      <c r="F1395">
        <v>1</v>
      </c>
      <c r="G1395">
        <v>197.54</v>
      </c>
      <c r="H1395">
        <v>197.54</v>
      </c>
      <c r="I1395">
        <v>29.88</v>
      </c>
      <c r="J1395">
        <v>167.66</v>
      </c>
      <c r="K1395">
        <v>155</v>
      </c>
      <c r="L1395" s="11">
        <v>0.19712962962962963</v>
      </c>
      <c r="M1395">
        <f t="shared" si="106"/>
        <v>10</v>
      </c>
      <c r="N1395">
        <f t="shared" si="107"/>
        <v>4</v>
      </c>
      <c r="O1395">
        <f t="shared" si="108"/>
        <v>2024</v>
      </c>
      <c r="P1395" s="4">
        <f t="shared" si="109"/>
        <v>45392</v>
      </c>
      <c r="Q1395" t="s">
        <v>1139</v>
      </c>
      <c r="R1395" t="s">
        <v>1135</v>
      </c>
      <c r="S1395">
        <v>1</v>
      </c>
      <c r="T1395" t="s">
        <v>1143</v>
      </c>
      <c r="U1395" s="11" t="str">
        <f t="shared" si="110"/>
        <v>04:43:52 AM</v>
      </c>
      <c r="BL1395" s="2" t="s">
        <v>2545</v>
      </c>
    </row>
    <row r="1396" spans="1:64" x14ac:dyDescent="0.35">
      <c r="A1396">
        <v>7821</v>
      </c>
      <c r="B1396" t="s">
        <v>25</v>
      </c>
      <c r="C1396" s="1">
        <v>45462</v>
      </c>
      <c r="D1396" t="s">
        <v>17</v>
      </c>
      <c r="E1396" t="s">
        <v>21</v>
      </c>
      <c r="F1396">
        <v>3</v>
      </c>
      <c r="G1396">
        <v>1763.75</v>
      </c>
      <c r="H1396">
        <v>5291.25</v>
      </c>
      <c r="I1396">
        <v>235.72</v>
      </c>
      <c r="J1396">
        <v>5055.53</v>
      </c>
      <c r="K1396">
        <v>473</v>
      </c>
      <c r="L1396" s="11">
        <v>0.46608796296296295</v>
      </c>
      <c r="M1396">
        <f t="shared" si="106"/>
        <v>19</v>
      </c>
      <c r="N1396">
        <f t="shared" si="107"/>
        <v>6</v>
      </c>
      <c r="O1396">
        <f t="shared" si="108"/>
        <v>2024</v>
      </c>
      <c r="P1396" s="4">
        <f t="shared" si="109"/>
        <v>45462</v>
      </c>
      <c r="Q1396" t="s">
        <v>1138</v>
      </c>
      <c r="R1396" t="s">
        <v>1137</v>
      </c>
      <c r="S1396">
        <v>1</v>
      </c>
      <c r="T1396" t="s">
        <v>1150</v>
      </c>
      <c r="U1396" s="11" t="str">
        <f t="shared" si="110"/>
        <v>11:11:10 AM</v>
      </c>
      <c r="BL1396" s="2" t="s">
        <v>2546</v>
      </c>
    </row>
    <row r="1397" spans="1:64" x14ac:dyDescent="0.35">
      <c r="A1397">
        <v>3444</v>
      </c>
      <c r="B1397" t="s">
        <v>8</v>
      </c>
      <c r="C1397" s="1">
        <v>45377</v>
      </c>
      <c r="D1397" t="s">
        <v>11</v>
      </c>
      <c r="E1397" t="s">
        <v>30</v>
      </c>
      <c r="F1397">
        <v>5</v>
      </c>
      <c r="G1397">
        <v>2219.42</v>
      </c>
      <c r="H1397">
        <v>11097.1</v>
      </c>
      <c r="I1397">
        <v>0</v>
      </c>
      <c r="J1397">
        <v>11097.1</v>
      </c>
      <c r="K1397">
        <v>494</v>
      </c>
      <c r="L1397" s="11">
        <v>0.55644675925925924</v>
      </c>
      <c r="M1397">
        <f t="shared" si="106"/>
        <v>26</v>
      </c>
      <c r="N1397">
        <f t="shared" si="107"/>
        <v>3</v>
      </c>
      <c r="O1397">
        <f t="shared" si="108"/>
        <v>2024</v>
      </c>
      <c r="P1397" s="4">
        <f t="shared" si="109"/>
        <v>45377</v>
      </c>
      <c r="Q1397" t="s">
        <v>1139</v>
      </c>
      <c r="R1397" t="s">
        <v>1135</v>
      </c>
      <c r="S1397">
        <v>1</v>
      </c>
      <c r="T1397" t="s">
        <v>1150</v>
      </c>
      <c r="U1397" s="11" t="str">
        <f t="shared" si="110"/>
        <v>01:21:17 PM</v>
      </c>
      <c r="BL1397" s="2" t="s">
        <v>2547</v>
      </c>
    </row>
    <row r="1398" spans="1:64" x14ac:dyDescent="0.35">
      <c r="A1398">
        <v>7167</v>
      </c>
      <c r="B1398" t="s">
        <v>15</v>
      </c>
      <c r="C1398" s="1">
        <v>45287</v>
      </c>
      <c r="D1398" t="s">
        <v>16</v>
      </c>
      <c r="E1398" t="s">
        <v>38</v>
      </c>
      <c r="F1398">
        <v>5</v>
      </c>
      <c r="G1398">
        <v>1352.07</v>
      </c>
      <c r="H1398">
        <v>6760.35</v>
      </c>
      <c r="I1398">
        <v>0</v>
      </c>
      <c r="J1398">
        <v>6760.35</v>
      </c>
      <c r="K1398">
        <v>295</v>
      </c>
      <c r="L1398" s="11">
        <v>0.66143518518518518</v>
      </c>
      <c r="M1398">
        <f t="shared" si="106"/>
        <v>27</v>
      </c>
      <c r="N1398">
        <f t="shared" si="107"/>
        <v>12</v>
      </c>
      <c r="O1398">
        <f t="shared" si="108"/>
        <v>2023</v>
      </c>
      <c r="P1398" s="4">
        <f t="shared" si="109"/>
        <v>45287</v>
      </c>
      <c r="Q1398" t="s">
        <v>1134</v>
      </c>
      <c r="R1398" t="s">
        <v>1137</v>
      </c>
      <c r="S1398">
        <v>3</v>
      </c>
      <c r="T1398" t="s">
        <v>1142</v>
      </c>
      <c r="U1398" s="11" t="str">
        <f t="shared" si="110"/>
        <v>03:52:28 PM</v>
      </c>
      <c r="BL1398" s="2" t="s">
        <v>2548</v>
      </c>
    </row>
    <row r="1399" spans="1:64" x14ac:dyDescent="0.35">
      <c r="A1399">
        <v>9813</v>
      </c>
      <c r="B1399" t="s">
        <v>15</v>
      </c>
      <c r="C1399" s="1">
        <v>45512</v>
      </c>
      <c r="D1399" t="s">
        <v>24</v>
      </c>
      <c r="E1399" t="s">
        <v>10</v>
      </c>
      <c r="F1399">
        <v>4</v>
      </c>
      <c r="G1399">
        <v>625.82000000000005</v>
      </c>
      <c r="H1399">
        <v>2503.2800000000002</v>
      </c>
      <c r="I1399">
        <v>0</v>
      </c>
      <c r="J1399">
        <v>2503.2800000000002</v>
      </c>
      <c r="K1399">
        <v>135</v>
      </c>
      <c r="L1399" s="11">
        <v>0.98837962962962966</v>
      </c>
      <c r="M1399">
        <f t="shared" si="106"/>
        <v>8</v>
      </c>
      <c r="N1399">
        <f t="shared" si="107"/>
        <v>8</v>
      </c>
      <c r="O1399">
        <f t="shared" si="108"/>
        <v>2024</v>
      </c>
      <c r="P1399" s="4">
        <f t="shared" si="109"/>
        <v>45512</v>
      </c>
      <c r="Q1399" t="s">
        <v>1134</v>
      </c>
      <c r="R1399" t="s">
        <v>1137</v>
      </c>
      <c r="S1399">
        <v>4</v>
      </c>
      <c r="T1399" t="s">
        <v>1145</v>
      </c>
      <c r="U1399" s="11" t="str">
        <f t="shared" si="110"/>
        <v>11:43:16 PM</v>
      </c>
      <c r="BL1399" s="2" t="s">
        <v>2549</v>
      </c>
    </row>
    <row r="1400" spans="1:64" x14ac:dyDescent="0.35">
      <c r="A1400">
        <v>4948</v>
      </c>
      <c r="B1400" t="s">
        <v>0</v>
      </c>
      <c r="C1400" s="1">
        <v>45804</v>
      </c>
      <c r="D1400" t="s">
        <v>11</v>
      </c>
      <c r="E1400" t="s">
        <v>7</v>
      </c>
      <c r="F1400">
        <v>2</v>
      </c>
      <c r="G1400">
        <v>1669.13</v>
      </c>
      <c r="H1400">
        <v>3338.26</v>
      </c>
      <c r="I1400">
        <v>0</v>
      </c>
      <c r="J1400">
        <v>3338.26</v>
      </c>
      <c r="K1400">
        <v>376</v>
      </c>
      <c r="L1400" s="11">
        <v>0.80402777777777779</v>
      </c>
      <c r="M1400">
        <f t="shared" si="106"/>
        <v>27</v>
      </c>
      <c r="N1400">
        <f t="shared" si="107"/>
        <v>5</v>
      </c>
      <c r="O1400">
        <f t="shared" si="108"/>
        <v>2025</v>
      </c>
      <c r="P1400" s="4">
        <f t="shared" si="109"/>
        <v>45804</v>
      </c>
      <c r="Q1400" t="s">
        <v>1136</v>
      </c>
      <c r="R1400" t="s">
        <v>1137</v>
      </c>
      <c r="S1400">
        <v>3</v>
      </c>
      <c r="T1400" t="s">
        <v>1145</v>
      </c>
      <c r="U1400" s="11" t="str">
        <f t="shared" si="110"/>
        <v>07:17:48 PM</v>
      </c>
      <c r="BL1400" s="2" t="s">
        <v>2550</v>
      </c>
    </row>
    <row r="1401" spans="1:64" x14ac:dyDescent="0.35">
      <c r="A1401">
        <v>4692</v>
      </c>
      <c r="B1401" t="s">
        <v>0</v>
      </c>
      <c r="C1401" s="1">
        <v>45378</v>
      </c>
      <c r="D1401" t="s">
        <v>4</v>
      </c>
      <c r="E1401" t="s">
        <v>37</v>
      </c>
      <c r="F1401">
        <v>1</v>
      </c>
      <c r="G1401">
        <v>593.45000000000005</v>
      </c>
      <c r="H1401">
        <v>593.45000000000005</v>
      </c>
      <c r="I1401">
        <v>59.76</v>
      </c>
      <c r="J1401">
        <v>533.69000000000005</v>
      </c>
      <c r="K1401">
        <v>343</v>
      </c>
      <c r="L1401" s="11">
        <v>0.21806712962962962</v>
      </c>
      <c r="M1401">
        <f t="shared" si="106"/>
        <v>27</v>
      </c>
      <c r="N1401">
        <f t="shared" si="107"/>
        <v>3</v>
      </c>
      <c r="O1401">
        <f t="shared" si="108"/>
        <v>2024</v>
      </c>
      <c r="P1401" s="4">
        <f t="shared" si="109"/>
        <v>45378</v>
      </c>
      <c r="Q1401" t="s">
        <v>1138</v>
      </c>
      <c r="R1401" t="s">
        <v>1137</v>
      </c>
      <c r="S1401">
        <v>4</v>
      </c>
      <c r="T1401" t="s">
        <v>1147</v>
      </c>
      <c r="U1401" s="11" t="str">
        <f t="shared" si="110"/>
        <v>05:14:01 AM</v>
      </c>
      <c r="BL1401" s="2" t="s">
        <v>2551</v>
      </c>
    </row>
    <row r="1402" spans="1:64" x14ac:dyDescent="0.35">
      <c r="A1402">
        <v>3365</v>
      </c>
      <c r="B1402" t="s">
        <v>13</v>
      </c>
      <c r="C1402" s="1">
        <v>45770</v>
      </c>
      <c r="D1402" t="s">
        <v>6</v>
      </c>
      <c r="E1402" t="s">
        <v>37</v>
      </c>
      <c r="F1402">
        <v>1</v>
      </c>
      <c r="G1402">
        <v>901.38</v>
      </c>
      <c r="H1402">
        <v>901.38</v>
      </c>
      <c r="I1402">
        <v>135.29</v>
      </c>
      <c r="J1402">
        <v>766.09</v>
      </c>
      <c r="K1402">
        <v>416</v>
      </c>
      <c r="L1402" s="11">
        <v>0.10886574074074074</v>
      </c>
      <c r="M1402">
        <f t="shared" si="106"/>
        <v>23</v>
      </c>
      <c r="N1402">
        <f t="shared" si="107"/>
        <v>4</v>
      </c>
      <c r="O1402">
        <f t="shared" si="108"/>
        <v>2025</v>
      </c>
      <c r="P1402" s="4">
        <f t="shared" si="109"/>
        <v>45770</v>
      </c>
      <c r="Q1402" t="s">
        <v>1134</v>
      </c>
      <c r="R1402" t="s">
        <v>1135</v>
      </c>
      <c r="S1402">
        <v>2</v>
      </c>
      <c r="T1402" t="s">
        <v>1148</v>
      </c>
      <c r="U1402" s="11" t="str">
        <f t="shared" si="110"/>
        <v>02:36:46 AM</v>
      </c>
      <c r="BL1402" s="2" t="s">
        <v>2552</v>
      </c>
    </row>
    <row r="1403" spans="1:64" x14ac:dyDescent="0.35">
      <c r="A1403">
        <v>8586</v>
      </c>
      <c r="B1403" t="s">
        <v>15</v>
      </c>
      <c r="C1403" s="1">
        <v>45855</v>
      </c>
      <c r="D1403" t="s">
        <v>16</v>
      </c>
      <c r="E1403" t="s">
        <v>30</v>
      </c>
      <c r="F1403">
        <v>5</v>
      </c>
      <c r="G1403">
        <v>336.15</v>
      </c>
      <c r="H1403">
        <v>1680.75</v>
      </c>
      <c r="I1403">
        <v>252.32</v>
      </c>
      <c r="J1403">
        <v>1428.43</v>
      </c>
      <c r="K1403">
        <v>66</v>
      </c>
      <c r="L1403" s="11">
        <v>0.38038194444444445</v>
      </c>
      <c r="M1403">
        <f t="shared" si="106"/>
        <v>17</v>
      </c>
      <c r="N1403">
        <f t="shared" si="107"/>
        <v>7</v>
      </c>
      <c r="O1403">
        <f t="shared" si="108"/>
        <v>2025</v>
      </c>
      <c r="P1403" s="4">
        <f t="shared" si="109"/>
        <v>45855</v>
      </c>
      <c r="Q1403" t="s">
        <v>1134</v>
      </c>
      <c r="R1403" t="s">
        <v>1137</v>
      </c>
      <c r="S1403">
        <v>5</v>
      </c>
      <c r="T1403" t="s">
        <v>1141</v>
      </c>
      <c r="U1403" s="11" t="str">
        <f t="shared" si="110"/>
        <v>09:07:45 AM</v>
      </c>
      <c r="BL1403" s="2" t="s">
        <v>2553</v>
      </c>
    </row>
    <row r="1404" spans="1:64" x14ac:dyDescent="0.35">
      <c r="A1404">
        <v>1944</v>
      </c>
      <c r="B1404" t="s">
        <v>13</v>
      </c>
      <c r="C1404" s="1">
        <v>45581</v>
      </c>
      <c r="D1404" t="s">
        <v>34</v>
      </c>
      <c r="E1404" t="s">
        <v>36</v>
      </c>
      <c r="F1404">
        <v>2</v>
      </c>
      <c r="G1404">
        <v>1959.63</v>
      </c>
      <c r="H1404">
        <v>3919.26</v>
      </c>
      <c r="I1404">
        <v>587.64</v>
      </c>
      <c r="J1404">
        <v>3331.62</v>
      </c>
      <c r="K1404">
        <v>96</v>
      </c>
      <c r="L1404" s="11">
        <v>0.81481481481481477</v>
      </c>
      <c r="M1404">
        <f t="shared" si="106"/>
        <v>16</v>
      </c>
      <c r="N1404">
        <f t="shared" si="107"/>
        <v>10</v>
      </c>
      <c r="O1404">
        <f t="shared" si="108"/>
        <v>2024</v>
      </c>
      <c r="P1404" s="4">
        <f t="shared" si="109"/>
        <v>45581</v>
      </c>
      <c r="Q1404" t="s">
        <v>1138</v>
      </c>
      <c r="R1404" t="s">
        <v>1135</v>
      </c>
      <c r="S1404">
        <v>4</v>
      </c>
      <c r="T1404" t="s">
        <v>1145</v>
      </c>
      <c r="U1404" s="11" t="str">
        <f t="shared" si="110"/>
        <v>07:33:20 PM</v>
      </c>
      <c r="BL1404" s="2" t="s">
        <v>2554</v>
      </c>
    </row>
    <row r="1405" spans="1:64" x14ac:dyDescent="0.35">
      <c r="A1405">
        <v>7761</v>
      </c>
      <c r="B1405" t="s">
        <v>13</v>
      </c>
      <c r="C1405" s="1">
        <v>45468</v>
      </c>
      <c r="D1405" t="s">
        <v>23</v>
      </c>
      <c r="E1405" t="s">
        <v>26</v>
      </c>
      <c r="F1405">
        <v>5</v>
      </c>
      <c r="G1405">
        <v>1642.57</v>
      </c>
      <c r="H1405">
        <v>8212.85</v>
      </c>
      <c r="I1405">
        <v>330.34</v>
      </c>
      <c r="J1405">
        <v>7882.51</v>
      </c>
      <c r="K1405">
        <v>75</v>
      </c>
      <c r="L1405" s="11">
        <v>0.48290509259259257</v>
      </c>
      <c r="M1405">
        <f t="shared" si="106"/>
        <v>25</v>
      </c>
      <c r="N1405">
        <f t="shared" si="107"/>
        <v>6</v>
      </c>
      <c r="O1405">
        <f t="shared" si="108"/>
        <v>2024</v>
      </c>
      <c r="P1405" s="4">
        <f t="shared" si="109"/>
        <v>45468</v>
      </c>
      <c r="Q1405" t="s">
        <v>1139</v>
      </c>
      <c r="R1405" t="s">
        <v>1135</v>
      </c>
      <c r="S1405">
        <v>1</v>
      </c>
      <c r="T1405" t="s">
        <v>1142</v>
      </c>
      <c r="U1405" s="11" t="str">
        <f t="shared" si="110"/>
        <v>11:35:23 AM</v>
      </c>
      <c r="BL1405" s="2" t="s">
        <v>2555</v>
      </c>
    </row>
    <row r="1406" spans="1:64" x14ac:dyDescent="0.35">
      <c r="A1406">
        <v>9683</v>
      </c>
      <c r="B1406" t="s">
        <v>8</v>
      </c>
      <c r="C1406" s="1">
        <v>45249</v>
      </c>
      <c r="D1406" t="s">
        <v>1</v>
      </c>
      <c r="E1406" t="s">
        <v>22</v>
      </c>
      <c r="F1406">
        <v>2</v>
      </c>
      <c r="G1406">
        <v>724.59</v>
      </c>
      <c r="H1406">
        <v>1449.18</v>
      </c>
      <c r="I1406">
        <v>217.46</v>
      </c>
      <c r="J1406">
        <v>1231.72</v>
      </c>
      <c r="K1406">
        <v>243</v>
      </c>
      <c r="L1406" s="11">
        <v>0.68564814814814812</v>
      </c>
      <c r="M1406">
        <f t="shared" si="106"/>
        <v>19</v>
      </c>
      <c r="N1406">
        <f t="shared" si="107"/>
        <v>11</v>
      </c>
      <c r="O1406">
        <f t="shared" si="108"/>
        <v>2023</v>
      </c>
      <c r="P1406" s="4">
        <f t="shared" si="109"/>
        <v>45249</v>
      </c>
      <c r="Q1406" t="s">
        <v>1139</v>
      </c>
      <c r="R1406" t="s">
        <v>1135</v>
      </c>
      <c r="S1406">
        <v>3</v>
      </c>
      <c r="T1406" t="s">
        <v>1141</v>
      </c>
      <c r="U1406" s="11" t="str">
        <f t="shared" si="110"/>
        <v>04:27:20 PM</v>
      </c>
      <c r="BL1406" s="2" t="s">
        <v>2556</v>
      </c>
    </row>
    <row r="1407" spans="1:64" x14ac:dyDescent="0.35">
      <c r="A1407">
        <v>7363</v>
      </c>
      <c r="B1407" t="s">
        <v>19</v>
      </c>
      <c r="C1407" s="1">
        <v>45333</v>
      </c>
      <c r="D1407" t="s">
        <v>4</v>
      </c>
      <c r="E1407" t="s">
        <v>7</v>
      </c>
      <c r="F1407">
        <v>1</v>
      </c>
      <c r="G1407">
        <v>935.41</v>
      </c>
      <c r="H1407">
        <v>935.41</v>
      </c>
      <c r="I1407">
        <v>93.79</v>
      </c>
      <c r="J1407">
        <v>841.62</v>
      </c>
      <c r="K1407">
        <v>108</v>
      </c>
      <c r="L1407" s="11">
        <v>7.0844907407407412E-2</v>
      </c>
      <c r="M1407">
        <f t="shared" si="106"/>
        <v>11</v>
      </c>
      <c r="N1407">
        <f t="shared" si="107"/>
        <v>2</v>
      </c>
      <c r="O1407">
        <f t="shared" si="108"/>
        <v>2024</v>
      </c>
      <c r="P1407" s="4">
        <f t="shared" si="109"/>
        <v>45333</v>
      </c>
      <c r="Q1407" t="s">
        <v>1136</v>
      </c>
      <c r="R1407" t="s">
        <v>1137</v>
      </c>
      <c r="S1407">
        <v>2</v>
      </c>
      <c r="T1407" t="s">
        <v>1146</v>
      </c>
      <c r="U1407" s="11" t="str">
        <f t="shared" si="110"/>
        <v>01:42:01 AM</v>
      </c>
      <c r="BL1407" s="2" t="s">
        <v>2557</v>
      </c>
    </row>
    <row r="1408" spans="1:64" x14ac:dyDescent="0.35">
      <c r="A1408">
        <v>5177</v>
      </c>
      <c r="B1408" t="s">
        <v>3</v>
      </c>
      <c r="C1408" s="1">
        <v>45302</v>
      </c>
      <c r="D1408" t="s">
        <v>9</v>
      </c>
      <c r="E1408" t="s">
        <v>36</v>
      </c>
      <c r="F1408">
        <v>3</v>
      </c>
      <c r="G1408">
        <v>209.99</v>
      </c>
      <c r="H1408">
        <v>629.97</v>
      </c>
      <c r="I1408">
        <v>99.6</v>
      </c>
      <c r="J1408">
        <v>530.37</v>
      </c>
      <c r="K1408">
        <v>139</v>
      </c>
      <c r="L1408" s="11">
        <v>0.79449074074074078</v>
      </c>
      <c r="M1408">
        <f t="shared" si="106"/>
        <v>11</v>
      </c>
      <c r="N1408">
        <f t="shared" si="107"/>
        <v>1</v>
      </c>
      <c r="O1408">
        <f t="shared" si="108"/>
        <v>2024</v>
      </c>
      <c r="P1408" s="4">
        <f t="shared" si="109"/>
        <v>45302</v>
      </c>
      <c r="Q1408" t="s">
        <v>1139</v>
      </c>
      <c r="R1408" t="s">
        <v>1135</v>
      </c>
      <c r="S1408">
        <v>1</v>
      </c>
      <c r="T1408" t="s">
        <v>1144</v>
      </c>
      <c r="U1408" s="11" t="str">
        <f t="shared" si="110"/>
        <v>07:04:04 PM</v>
      </c>
      <c r="BL1408" s="2" t="s">
        <v>2558</v>
      </c>
    </row>
    <row r="1409" spans="1:64" x14ac:dyDescent="0.35">
      <c r="A1409">
        <v>6411</v>
      </c>
      <c r="B1409" t="s">
        <v>3</v>
      </c>
      <c r="C1409" s="1">
        <v>45647</v>
      </c>
      <c r="D1409" t="s">
        <v>9</v>
      </c>
      <c r="E1409" t="s">
        <v>33</v>
      </c>
      <c r="F1409">
        <v>3</v>
      </c>
      <c r="G1409">
        <v>537.84</v>
      </c>
      <c r="H1409">
        <v>1613.52</v>
      </c>
      <c r="I1409">
        <v>284.69</v>
      </c>
      <c r="J1409">
        <v>1328.83</v>
      </c>
      <c r="K1409">
        <v>90</v>
      </c>
      <c r="L1409" s="11">
        <v>2.1180555555555558E-3</v>
      </c>
      <c r="M1409">
        <f t="shared" si="106"/>
        <v>21</v>
      </c>
      <c r="N1409">
        <f t="shared" si="107"/>
        <v>12</v>
      </c>
      <c r="O1409">
        <f t="shared" si="108"/>
        <v>2024</v>
      </c>
      <c r="P1409" s="4">
        <f t="shared" si="109"/>
        <v>45647</v>
      </c>
      <c r="Q1409" t="s">
        <v>1138</v>
      </c>
      <c r="R1409" t="s">
        <v>1135</v>
      </c>
      <c r="S1409">
        <v>2</v>
      </c>
      <c r="T1409" t="s">
        <v>1148</v>
      </c>
      <c r="U1409" s="11" t="str">
        <f t="shared" si="110"/>
        <v>12:03:03 AM</v>
      </c>
      <c r="BL1409" s="2" t="s">
        <v>2559</v>
      </c>
    </row>
    <row r="1410" spans="1:64" x14ac:dyDescent="0.35">
      <c r="A1410">
        <v>2295</v>
      </c>
      <c r="B1410" t="s">
        <v>3</v>
      </c>
      <c r="C1410" s="1">
        <v>45861</v>
      </c>
      <c r="D1410" t="s">
        <v>9</v>
      </c>
      <c r="E1410" t="s">
        <v>38</v>
      </c>
      <c r="F1410">
        <v>1</v>
      </c>
      <c r="G1410">
        <v>1637.59</v>
      </c>
      <c r="H1410">
        <v>1637.59</v>
      </c>
      <c r="I1410">
        <v>327.85</v>
      </c>
      <c r="J1410">
        <v>1309.74</v>
      </c>
      <c r="K1410">
        <v>490</v>
      </c>
      <c r="L1410" s="11">
        <v>8.5428240740740735E-2</v>
      </c>
      <c r="M1410">
        <f t="shared" ref="M1410:M1473" si="111">DAY(C1410)</f>
        <v>23</v>
      </c>
      <c r="N1410">
        <f t="shared" ref="N1410:N1473" si="112">MONTH(C1410)</f>
        <v>7</v>
      </c>
      <c r="O1410">
        <f t="shared" ref="O1410:O1473" si="113">YEAR(C1410)</f>
        <v>2025</v>
      </c>
      <c r="P1410" s="4">
        <f t="shared" si="109"/>
        <v>45861</v>
      </c>
      <c r="Q1410" t="s">
        <v>1134</v>
      </c>
      <c r="R1410" t="s">
        <v>1135</v>
      </c>
      <c r="S1410">
        <v>5</v>
      </c>
      <c r="T1410" t="s">
        <v>1148</v>
      </c>
      <c r="U1410" s="11" t="str">
        <f t="shared" si="110"/>
        <v>02:03:01 AM</v>
      </c>
      <c r="BL1410" s="2" t="s">
        <v>2560</v>
      </c>
    </row>
    <row r="1411" spans="1:64" x14ac:dyDescent="0.35">
      <c r="A1411">
        <v>8369</v>
      </c>
      <c r="B1411" t="s">
        <v>8</v>
      </c>
      <c r="C1411" s="1">
        <v>45802</v>
      </c>
      <c r="D1411" t="s">
        <v>1</v>
      </c>
      <c r="E1411" t="s">
        <v>29</v>
      </c>
      <c r="F1411">
        <v>5</v>
      </c>
      <c r="G1411">
        <v>722.93</v>
      </c>
      <c r="H1411">
        <v>3614.65</v>
      </c>
      <c r="I1411">
        <v>541.99</v>
      </c>
      <c r="J1411">
        <v>3072.66</v>
      </c>
      <c r="K1411">
        <v>33</v>
      </c>
      <c r="L1411" s="11">
        <v>0.46784722222222225</v>
      </c>
      <c r="M1411">
        <f t="shared" si="111"/>
        <v>25</v>
      </c>
      <c r="N1411">
        <f t="shared" si="112"/>
        <v>5</v>
      </c>
      <c r="O1411">
        <f t="shared" si="113"/>
        <v>2025</v>
      </c>
      <c r="P1411" s="4">
        <f t="shared" ref="P1411:P1474" si="114">DATE(O1411,N1411,M1411)</f>
        <v>45802</v>
      </c>
      <c r="Q1411" t="s">
        <v>1139</v>
      </c>
      <c r="R1411" t="s">
        <v>1137</v>
      </c>
      <c r="S1411">
        <v>3</v>
      </c>
      <c r="T1411" t="s">
        <v>1149</v>
      </c>
      <c r="U1411" s="11" t="str">
        <f t="shared" si="110"/>
        <v>11:13:42 AM</v>
      </c>
      <c r="BL1411" s="2" t="s">
        <v>2561</v>
      </c>
    </row>
    <row r="1412" spans="1:64" x14ac:dyDescent="0.35">
      <c r="A1412">
        <v>7079</v>
      </c>
      <c r="B1412" t="s">
        <v>31</v>
      </c>
      <c r="C1412" s="1">
        <v>45216</v>
      </c>
      <c r="D1412" t="s">
        <v>17</v>
      </c>
      <c r="E1412" t="s">
        <v>21</v>
      </c>
      <c r="F1412">
        <v>4</v>
      </c>
      <c r="G1412">
        <v>1027.54</v>
      </c>
      <c r="H1412">
        <v>4110.16</v>
      </c>
      <c r="I1412">
        <v>410.85</v>
      </c>
      <c r="J1412">
        <v>3699.31</v>
      </c>
      <c r="K1412">
        <v>112</v>
      </c>
      <c r="L1412" s="11">
        <v>0.43461805555555555</v>
      </c>
      <c r="M1412">
        <f t="shared" si="111"/>
        <v>17</v>
      </c>
      <c r="N1412">
        <f t="shared" si="112"/>
        <v>10</v>
      </c>
      <c r="O1412">
        <f t="shared" si="113"/>
        <v>2023</v>
      </c>
      <c r="P1412" s="4">
        <f t="shared" si="114"/>
        <v>45216</v>
      </c>
      <c r="Q1412" t="s">
        <v>1136</v>
      </c>
      <c r="R1412" t="s">
        <v>1137</v>
      </c>
      <c r="S1412">
        <v>3</v>
      </c>
      <c r="T1412" t="s">
        <v>1150</v>
      </c>
      <c r="U1412" s="11" t="str">
        <f t="shared" si="110"/>
        <v>10:25:51 AM</v>
      </c>
      <c r="BL1412" s="2" t="s">
        <v>2562</v>
      </c>
    </row>
    <row r="1413" spans="1:64" x14ac:dyDescent="0.35">
      <c r="A1413">
        <v>9775</v>
      </c>
      <c r="B1413" t="s">
        <v>31</v>
      </c>
      <c r="C1413" s="1">
        <v>45707</v>
      </c>
      <c r="D1413" t="s">
        <v>23</v>
      </c>
      <c r="E1413" t="s">
        <v>33</v>
      </c>
      <c r="F1413">
        <v>3</v>
      </c>
      <c r="G1413">
        <v>1615.18</v>
      </c>
      <c r="H1413">
        <v>4845.54</v>
      </c>
      <c r="I1413">
        <v>0</v>
      </c>
      <c r="J1413">
        <v>4845.54</v>
      </c>
      <c r="K1413">
        <v>361</v>
      </c>
      <c r="L1413" s="11">
        <v>0.2933101851851852</v>
      </c>
      <c r="M1413">
        <f t="shared" si="111"/>
        <v>19</v>
      </c>
      <c r="N1413">
        <f t="shared" si="112"/>
        <v>2</v>
      </c>
      <c r="O1413">
        <f t="shared" si="113"/>
        <v>2025</v>
      </c>
      <c r="P1413" s="4">
        <f t="shared" si="114"/>
        <v>45707</v>
      </c>
      <c r="Q1413" t="s">
        <v>1139</v>
      </c>
      <c r="R1413" t="s">
        <v>1135</v>
      </c>
      <c r="S1413">
        <v>5</v>
      </c>
      <c r="T1413" t="s">
        <v>1145</v>
      </c>
      <c r="U1413" s="11" t="str">
        <f t="shared" si="110"/>
        <v>07:02:22 AM</v>
      </c>
      <c r="BL1413" s="2" t="s">
        <v>2563</v>
      </c>
    </row>
    <row r="1414" spans="1:64" x14ac:dyDescent="0.35">
      <c r="A1414">
        <v>4120</v>
      </c>
      <c r="B1414" t="s">
        <v>20</v>
      </c>
      <c r="C1414" s="1">
        <v>45185</v>
      </c>
      <c r="D1414" t="s">
        <v>4</v>
      </c>
      <c r="E1414" t="s">
        <v>18</v>
      </c>
      <c r="F1414">
        <v>5</v>
      </c>
      <c r="G1414">
        <v>2267.56</v>
      </c>
      <c r="H1414">
        <v>11337.8</v>
      </c>
      <c r="I1414">
        <v>0</v>
      </c>
      <c r="J1414">
        <v>11337.8</v>
      </c>
      <c r="K1414">
        <v>318</v>
      </c>
      <c r="L1414" s="11">
        <v>0.58971064814814811</v>
      </c>
      <c r="M1414">
        <f t="shared" si="111"/>
        <v>16</v>
      </c>
      <c r="N1414">
        <f t="shared" si="112"/>
        <v>9</v>
      </c>
      <c r="O1414">
        <f t="shared" si="113"/>
        <v>2023</v>
      </c>
      <c r="P1414" s="4">
        <f t="shared" si="114"/>
        <v>45185</v>
      </c>
      <c r="Q1414" t="s">
        <v>1138</v>
      </c>
      <c r="R1414" t="s">
        <v>1137</v>
      </c>
      <c r="S1414">
        <v>3</v>
      </c>
      <c r="T1414" t="s">
        <v>1150</v>
      </c>
      <c r="U1414" s="11" t="str">
        <f t="shared" si="110"/>
        <v>02:09:11 PM</v>
      </c>
      <c r="BL1414" s="2" t="s">
        <v>2564</v>
      </c>
    </row>
    <row r="1415" spans="1:64" x14ac:dyDescent="0.35">
      <c r="A1415">
        <v>5398</v>
      </c>
      <c r="B1415" t="s">
        <v>19</v>
      </c>
      <c r="C1415" s="1">
        <v>45437</v>
      </c>
      <c r="D1415" t="s">
        <v>6</v>
      </c>
      <c r="E1415" t="s">
        <v>18</v>
      </c>
      <c r="F1415">
        <v>3</v>
      </c>
      <c r="G1415">
        <v>1722.25</v>
      </c>
      <c r="H1415">
        <v>5166.75</v>
      </c>
      <c r="I1415">
        <v>775.22</v>
      </c>
      <c r="J1415">
        <v>4391.53</v>
      </c>
      <c r="K1415">
        <v>85</v>
      </c>
      <c r="L1415" s="11">
        <v>0.5212268518518518</v>
      </c>
      <c r="M1415">
        <f t="shared" si="111"/>
        <v>25</v>
      </c>
      <c r="N1415">
        <f t="shared" si="112"/>
        <v>5</v>
      </c>
      <c r="O1415">
        <f t="shared" si="113"/>
        <v>2024</v>
      </c>
      <c r="P1415" s="4">
        <f t="shared" si="114"/>
        <v>45437</v>
      </c>
      <c r="Q1415" t="s">
        <v>1136</v>
      </c>
      <c r="R1415" t="s">
        <v>1137</v>
      </c>
      <c r="S1415">
        <v>4</v>
      </c>
      <c r="T1415" t="s">
        <v>1143</v>
      </c>
      <c r="U1415" s="11" t="str">
        <f t="shared" si="110"/>
        <v>12:30:34 PM</v>
      </c>
      <c r="BL1415" s="2" t="s">
        <v>2565</v>
      </c>
    </row>
    <row r="1416" spans="1:64" x14ac:dyDescent="0.35">
      <c r="A1416">
        <v>1647</v>
      </c>
      <c r="B1416" t="s">
        <v>15</v>
      </c>
      <c r="C1416" s="1">
        <v>45823</v>
      </c>
      <c r="D1416" t="s">
        <v>23</v>
      </c>
      <c r="E1416" t="s">
        <v>28</v>
      </c>
      <c r="F1416">
        <v>4</v>
      </c>
      <c r="G1416">
        <v>1112.2</v>
      </c>
      <c r="H1416">
        <v>4448.8</v>
      </c>
      <c r="I1416">
        <v>667.32</v>
      </c>
      <c r="J1416">
        <v>3781.48</v>
      </c>
      <c r="K1416">
        <v>10</v>
      </c>
      <c r="L1416" s="11">
        <v>0.91239583333333329</v>
      </c>
      <c r="M1416">
        <f t="shared" si="111"/>
        <v>15</v>
      </c>
      <c r="N1416">
        <f t="shared" si="112"/>
        <v>6</v>
      </c>
      <c r="O1416">
        <f t="shared" si="113"/>
        <v>2025</v>
      </c>
      <c r="P1416" s="4">
        <f t="shared" si="114"/>
        <v>45823</v>
      </c>
      <c r="Q1416" t="s">
        <v>1139</v>
      </c>
      <c r="R1416" t="s">
        <v>1135</v>
      </c>
      <c r="S1416">
        <v>2</v>
      </c>
      <c r="T1416" t="s">
        <v>1150</v>
      </c>
      <c r="U1416" s="11" t="str">
        <f t="shared" si="110"/>
        <v>09:53:51 PM</v>
      </c>
      <c r="BL1416" s="2" t="s">
        <v>2566</v>
      </c>
    </row>
    <row r="1417" spans="1:64" x14ac:dyDescent="0.35">
      <c r="A1417">
        <v>2192</v>
      </c>
      <c r="B1417" t="s">
        <v>0</v>
      </c>
      <c r="C1417" s="1">
        <v>45291</v>
      </c>
      <c r="D1417" t="s">
        <v>23</v>
      </c>
      <c r="E1417" t="s">
        <v>28</v>
      </c>
      <c r="F1417">
        <v>5</v>
      </c>
      <c r="G1417">
        <v>929.6</v>
      </c>
      <c r="H1417">
        <v>4648</v>
      </c>
      <c r="I1417">
        <v>464.8</v>
      </c>
      <c r="J1417">
        <v>4183.2</v>
      </c>
      <c r="K1417">
        <v>242</v>
      </c>
      <c r="L1417" s="11">
        <v>1.0381944444444444E-2</v>
      </c>
      <c r="M1417">
        <f t="shared" si="111"/>
        <v>31</v>
      </c>
      <c r="N1417">
        <f t="shared" si="112"/>
        <v>12</v>
      </c>
      <c r="O1417">
        <f t="shared" si="113"/>
        <v>2023</v>
      </c>
      <c r="P1417" s="4">
        <f t="shared" si="114"/>
        <v>45291</v>
      </c>
      <c r="Q1417" t="s">
        <v>1136</v>
      </c>
      <c r="R1417" t="s">
        <v>1135</v>
      </c>
      <c r="S1417">
        <v>1</v>
      </c>
      <c r="T1417" t="s">
        <v>1147</v>
      </c>
      <c r="U1417" s="11" t="str">
        <f t="shared" si="110"/>
        <v>12:14:57 AM</v>
      </c>
      <c r="BL1417" s="2" t="s">
        <v>2567</v>
      </c>
    </row>
    <row r="1418" spans="1:64" x14ac:dyDescent="0.35">
      <c r="A1418">
        <v>4555</v>
      </c>
      <c r="B1418" t="s">
        <v>31</v>
      </c>
      <c r="C1418" s="1">
        <v>45517</v>
      </c>
      <c r="D1418" t="s">
        <v>34</v>
      </c>
      <c r="E1418" t="s">
        <v>38</v>
      </c>
      <c r="F1418">
        <v>1</v>
      </c>
      <c r="G1418">
        <v>2053.42</v>
      </c>
      <c r="H1418">
        <v>2053.42</v>
      </c>
      <c r="I1418">
        <v>410.85</v>
      </c>
      <c r="J1418">
        <v>1642.57</v>
      </c>
      <c r="K1418">
        <v>290</v>
      </c>
      <c r="L1418" s="11">
        <v>0.78576388888888893</v>
      </c>
      <c r="M1418">
        <f t="shared" si="111"/>
        <v>13</v>
      </c>
      <c r="N1418">
        <f t="shared" si="112"/>
        <v>8</v>
      </c>
      <c r="O1418">
        <f t="shared" si="113"/>
        <v>2024</v>
      </c>
      <c r="P1418" s="4">
        <f t="shared" si="114"/>
        <v>45517</v>
      </c>
      <c r="Q1418" t="s">
        <v>1138</v>
      </c>
      <c r="R1418" t="s">
        <v>1137</v>
      </c>
      <c r="S1418">
        <v>5</v>
      </c>
      <c r="T1418" t="s">
        <v>1147</v>
      </c>
      <c r="U1418" s="11" t="str">
        <f t="shared" si="110"/>
        <v>06:51:30 PM</v>
      </c>
      <c r="BL1418" s="2" t="s">
        <v>2568</v>
      </c>
    </row>
    <row r="1419" spans="1:64" x14ac:dyDescent="0.35">
      <c r="A1419">
        <v>4422</v>
      </c>
      <c r="B1419" t="s">
        <v>3</v>
      </c>
      <c r="C1419" s="1">
        <v>45820</v>
      </c>
      <c r="D1419" t="s">
        <v>27</v>
      </c>
      <c r="E1419" t="s">
        <v>18</v>
      </c>
      <c r="F1419">
        <v>2</v>
      </c>
      <c r="G1419">
        <v>1948.01</v>
      </c>
      <c r="H1419">
        <v>3896.02</v>
      </c>
      <c r="I1419">
        <v>0</v>
      </c>
      <c r="J1419">
        <v>3896.02</v>
      </c>
      <c r="K1419">
        <v>51</v>
      </c>
      <c r="L1419" s="11">
        <v>0.64280092592592597</v>
      </c>
      <c r="M1419">
        <f t="shared" si="111"/>
        <v>12</v>
      </c>
      <c r="N1419">
        <f t="shared" si="112"/>
        <v>6</v>
      </c>
      <c r="O1419">
        <f t="shared" si="113"/>
        <v>2025</v>
      </c>
      <c r="P1419" s="4">
        <f t="shared" si="114"/>
        <v>45820</v>
      </c>
      <c r="Q1419" t="s">
        <v>1134</v>
      </c>
      <c r="R1419" t="s">
        <v>1135</v>
      </c>
      <c r="S1419">
        <v>4</v>
      </c>
      <c r="T1419" t="s">
        <v>1141</v>
      </c>
      <c r="U1419" s="11" t="str">
        <f t="shared" si="110"/>
        <v>03:25:38 PM</v>
      </c>
      <c r="BL1419" s="2" t="s">
        <v>2569</v>
      </c>
    </row>
    <row r="1420" spans="1:64" x14ac:dyDescent="0.35">
      <c r="A1420">
        <v>6455</v>
      </c>
      <c r="B1420" t="s">
        <v>25</v>
      </c>
      <c r="C1420" s="1">
        <v>45380</v>
      </c>
      <c r="D1420" t="s">
        <v>34</v>
      </c>
      <c r="E1420" t="s">
        <v>37</v>
      </c>
      <c r="F1420">
        <v>3</v>
      </c>
      <c r="G1420">
        <v>2464.27</v>
      </c>
      <c r="H1420">
        <v>7392.81</v>
      </c>
      <c r="I1420">
        <v>1108.8800000000001</v>
      </c>
      <c r="J1420">
        <v>6283.93</v>
      </c>
      <c r="K1420">
        <v>131</v>
      </c>
      <c r="L1420" s="11">
        <v>2.2974537037037036E-2</v>
      </c>
      <c r="M1420">
        <f t="shared" si="111"/>
        <v>29</v>
      </c>
      <c r="N1420">
        <f t="shared" si="112"/>
        <v>3</v>
      </c>
      <c r="O1420">
        <f t="shared" si="113"/>
        <v>2024</v>
      </c>
      <c r="P1420" s="4">
        <f t="shared" si="114"/>
        <v>45380</v>
      </c>
      <c r="Q1420" t="s">
        <v>1138</v>
      </c>
      <c r="R1420" t="s">
        <v>1137</v>
      </c>
      <c r="S1420">
        <v>1</v>
      </c>
      <c r="T1420" t="s">
        <v>1142</v>
      </c>
      <c r="U1420" s="11" t="str">
        <f t="shared" si="110"/>
        <v>12:33:05 AM</v>
      </c>
      <c r="BL1420" s="2" t="s">
        <v>2570</v>
      </c>
    </row>
    <row r="1421" spans="1:64" x14ac:dyDescent="0.35">
      <c r="A1421">
        <v>1251</v>
      </c>
      <c r="B1421" t="s">
        <v>25</v>
      </c>
      <c r="C1421" s="1">
        <v>45309</v>
      </c>
      <c r="D1421" t="s">
        <v>34</v>
      </c>
      <c r="E1421" t="s">
        <v>28</v>
      </c>
      <c r="F1421">
        <v>3</v>
      </c>
      <c r="G1421">
        <v>806.76</v>
      </c>
      <c r="H1421">
        <v>2420.2800000000002</v>
      </c>
      <c r="I1421">
        <v>172.64</v>
      </c>
      <c r="J1421">
        <v>2247.64</v>
      </c>
      <c r="K1421">
        <v>170</v>
      </c>
      <c r="L1421" s="11">
        <v>8.576388888888889E-2</v>
      </c>
      <c r="M1421">
        <f t="shared" si="111"/>
        <v>18</v>
      </c>
      <c r="N1421">
        <f t="shared" si="112"/>
        <v>1</v>
      </c>
      <c r="O1421">
        <f t="shared" si="113"/>
        <v>2024</v>
      </c>
      <c r="P1421" s="4">
        <f t="shared" si="114"/>
        <v>45309</v>
      </c>
      <c r="Q1421" t="s">
        <v>1138</v>
      </c>
      <c r="R1421" t="s">
        <v>1137</v>
      </c>
      <c r="S1421">
        <v>1</v>
      </c>
      <c r="T1421" t="s">
        <v>1145</v>
      </c>
      <c r="U1421" s="11" t="str">
        <f t="shared" si="110"/>
        <v>02:03:30 AM</v>
      </c>
      <c r="BL1421" s="2" t="s">
        <v>2571</v>
      </c>
    </row>
    <row r="1422" spans="1:64" x14ac:dyDescent="0.35">
      <c r="A1422">
        <v>4113</v>
      </c>
      <c r="B1422" t="s">
        <v>3</v>
      </c>
      <c r="C1422" s="1">
        <v>45720</v>
      </c>
      <c r="D1422" t="s">
        <v>16</v>
      </c>
      <c r="E1422" t="s">
        <v>28</v>
      </c>
      <c r="F1422">
        <v>2</v>
      </c>
      <c r="G1422">
        <v>2437.71</v>
      </c>
      <c r="H1422">
        <v>4875.42</v>
      </c>
      <c r="I1422">
        <v>0</v>
      </c>
      <c r="J1422">
        <v>4875.42</v>
      </c>
      <c r="K1422">
        <v>438</v>
      </c>
      <c r="L1422" s="11">
        <v>7.3148148148148143E-2</v>
      </c>
      <c r="M1422">
        <f t="shared" si="111"/>
        <v>4</v>
      </c>
      <c r="N1422">
        <f t="shared" si="112"/>
        <v>3</v>
      </c>
      <c r="O1422">
        <f t="shared" si="113"/>
        <v>2025</v>
      </c>
      <c r="P1422" s="4">
        <f t="shared" si="114"/>
        <v>45720</v>
      </c>
      <c r="Q1422" t="s">
        <v>1138</v>
      </c>
      <c r="R1422" t="s">
        <v>1137</v>
      </c>
      <c r="S1422">
        <v>5</v>
      </c>
      <c r="T1422" t="s">
        <v>1145</v>
      </c>
      <c r="U1422" s="11" t="str">
        <f t="shared" si="110"/>
        <v>01:45:20 AM</v>
      </c>
      <c r="BL1422" s="2" t="s">
        <v>2572</v>
      </c>
    </row>
    <row r="1423" spans="1:64" x14ac:dyDescent="0.35">
      <c r="A1423">
        <v>2922</v>
      </c>
      <c r="B1423" t="s">
        <v>8</v>
      </c>
      <c r="C1423" s="1">
        <v>45725</v>
      </c>
      <c r="D1423" t="s">
        <v>11</v>
      </c>
      <c r="E1423" t="s">
        <v>37</v>
      </c>
      <c r="F1423">
        <v>1</v>
      </c>
      <c r="G1423">
        <v>670.64</v>
      </c>
      <c r="H1423">
        <v>670.64</v>
      </c>
      <c r="I1423">
        <v>100.43</v>
      </c>
      <c r="J1423">
        <v>570.21</v>
      </c>
      <c r="K1423">
        <v>379</v>
      </c>
      <c r="L1423" s="11">
        <v>0.6884837962962963</v>
      </c>
      <c r="M1423">
        <f t="shared" si="111"/>
        <v>9</v>
      </c>
      <c r="N1423">
        <f t="shared" si="112"/>
        <v>3</v>
      </c>
      <c r="O1423">
        <f t="shared" si="113"/>
        <v>2025</v>
      </c>
      <c r="P1423" s="4">
        <f t="shared" si="114"/>
        <v>45725</v>
      </c>
      <c r="Q1423" t="s">
        <v>1138</v>
      </c>
      <c r="R1423" t="s">
        <v>1137</v>
      </c>
      <c r="S1423">
        <v>4</v>
      </c>
      <c r="T1423" t="s">
        <v>1147</v>
      </c>
      <c r="U1423" s="11" t="str">
        <f t="shared" si="110"/>
        <v>04:31:25 PM</v>
      </c>
      <c r="BL1423" s="2" t="s">
        <v>2573</v>
      </c>
    </row>
    <row r="1424" spans="1:64" x14ac:dyDescent="0.35">
      <c r="A1424">
        <v>8846</v>
      </c>
      <c r="B1424" t="s">
        <v>31</v>
      </c>
      <c r="C1424" s="1">
        <v>45855</v>
      </c>
      <c r="D1424" t="s">
        <v>4</v>
      </c>
      <c r="E1424" t="s">
        <v>33</v>
      </c>
      <c r="F1424">
        <v>4</v>
      </c>
      <c r="G1424">
        <v>1619.33</v>
      </c>
      <c r="H1424">
        <v>6477.32</v>
      </c>
      <c r="I1424">
        <v>0</v>
      </c>
      <c r="J1424">
        <v>6477.32</v>
      </c>
      <c r="K1424">
        <v>494</v>
      </c>
      <c r="L1424" s="11">
        <v>0.14364583333333333</v>
      </c>
      <c r="M1424">
        <f t="shared" si="111"/>
        <v>17</v>
      </c>
      <c r="N1424">
        <f t="shared" si="112"/>
        <v>7</v>
      </c>
      <c r="O1424">
        <f t="shared" si="113"/>
        <v>2025</v>
      </c>
      <c r="P1424" s="4">
        <f t="shared" si="114"/>
        <v>45855</v>
      </c>
      <c r="Q1424" t="s">
        <v>1134</v>
      </c>
      <c r="R1424" t="s">
        <v>1137</v>
      </c>
      <c r="S1424">
        <v>1</v>
      </c>
      <c r="T1424" t="s">
        <v>1142</v>
      </c>
      <c r="U1424" s="11" t="str">
        <f t="shared" si="110"/>
        <v>03:26:51 AM</v>
      </c>
      <c r="BL1424" s="2" t="s">
        <v>2574</v>
      </c>
    </row>
    <row r="1425" spans="1:64" x14ac:dyDescent="0.35">
      <c r="A1425">
        <v>4974</v>
      </c>
      <c r="B1425" t="s">
        <v>3</v>
      </c>
      <c r="C1425" s="1">
        <v>45685</v>
      </c>
      <c r="D1425" t="s">
        <v>34</v>
      </c>
      <c r="E1425" t="s">
        <v>36</v>
      </c>
      <c r="F1425">
        <v>2</v>
      </c>
      <c r="G1425">
        <v>720.44</v>
      </c>
      <c r="H1425">
        <v>1440.88</v>
      </c>
      <c r="I1425">
        <v>215.8</v>
      </c>
      <c r="J1425">
        <v>1225.08</v>
      </c>
      <c r="K1425">
        <v>347</v>
      </c>
      <c r="L1425" s="11">
        <v>0.87283564814814818</v>
      </c>
      <c r="M1425">
        <f t="shared" si="111"/>
        <v>28</v>
      </c>
      <c r="N1425">
        <f t="shared" si="112"/>
        <v>1</v>
      </c>
      <c r="O1425">
        <f t="shared" si="113"/>
        <v>2025</v>
      </c>
      <c r="P1425" s="4">
        <f t="shared" si="114"/>
        <v>45685</v>
      </c>
      <c r="Q1425" t="s">
        <v>1134</v>
      </c>
      <c r="R1425" t="s">
        <v>1137</v>
      </c>
      <c r="S1425">
        <v>1</v>
      </c>
      <c r="T1425" t="s">
        <v>1141</v>
      </c>
      <c r="U1425" s="11" t="str">
        <f t="shared" si="110"/>
        <v>08:56:53 PM</v>
      </c>
      <c r="BL1425" s="2" t="s">
        <v>2575</v>
      </c>
    </row>
    <row r="1426" spans="1:64" x14ac:dyDescent="0.35">
      <c r="A1426">
        <v>4350</v>
      </c>
      <c r="B1426" t="s">
        <v>13</v>
      </c>
      <c r="C1426" s="1">
        <v>45453</v>
      </c>
      <c r="D1426" t="s">
        <v>17</v>
      </c>
      <c r="E1426" t="s">
        <v>5</v>
      </c>
      <c r="F1426">
        <v>3</v>
      </c>
      <c r="G1426">
        <v>826.68</v>
      </c>
      <c r="H1426">
        <v>2480.04</v>
      </c>
      <c r="I1426">
        <v>123.67</v>
      </c>
      <c r="J1426">
        <v>2356.37</v>
      </c>
      <c r="K1426">
        <v>21</v>
      </c>
      <c r="L1426" s="11">
        <v>0.84701388888888884</v>
      </c>
      <c r="M1426">
        <f t="shared" si="111"/>
        <v>10</v>
      </c>
      <c r="N1426">
        <f t="shared" si="112"/>
        <v>6</v>
      </c>
      <c r="O1426">
        <f t="shared" si="113"/>
        <v>2024</v>
      </c>
      <c r="P1426" s="4">
        <f t="shared" si="114"/>
        <v>45453</v>
      </c>
      <c r="Q1426" t="s">
        <v>1136</v>
      </c>
      <c r="R1426" t="s">
        <v>1135</v>
      </c>
      <c r="S1426">
        <v>4</v>
      </c>
      <c r="T1426" t="s">
        <v>1143</v>
      </c>
      <c r="U1426" s="11" t="str">
        <f t="shared" si="110"/>
        <v>08:19:42 PM</v>
      </c>
      <c r="BL1426" s="2" t="s">
        <v>2576</v>
      </c>
    </row>
    <row r="1427" spans="1:64" x14ac:dyDescent="0.35">
      <c r="A1427">
        <v>4921</v>
      </c>
      <c r="B1427" t="s">
        <v>15</v>
      </c>
      <c r="C1427" s="1">
        <v>45573</v>
      </c>
      <c r="D1427" t="s">
        <v>17</v>
      </c>
      <c r="E1427" t="s">
        <v>12</v>
      </c>
      <c r="F1427">
        <v>3</v>
      </c>
      <c r="G1427">
        <v>347.77</v>
      </c>
      <c r="H1427">
        <v>1043.31</v>
      </c>
      <c r="I1427">
        <v>0</v>
      </c>
      <c r="J1427">
        <v>1043.31</v>
      </c>
      <c r="K1427">
        <v>4</v>
      </c>
      <c r="L1427" s="11">
        <v>0.31873842592592594</v>
      </c>
      <c r="M1427">
        <f t="shared" si="111"/>
        <v>8</v>
      </c>
      <c r="N1427">
        <f t="shared" si="112"/>
        <v>10</v>
      </c>
      <c r="O1427">
        <f t="shared" si="113"/>
        <v>2024</v>
      </c>
      <c r="P1427" s="4">
        <f t="shared" si="114"/>
        <v>45573</v>
      </c>
      <c r="Q1427" t="s">
        <v>1139</v>
      </c>
      <c r="R1427" t="s">
        <v>1135</v>
      </c>
      <c r="S1427">
        <v>3</v>
      </c>
      <c r="T1427" t="s">
        <v>1149</v>
      </c>
      <c r="U1427" s="11" t="str">
        <f t="shared" si="110"/>
        <v>07:38:59 AM</v>
      </c>
      <c r="BL1427" s="2" t="s">
        <v>2577</v>
      </c>
    </row>
    <row r="1428" spans="1:64" x14ac:dyDescent="0.35">
      <c r="A1428">
        <v>6269</v>
      </c>
      <c r="B1428" t="s">
        <v>8</v>
      </c>
      <c r="C1428" s="1">
        <v>45747</v>
      </c>
      <c r="D1428" t="s">
        <v>34</v>
      </c>
      <c r="E1428" t="s">
        <v>30</v>
      </c>
      <c r="F1428">
        <v>5</v>
      </c>
      <c r="G1428">
        <v>2408.66</v>
      </c>
      <c r="H1428">
        <v>12043.3</v>
      </c>
      <c r="I1428">
        <v>1806.08</v>
      </c>
      <c r="J1428">
        <v>10237.219999999999</v>
      </c>
      <c r="K1428">
        <v>319</v>
      </c>
      <c r="L1428" s="11">
        <v>0.80246527777777776</v>
      </c>
      <c r="M1428">
        <f t="shared" si="111"/>
        <v>31</v>
      </c>
      <c r="N1428">
        <f t="shared" si="112"/>
        <v>3</v>
      </c>
      <c r="O1428">
        <f t="shared" si="113"/>
        <v>2025</v>
      </c>
      <c r="P1428" s="4">
        <f t="shared" si="114"/>
        <v>45747</v>
      </c>
      <c r="Q1428" t="s">
        <v>1134</v>
      </c>
      <c r="R1428" t="s">
        <v>1137</v>
      </c>
      <c r="S1428">
        <v>1</v>
      </c>
      <c r="T1428" t="s">
        <v>1148</v>
      </c>
      <c r="U1428" s="11" t="str">
        <f t="shared" si="110"/>
        <v>07:15:33 PM</v>
      </c>
      <c r="BL1428" s="2" t="s">
        <v>2578</v>
      </c>
    </row>
    <row r="1429" spans="1:64" x14ac:dyDescent="0.35">
      <c r="A1429">
        <v>5637</v>
      </c>
      <c r="B1429" t="s">
        <v>15</v>
      </c>
      <c r="C1429" s="1">
        <v>45440</v>
      </c>
      <c r="D1429" t="s">
        <v>24</v>
      </c>
      <c r="E1429" t="s">
        <v>32</v>
      </c>
      <c r="F1429">
        <v>3</v>
      </c>
      <c r="G1429">
        <v>119.52</v>
      </c>
      <c r="H1429">
        <v>358.56</v>
      </c>
      <c r="I1429">
        <v>53.95</v>
      </c>
      <c r="J1429">
        <v>304.61</v>
      </c>
      <c r="K1429">
        <v>20</v>
      </c>
      <c r="L1429" s="11">
        <v>9.4386574074074067E-2</v>
      </c>
      <c r="M1429">
        <f t="shared" si="111"/>
        <v>28</v>
      </c>
      <c r="N1429">
        <f t="shared" si="112"/>
        <v>5</v>
      </c>
      <c r="O1429">
        <f t="shared" si="113"/>
        <v>2024</v>
      </c>
      <c r="P1429" s="4">
        <f t="shared" si="114"/>
        <v>45440</v>
      </c>
      <c r="Q1429" t="s">
        <v>1134</v>
      </c>
      <c r="R1429" t="s">
        <v>1137</v>
      </c>
      <c r="S1429">
        <v>2</v>
      </c>
      <c r="T1429" t="s">
        <v>1149</v>
      </c>
      <c r="U1429" s="11" t="str">
        <f t="shared" si="110"/>
        <v>02:15:55 AM</v>
      </c>
      <c r="BL1429" s="2" t="s">
        <v>2579</v>
      </c>
    </row>
    <row r="1430" spans="1:64" x14ac:dyDescent="0.35">
      <c r="A1430">
        <v>8639</v>
      </c>
      <c r="B1430" t="s">
        <v>0</v>
      </c>
      <c r="C1430" s="1">
        <v>45559</v>
      </c>
      <c r="D1430" t="s">
        <v>1</v>
      </c>
      <c r="E1430" t="s">
        <v>37</v>
      </c>
      <c r="F1430">
        <v>3</v>
      </c>
      <c r="G1430">
        <v>94.62</v>
      </c>
      <c r="H1430">
        <v>283.86</v>
      </c>
      <c r="I1430">
        <v>166.83</v>
      </c>
      <c r="J1430">
        <v>117.03</v>
      </c>
      <c r="K1430">
        <v>180</v>
      </c>
      <c r="L1430" s="11">
        <v>0.4203587962962963</v>
      </c>
      <c r="M1430">
        <f t="shared" si="111"/>
        <v>24</v>
      </c>
      <c r="N1430">
        <f t="shared" si="112"/>
        <v>9</v>
      </c>
      <c r="O1430">
        <f t="shared" si="113"/>
        <v>2024</v>
      </c>
      <c r="P1430" s="4">
        <f t="shared" si="114"/>
        <v>45559</v>
      </c>
      <c r="Q1430" t="s">
        <v>1139</v>
      </c>
      <c r="R1430" t="s">
        <v>1137</v>
      </c>
      <c r="S1430">
        <v>4</v>
      </c>
      <c r="T1430" t="s">
        <v>1147</v>
      </c>
      <c r="U1430" s="11" t="str">
        <f t="shared" si="110"/>
        <v>10:05:19 AM</v>
      </c>
      <c r="BL1430" s="2" t="s">
        <v>2580</v>
      </c>
    </row>
    <row r="1431" spans="1:64" x14ac:dyDescent="0.35">
      <c r="A1431">
        <v>6886</v>
      </c>
      <c r="B1431" t="s">
        <v>25</v>
      </c>
      <c r="C1431" s="1">
        <v>45384</v>
      </c>
      <c r="D1431" t="s">
        <v>24</v>
      </c>
      <c r="E1431" t="s">
        <v>36</v>
      </c>
      <c r="F1431">
        <v>5</v>
      </c>
      <c r="G1431">
        <v>455.67</v>
      </c>
      <c r="H1431">
        <v>2278.35</v>
      </c>
      <c r="I1431">
        <v>455.67</v>
      </c>
      <c r="J1431">
        <v>1822.68</v>
      </c>
      <c r="K1431">
        <v>44</v>
      </c>
      <c r="L1431" s="11">
        <v>0.85629629629629633</v>
      </c>
      <c r="M1431">
        <f t="shared" si="111"/>
        <v>2</v>
      </c>
      <c r="N1431">
        <f t="shared" si="112"/>
        <v>4</v>
      </c>
      <c r="O1431">
        <f t="shared" si="113"/>
        <v>2024</v>
      </c>
      <c r="P1431" s="4">
        <f t="shared" si="114"/>
        <v>45384</v>
      </c>
      <c r="Q1431" t="s">
        <v>1134</v>
      </c>
      <c r="R1431" t="s">
        <v>1135</v>
      </c>
      <c r="S1431">
        <v>1</v>
      </c>
      <c r="T1431" t="s">
        <v>1149</v>
      </c>
      <c r="U1431" s="11" t="str">
        <f t="shared" si="110"/>
        <v>08:33:04 PM</v>
      </c>
      <c r="BL1431" s="2" t="s">
        <v>2581</v>
      </c>
    </row>
    <row r="1432" spans="1:64" x14ac:dyDescent="0.35">
      <c r="A1432">
        <v>5285</v>
      </c>
      <c r="B1432" t="s">
        <v>31</v>
      </c>
      <c r="C1432" s="1">
        <v>45424</v>
      </c>
      <c r="D1432" t="s">
        <v>9</v>
      </c>
      <c r="E1432" t="s">
        <v>32</v>
      </c>
      <c r="F1432">
        <v>3</v>
      </c>
      <c r="G1432">
        <v>609.22</v>
      </c>
      <c r="H1432">
        <v>1827.66</v>
      </c>
      <c r="I1432">
        <v>365.2</v>
      </c>
      <c r="J1432">
        <v>1462.46</v>
      </c>
      <c r="K1432">
        <v>242</v>
      </c>
      <c r="L1432" s="11">
        <v>0.6340393518518519</v>
      </c>
      <c r="M1432">
        <f t="shared" si="111"/>
        <v>12</v>
      </c>
      <c r="N1432">
        <f t="shared" si="112"/>
        <v>5</v>
      </c>
      <c r="O1432">
        <f t="shared" si="113"/>
        <v>2024</v>
      </c>
      <c r="P1432" s="4">
        <f t="shared" si="114"/>
        <v>45424</v>
      </c>
      <c r="Q1432" t="s">
        <v>1138</v>
      </c>
      <c r="R1432" t="s">
        <v>1137</v>
      </c>
      <c r="S1432">
        <v>5</v>
      </c>
      <c r="T1432" t="s">
        <v>1148</v>
      </c>
      <c r="U1432" s="11" t="str">
        <f t="shared" si="110"/>
        <v>03:13:01 PM</v>
      </c>
      <c r="BL1432" s="2" t="s">
        <v>2582</v>
      </c>
    </row>
    <row r="1433" spans="1:64" x14ac:dyDescent="0.35">
      <c r="A1433">
        <v>9401</v>
      </c>
      <c r="B1433" t="s">
        <v>13</v>
      </c>
      <c r="C1433" s="1">
        <v>45830</v>
      </c>
      <c r="D1433" t="s">
        <v>9</v>
      </c>
      <c r="E1433" t="s">
        <v>21</v>
      </c>
      <c r="F1433">
        <v>1</v>
      </c>
      <c r="G1433">
        <v>2231.87</v>
      </c>
      <c r="H1433">
        <v>2231.87</v>
      </c>
      <c r="I1433">
        <v>185.92</v>
      </c>
      <c r="J1433">
        <v>2045.95</v>
      </c>
      <c r="K1433">
        <v>471</v>
      </c>
      <c r="L1433" s="11">
        <v>7.6018518518518513E-2</v>
      </c>
      <c r="M1433">
        <f t="shared" si="111"/>
        <v>22</v>
      </c>
      <c r="N1433">
        <f t="shared" si="112"/>
        <v>6</v>
      </c>
      <c r="O1433">
        <f t="shared" si="113"/>
        <v>2025</v>
      </c>
      <c r="P1433" s="4">
        <f t="shared" si="114"/>
        <v>45830</v>
      </c>
      <c r="Q1433" t="s">
        <v>1138</v>
      </c>
      <c r="R1433" t="s">
        <v>1135</v>
      </c>
      <c r="S1433">
        <v>2</v>
      </c>
      <c r="T1433" t="s">
        <v>1143</v>
      </c>
      <c r="U1433" s="11" t="str">
        <f t="shared" si="110"/>
        <v>01:49:28 AM</v>
      </c>
      <c r="BL1433" s="2" t="s">
        <v>2583</v>
      </c>
    </row>
    <row r="1434" spans="1:64" x14ac:dyDescent="0.35">
      <c r="A1434">
        <v>9147</v>
      </c>
      <c r="B1434" t="s">
        <v>13</v>
      </c>
      <c r="C1434" s="1">
        <v>45506</v>
      </c>
      <c r="D1434" t="s">
        <v>16</v>
      </c>
      <c r="E1434" t="s">
        <v>10</v>
      </c>
      <c r="F1434">
        <v>5</v>
      </c>
      <c r="G1434">
        <v>417.49</v>
      </c>
      <c r="H1434">
        <v>2087.4499999999998</v>
      </c>
      <c r="I1434">
        <v>312.91000000000003</v>
      </c>
      <c r="J1434">
        <v>1774.54</v>
      </c>
      <c r="K1434">
        <v>393</v>
      </c>
      <c r="L1434" s="11">
        <v>0.78733796296296299</v>
      </c>
      <c r="M1434">
        <f t="shared" si="111"/>
        <v>2</v>
      </c>
      <c r="N1434">
        <f t="shared" si="112"/>
        <v>8</v>
      </c>
      <c r="O1434">
        <f t="shared" si="113"/>
        <v>2024</v>
      </c>
      <c r="P1434" s="4">
        <f t="shared" si="114"/>
        <v>45506</v>
      </c>
      <c r="Q1434" t="s">
        <v>1139</v>
      </c>
      <c r="R1434" t="s">
        <v>1137</v>
      </c>
      <c r="S1434">
        <v>1</v>
      </c>
      <c r="T1434" t="s">
        <v>1144</v>
      </c>
      <c r="U1434" s="11" t="str">
        <f t="shared" si="110"/>
        <v>06:53:46 PM</v>
      </c>
      <c r="BL1434" s="2" t="s">
        <v>2584</v>
      </c>
    </row>
    <row r="1435" spans="1:64" x14ac:dyDescent="0.35">
      <c r="A1435">
        <v>2615</v>
      </c>
      <c r="B1435" t="s">
        <v>8</v>
      </c>
      <c r="C1435" s="1">
        <v>45768</v>
      </c>
      <c r="D1435" t="s">
        <v>9</v>
      </c>
      <c r="E1435" t="s">
        <v>7</v>
      </c>
      <c r="F1435">
        <v>2</v>
      </c>
      <c r="G1435">
        <v>806.76</v>
      </c>
      <c r="H1435">
        <v>1613.52</v>
      </c>
      <c r="I1435">
        <v>390.93</v>
      </c>
      <c r="J1435">
        <v>1222.5899999999999</v>
      </c>
      <c r="K1435">
        <v>43</v>
      </c>
      <c r="L1435" s="11">
        <v>0.34800925925925924</v>
      </c>
      <c r="M1435">
        <f t="shared" si="111"/>
        <v>21</v>
      </c>
      <c r="N1435">
        <f t="shared" si="112"/>
        <v>4</v>
      </c>
      <c r="O1435">
        <f t="shared" si="113"/>
        <v>2025</v>
      </c>
      <c r="P1435" s="4">
        <f t="shared" si="114"/>
        <v>45768</v>
      </c>
      <c r="Q1435" t="s">
        <v>1136</v>
      </c>
      <c r="R1435" t="s">
        <v>1137</v>
      </c>
      <c r="S1435">
        <v>2</v>
      </c>
      <c r="T1435" t="s">
        <v>1146</v>
      </c>
      <c r="U1435" s="11" t="str">
        <f t="shared" si="110"/>
        <v>08:21:08 AM</v>
      </c>
      <c r="BL1435" s="2" t="s">
        <v>2585</v>
      </c>
    </row>
    <row r="1436" spans="1:64" x14ac:dyDescent="0.35">
      <c r="A1436">
        <v>8692</v>
      </c>
      <c r="B1436" t="s">
        <v>15</v>
      </c>
      <c r="C1436" s="1">
        <v>45736</v>
      </c>
      <c r="D1436" t="s">
        <v>27</v>
      </c>
      <c r="E1436" t="s">
        <v>18</v>
      </c>
      <c r="F1436">
        <v>4</v>
      </c>
      <c r="G1436">
        <v>1965.44</v>
      </c>
      <c r="H1436">
        <v>7861.76</v>
      </c>
      <c r="I1436">
        <v>128.65</v>
      </c>
      <c r="J1436">
        <v>7733.11</v>
      </c>
      <c r="K1436">
        <v>426</v>
      </c>
      <c r="L1436" s="11">
        <v>4.0509259259259257E-3</v>
      </c>
      <c r="M1436">
        <f t="shared" si="111"/>
        <v>20</v>
      </c>
      <c r="N1436">
        <f t="shared" si="112"/>
        <v>3</v>
      </c>
      <c r="O1436">
        <f t="shared" si="113"/>
        <v>2025</v>
      </c>
      <c r="P1436" s="4">
        <f t="shared" si="114"/>
        <v>45736</v>
      </c>
      <c r="Q1436" t="s">
        <v>1136</v>
      </c>
      <c r="R1436" t="s">
        <v>1135</v>
      </c>
      <c r="S1436">
        <v>2</v>
      </c>
      <c r="T1436" t="s">
        <v>1141</v>
      </c>
      <c r="U1436" s="11" t="str">
        <f t="shared" si="110"/>
        <v>12:05:50 AM</v>
      </c>
      <c r="BL1436" s="2" t="s">
        <v>2586</v>
      </c>
    </row>
    <row r="1437" spans="1:64" x14ac:dyDescent="0.35">
      <c r="A1437">
        <v>6246</v>
      </c>
      <c r="B1437" t="s">
        <v>15</v>
      </c>
      <c r="C1437" s="1">
        <v>45855</v>
      </c>
      <c r="D1437" t="s">
        <v>11</v>
      </c>
      <c r="E1437" t="s">
        <v>36</v>
      </c>
      <c r="F1437">
        <v>3</v>
      </c>
      <c r="G1437">
        <v>1209.31</v>
      </c>
      <c r="H1437">
        <v>3627.93</v>
      </c>
      <c r="I1437">
        <v>362.71</v>
      </c>
      <c r="J1437">
        <v>3265.22</v>
      </c>
      <c r="K1437">
        <v>218</v>
      </c>
      <c r="L1437" s="11">
        <v>0.85709490740740746</v>
      </c>
      <c r="M1437">
        <f t="shared" si="111"/>
        <v>17</v>
      </c>
      <c r="N1437">
        <f t="shared" si="112"/>
        <v>7</v>
      </c>
      <c r="O1437">
        <f t="shared" si="113"/>
        <v>2025</v>
      </c>
      <c r="P1437" s="4">
        <f t="shared" si="114"/>
        <v>45855</v>
      </c>
      <c r="Q1437" t="s">
        <v>1139</v>
      </c>
      <c r="R1437" t="s">
        <v>1135</v>
      </c>
      <c r="S1437">
        <v>3</v>
      </c>
      <c r="T1437" t="s">
        <v>1150</v>
      </c>
      <c r="U1437" s="11" t="str">
        <f t="shared" si="110"/>
        <v>08:34:13 PM</v>
      </c>
      <c r="BL1437" s="2" t="s">
        <v>2587</v>
      </c>
    </row>
    <row r="1438" spans="1:64" x14ac:dyDescent="0.35">
      <c r="A1438">
        <v>4328</v>
      </c>
      <c r="B1438" t="s">
        <v>13</v>
      </c>
      <c r="C1438" s="1">
        <v>45432</v>
      </c>
      <c r="D1438" t="s">
        <v>34</v>
      </c>
      <c r="E1438" t="s">
        <v>28</v>
      </c>
      <c r="F1438">
        <v>5</v>
      </c>
      <c r="G1438">
        <v>146.08000000000001</v>
      </c>
      <c r="H1438">
        <v>730.4</v>
      </c>
      <c r="I1438">
        <v>333.66</v>
      </c>
      <c r="J1438">
        <v>396.74</v>
      </c>
      <c r="K1438">
        <v>392</v>
      </c>
      <c r="L1438" s="11">
        <v>1.2395833333333333E-2</v>
      </c>
      <c r="M1438">
        <f t="shared" si="111"/>
        <v>20</v>
      </c>
      <c r="N1438">
        <f t="shared" si="112"/>
        <v>5</v>
      </c>
      <c r="O1438">
        <f t="shared" si="113"/>
        <v>2024</v>
      </c>
      <c r="P1438" s="4">
        <f t="shared" si="114"/>
        <v>45432</v>
      </c>
      <c r="Q1438" t="s">
        <v>1139</v>
      </c>
      <c r="R1438" t="s">
        <v>1137</v>
      </c>
      <c r="S1438">
        <v>2</v>
      </c>
      <c r="T1438" t="s">
        <v>1148</v>
      </c>
      <c r="U1438" s="11" t="str">
        <f t="shared" si="110"/>
        <v>12:17:51 AM</v>
      </c>
      <c r="BL1438" s="2" t="s">
        <v>2588</v>
      </c>
    </row>
    <row r="1439" spans="1:64" x14ac:dyDescent="0.35">
      <c r="A1439">
        <v>6126</v>
      </c>
      <c r="B1439" t="s">
        <v>19</v>
      </c>
      <c r="C1439" s="1">
        <v>45466</v>
      </c>
      <c r="D1439" t="s">
        <v>6</v>
      </c>
      <c r="E1439" t="s">
        <v>36</v>
      </c>
      <c r="F1439">
        <v>3</v>
      </c>
      <c r="G1439">
        <v>388.44</v>
      </c>
      <c r="H1439">
        <v>1165.32</v>
      </c>
      <c r="I1439">
        <v>333.66</v>
      </c>
      <c r="J1439">
        <v>831.66</v>
      </c>
      <c r="K1439">
        <v>278</v>
      </c>
      <c r="L1439" s="11">
        <v>0.13236111111111112</v>
      </c>
      <c r="M1439">
        <f t="shared" si="111"/>
        <v>23</v>
      </c>
      <c r="N1439">
        <f t="shared" si="112"/>
        <v>6</v>
      </c>
      <c r="O1439">
        <f t="shared" si="113"/>
        <v>2024</v>
      </c>
      <c r="P1439" s="4">
        <f t="shared" si="114"/>
        <v>45466</v>
      </c>
      <c r="Q1439" t="s">
        <v>1138</v>
      </c>
      <c r="R1439" t="s">
        <v>1137</v>
      </c>
      <c r="S1439">
        <v>3</v>
      </c>
      <c r="T1439" t="s">
        <v>1141</v>
      </c>
      <c r="U1439" s="11" t="str">
        <f t="shared" si="110"/>
        <v>03:10:36 AM</v>
      </c>
      <c r="BL1439" s="2" t="s">
        <v>2589</v>
      </c>
    </row>
    <row r="1440" spans="1:64" x14ac:dyDescent="0.35">
      <c r="A1440">
        <v>1749</v>
      </c>
      <c r="B1440" t="s">
        <v>13</v>
      </c>
      <c r="C1440" s="1">
        <v>45581</v>
      </c>
      <c r="D1440" t="s">
        <v>23</v>
      </c>
      <c r="E1440" t="s">
        <v>21</v>
      </c>
      <c r="F1440">
        <v>1</v>
      </c>
      <c r="G1440">
        <v>1196.03</v>
      </c>
      <c r="H1440">
        <v>1196.03</v>
      </c>
      <c r="I1440">
        <v>111.22</v>
      </c>
      <c r="J1440">
        <v>1084.81</v>
      </c>
      <c r="K1440">
        <v>390</v>
      </c>
      <c r="L1440" s="11">
        <v>0.39489583333333333</v>
      </c>
      <c r="M1440">
        <f t="shared" si="111"/>
        <v>16</v>
      </c>
      <c r="N1440">
        <f t="shared" si="112"/>
        <v>10</v>
      </c>
      <c r="O1440">
        <f t="shared" si="113"/>
        <v>2024</v>
      </c>
      <c r="P1440" s="4">
        <f t="shared" si="114"/>
        <v>45581</v>
      </c>
      <c r="Q1440" t="s">
        <v>1136</v>
      </c>
      <c r="R1440" t="s">
        <v>1137</v>
      </c>
      <c r="S1440">
        <v>4</v>
      </c>
      <c r="T1440" t="s">
        <v>1143</v>
      </c>
      <c r="U1440" s="11" t="str">
        <f t="shared" si="110"/>
        <v>09:28:39 AM</v>
      </c>
      <c r="BL1440" s="2" t="s">
        <v>2590</v>
      </c>
    </row>
    <row r="1441" spans="1:64" x14ac:dyDescent="0.35">
      <c r="A1441">
        <v>4625</v>
      </c>
      <c r="B1441" t="s">
        <v>19</v>
      </c>
      <c r="C1441" s="1">
        <v>45720</v>
      </c>
      <c r="D1441" t="s">
        <v>16</v>
      </c>
      <c r="E1441" t="s">
        <v>38</v>
      </c>
      <c r="F1441">
        <v>3</v>
      </c>
      <c r="G1441">
        <v>1513.09</v>
      </c>
      <c r="H1441">
        <v>4539.2700000000004</v>
      </c>
      <c r="I1441">
        <v>243.19</v>
      </c>
      <c r="J1441">
        <v>4296.08</v>
      </c>
      <c r="K1441">
        <v>420</v>
      </c>
      <c r="L1441" s="11">
        <v>0.8474652777777778</v>
      </c>
      <c r="M1441">
        <f t="shared" si="111"/>
        <v>4</v>
      </c>
      <c r="N1441">
        <f t="shared" si="112"/>
        <v>3</v>
      </c>
      <c r="O1441">
        <f t="shared" si="113"/>
        <v>2025</v>
      </c>
      <c r="P1441" s="4">
        <f t="shared" si="114"/>
        <v>45720</v>
      </c>
      <c r="Q1441" t="s">
        <v>1134</v>
      </c>
      <c r="R1441" t="s">
        <v>1135</v>
      </c>
      <c r="S1441">
        <v>3</v>
      </c>
      <c r="T1441" t="s">
        <v>1147</v>
      </c>
      <c r="U1441" s="11" t="str">
        <f t="shared" si="110"/>
        <v>08:20:21 PM</v>
      </c>
      <c r="BL1441" s="2" t="s">
        <v>2591</v>
      </c>
    </row>
    <row r="1442" spans="1:64" x14ac:dyDescent="0.35">
      <c r="A1442">
        <v>3390</v>
      </c>
      <c r="B1442" t="s">
        <v>25</v>
      </c>
      <c r="C1442" s="1">
        <v>45157</v>
      </c>
      <c r="D1442" t="s">
        <v>1</v>
      </c>
      <c r="E1442" t="s">
        <v>38</v>
      </c>
      <c r="F1442">
        <v>5</v>
      </c>
      <c r="G1442">
        <v>1705.65</v>
      </c>
      <c r="H1442">
        <v>8528.25</v>
      </c>
      <c r="I1442">
        <v>0</v>
      </c>
      <c r="J1442">
        <v>8528.25</v>
      </c>
      <c r="K1442">
        <v>378</v>
      </c>
      <c r="L1442" s="11">
        <v>0.5806944444444444</v>
      </c>
      <c r="M1442">
        <f t="shared" si="111"/>
        <v>19</v>
      </c>
      <c r="N1442">
        <f t="shared" si="112"/>
        <v>8</v>
      </c>
      <c r="O1442">
        <f t="shared" si="113"/>
        <v>2023</v>
      </c>
      <c r="P1442" s="4">
        <f t="shared" si="114"/>
        <v>45157</v>
      </c>
      <c r="Q1442" t="s">
        <v>1138</v>
      </c>
      <c r="R1442" t="s">
        <v>1135</v>
      </c>
      <c r="S1442">
        <v>5</v>
      </c>
      <c r="T1442" t="s">
        <v>1149</v>
      </c>
      <c r="U1442" s="11" t="str">
        <f t="shared" si="110"/>
        <v>01:56:12 PM</v>
      </c>
      <c r="BL1442" s="2" t="s">
        <v>2592</v>
      </c>
    </row>
    <row r="1443" spans="1:64" x14ac:dyDescent="0.35">
      <c r="A1443">
        <v>5272</v>
      </c>
      <c r="B1443" t="s">
        <v>31</v>
      </c>
      <c r="C1443" s="1">
        <v>45574</v>
      </c>
      <c r="D1443" t="s">
        <v>27</v>
      </c>
      <c r="E1443" t="s">
        <v>30</v>
      </c>
      <c r="F1443">
        <v>5</v>
      </c>
      <c r="G1443">
        <v>1864.18</v>
      </c>
      <c r="H1443">
        <v>9320.9</v>
      </c>
      <c r="I1443">
        <v>1864.18</v>
      </c>
      <c r="J1443">
        <v>7456.72</v>
      </c>
      <c r="K1443">
        <v>253</v>
      </c>
      <c r="L1443" s="11">
        <v>0.3691550925925926</v>
      </c>
      <c r="M1443">
        <f t="shared" si="111"/>
        <v>9</v>
      </c>
      <c r="N1443">
        <f t="shared" si="112"/>
        <v>10</v>
      </c>
      <c r="O1443">
        <f t="shared" si="113"/>
        <v>2024</v>
      </c>
      <c r="P1443" s="4">
        <f t="shared" si="114"/>
        <v>45574</v>
      </c>
      <c r="Q1443" t="s">
        <v>1139</v>
      </c>
      <c r="R1443" t="s">
        <v>1135</v>
      </c>
      <c r="S1443">
        <v>1</v>
      </c>
      <c r="T1443" t="s">
        <v>1146</v>
      </c>
      <c r="U1443" s="11" t="str">
        <f t="shared" si="110"/>
        <v>08:51:35 AM</v>
      </c>
      <c r="BL1443" s="2" t="s">
        <v>2593</v>
      </c>
    </row>
    <row r="1444" spans="1:64" x14ac:dyDescent="0.35">
      <c r="A1444">
        <v>7841</v>
      </c>
      <c r="B1444" t="s">
        <v>8</v>
      </c>
      <c r="C1444" s="1">
        <v>45374</v>
      </c>
      <c r="D1444" t="s">
        <v>24</v>
      </c>
      <c r="E1444" t="s">
        <v>26</v>
      </c>
      <c r="F1444">
        <v>1</v>
      </c>
      <c r="G1444">
        <v>2021.05</v>
      </c>
      <c r="H1444">
        <v>2021.05</v>
      </c>
      <c r="I1444">
        <v>105.41</v>
      </c>
      <c r="J1444">
        <v>1915.64</v>
      </c>
      <c r="K1444">
        <v>319</v>
      </c>
      <c r="L1444" s="11">
        <v>0.1867476851851852</v>
      </c>
      <c r="M1444">
        <f t="shared" si="111"/>
        <v>23</v>
      </c>
      <c r="N1444">
        <f t="shared" si="112"/>
        <v>3</v>
      </c>
      <c r="O1444">
        <f t="shared" si="113"/>
        <v>2024</v>
      </c>
      <c r="P1444" s="4">
        <f t="shared" si="114"/>
        <v>45374</v>
      </c>
      <c r="Q1444" t="s">
        <v>1136</v>
      </c>
      <c r="R1444" t="s">
        <v>1135</v>
      </c>
      <c r="S1444">
        <v>4</v>
      </c>
      <c r="T1444" t="s">
        <v>1143</v>
      </c>
      <c r="U1444" s="11" t="str">
        <f t="shared" si="110"/>
        <v>04:28:55 AM</v>
      </c>
      <c r="BL1444" s="2" t="s">
        <v>2594</v>
      </c>
    </row>
    <row r="1445" spans="1:64" x14ac:dyDescent="0.35">
      <c r="A1445">
        <v>3497</v>
      </c>
      <c r="B1445" t="s">
        <v>8</v>
      </c>
      <c r="C1445" s="1">
        <v>45297</v>
      </c>
      <c r="D1445" t="s">
        <v>17</v>
      </c>
      <c r="E1445" t="s">
        <v>38</v>
      </c>
      <c r="F1445">
        <v>5</v>
      </c>
      <c r="G1445">
        <v>315.39999999999998</v>
      </c>
      <c r="H1445">
        <v>1577</v>
      </c>
      <c r="I1445">
        <v>157.69999999999999</v>
      </c>
      <c r="J1445">
        <v>1419.3</v>
      </c>
      <c r="K1445">
        <v>104</v>
      </c>
      <c r="L1445" s="11">
        <v>0.94464120370370375</v>
      </c>
      <c r="M1445">
        <f t="shared" si="111"/>
        <v>6</v>
      </c>
      <c r="N1445">
        <f t="shared" si="112"/>
        <v>1</v>
      </c>
      <c r="O1445">
        <f t="shared" si="113"/>
        <v>2024</v>
      </c>
      <c r="P1445" s="4">
        <f t="shared" si="114"/>
        <v>45297</v>
      </c>
      <c r="Q1445" t="s">
        <v>1134</v>
      </c>
      <c r="R1445" t="s">
        <v>1135</v>
      </c>
      <c r="S1445">
        <v>4</v>
      </c>
      <c r="T1445" t="s">
        <v>1142</v>
      </c>
      <c r="U1445" s="11" t="str">
        <f t="shared" si="110"/>
        <v>10:40:17 PM</v>
      </c>
      <c r="BL1445" s="2" t="s">
        <v>2595</v>
      </c>
    </row>
    <row r="1446" spans="1:64" x14ac:dyDescent="0.35">
      <c r="A1446">
        <v>6404</v>
      </c>
      <c r="B1446" t="s">
        <v>20</v>
      </c>
      <c r="C1446" s="1">
        <v>45323</v>
      </c>
      <c r="D1446" t="s">
        <v>27</v>
      </c>
      <c r="E1446" t="s">
        <v>22</v>
      </c>
      <c r="F1446">
        <v>4</v>
      </c>
      <c r="G1446">
        <v>215.8</v>
      </c>
      <c r="H1446">
        <v>863.2</v>
      </c>
      <c r="I1446">
        <v>86.32</v>
      </c>
      <c r="J1446">
        <v>776.88</v>
      </c>
      <c r="K1446">
        <v>62</v>
      </c>
      <c r="L1446" s="11">
        <v>0.86219907407407403</v>
      </c>
      <c r="M1446">
        <f t="shared" si="111"/>
        <v>1</v>
      </c>
      <c r="N1446">
        <f t="shared" si="112"/>
        <v>2</v>
      </c>
      <c r="O1446">
        <f t="shared" si="113"/>
        <v>2024</v>
      </c>
      <c r="P1446" s="4">
        <f t="shared" si="114"/>
        <v>45323</v>
      </c>
      <c r="Q1446" t="s">
        <v>1134</v>
      </c>
      <c r="R1446" t="s">
        <v>1135</v>
      </c>
      <c r="S1446">
        <v>5</v>
      </c>
      <c r="T1446" t="s">
        <v>1144</v>
      </c>
      <c r="U1446" s="11" t="str">
        <f t="shared" si="110"/>
        <v>08:41:34 PM</v>
      </c>
      <c r="BL1446" s="2" t="s">
        <v>2596</v>
      </c>
    </row>
    <row r="1447" spans="1:64" x14ac:dyDescent="0.35">
      <c r="A1447">
        <v>7223</v>
      </c>
      <c r="B1447" t="s">
        <v>15</v>
      </c>
      <c r="C1447" s="1">
        <v>45587</v>
      </c>
      <c r="D1447" t="s">
        <v>23</v>
      </c>
      <c r="E1447" t="s">
        <v>14</v>
      </c>
      <c r="F1447">
        <v>5</v>
      </c>
      <c r="G1447">
        <v>708.82</v>
      </c>
      <c r="H1447">
        <v>3544.1</v>
      </c>
      <c r="I1447">
        <v>0</v>
      </c>
      <c r="J1447">
        <v>3544.1</v>
      </c>
      <c r="K1447">
        <v>313</v>
      </c>
      <c r="L1447" s="11">
        <v>4.9097222222222223E-2</v>
      </c>
      <c r="M1447">
        <f t="shared" si="111"/>
        <v>22</v>
      </c>
      <c r="N1447">
        <f t="shared" si="112"/>
        <v>10</v>
      </c>
      <c r="O1447">
        <f t="shared" si="113"/>
        <v>2024</v>
      </c>
      <c r="P1447" s="4">
        <f t="shared" si="114"/>
        <v>45587</v>
      </c>
      <c r="Q1447" t="s">
        <v>1138</v>
      </c>
      <c r="R1447" t="s">
        <v>1137</v>
      </c>
      <c r="S1447">
        <v>3</v>
      </c>
      <c r="T1447" t="s">
        <v>1148</v>
      </c>
      <c r="U1447" s="11" t="str">
        <f t="shared" si="110"/>
        <v>01:10:42 AM</v>
      </c>
      <c r="BL1447" s="2" t="s">
        <v>2597</v>
      </c>
    </row>
    <row r="1448" spans="1:64" x14ac:dyDescent="0.35">
      <c r="A1448">
        <v>5026</v>
      </c>
      <c r="B1448" t="s">
        <v>0</v>
      </c>
      <c r="C1448" s="1">
        <v>45532</v>
      </c>
      <c r="D1448" t="s">
        <v>9</v>
      </c>
      <c r="E1448" t="s">
        <v>30</v>
      </c>
      <c r="F1448">
        <v>1</v>
      </c>
      <c r="G1448">
        <v>527.04999999999995</v>
      </c>
      <c r="H1448">
        <v>527.04999999999995</v>
      </c>
      <c r="I1448">
        <v>105.41</v>
      </c>
      <c r="J1448">
        <v>421.64</v>
      </c>
      <c r="K1448">
        <v>419</v>
      </c>
      <c r="L1448" s="11">
        <v>9.4629629629629633E-2</v>
      </c>
      <c r="M1448">
        <f t="shared" si="111"/>
        <v>28</v>
      </c>
      <c r="N1448">
        <f t="shared" si="112"/>
        <v>8</v>
      </c>
      <c r="O1448">
        <f t="shared" si="113"/>
        <v>2024</v>
      </c>
      <c r="P1448" s="4">
        <f t="shared" si="114"/>
        <v>45532</v>
      </c>
      <c r="Q1448" t="s">
        <v>1136</v>
      </c>
      <c r="R1448" t="s">
        <v>1137</v>
      </c>
      <c r="S1448">
        <v>1</v>
      </c>
      <c r="T1448" t="s">
        <v>1147</v>
      </c>
      <c r="U1448" s="11" t="str">
        <f t="shared" si="110"/>
        <v>02:16:16 AM</v>
      </c>
      <c r="BL1448" s="2" t="s">
        <v>2598</v>
      </c>
    </row>
    <row r="1449" spans="1:64" x14ac:dyDescent="0.35">
      <c r="A1449">
        <v>6530</v>
      </c>
      <c r="B1449" t="s">
        <v>3</v>
      </c>
      <c r="C1449" s="1">
        <v>45344</v>
      </c>
      <c r="D1449" t="s">
        <v>27</v>
      </c>
      <c r="E1449" t="s">
        <v>33</v>
      </c>
      <c r="F1449">
        <v>4</v>
      </c>
      <c r="G1449">
        <v>1238.3599999999999</v>
      </c>
      <c r="H1449">
        <v>4953.4399999999996</v>
      </c>
      <c r="I1449">
        <v>246.51</v>
      </c>
      <c r="J1449">
        <v>4706.93</v>
      </c>
      <c r="K1449">
        <v>148</v>
      </c>
      <c r="L1449" s="11">
        <v>0.73486111111111108</v>
      </c>
      <c r="M1449">
        <f t="shared" si="111"/>
        <v>22</v>
      </c>
      <c r="N1449">
        <f t="shared" si="112"/>
        <v>2</v>
      </c>
      <c r="O1449">
        <f t="shared" si="113"/>
        <v>2024</v>
      </c>
      <c r="P1449" s="4">
        <f t="shared" si="114"/>
        <v>45344</v>
      </c>
      <c r="Q1449" t="s">
        <v>1136</v>
      </c>
      <c r="R1449" t="s">
        <v>1135</v>
      </c>
      <c r="S1449">
        <v>3</v>
      </c>
      <c r="T1449" t="s">
        <v>1142</v>
      </c>
      <c r="U1449" s="11" t="str">
        <f t="shared" si="110"/>
        <v>05:38:12 PM</v>
      </c>
      <c r="BL1449" s="2" t="s">
        <v>2599</v>
      </c>
    </row>
    <row r="1450" spans="1:64" x14ac:dyDescent="0.35">
      <c r="A1450">
        <v>9005</v>
      </c>
      <c r="B1450" t="s">
        <v>19</v>
      </c>
      <c r="C1450" s="1">
        <v>45707</v>
      </c>
      <c r="D1450" t="s">
        <v>9</v>
      </c>
      <c r="E1450" t="s">
        <v>21</v>
      </c>
      <c r="F1450">
        <v>1</v>
      </c>
      <c r="G1450">
        <v>1198.52</v>
      </c>
      <c r="H1450">
        <v>1198.52</v>
      </c>
      <c r="I1450">
        <v>239.87</v>
      </c>
      <c r="J1450">
        <v>958.65</v>
      </c>
      <c r="K1450">
        <v>416</v>
      </c>
      <c r="L1450" s="11">
        <v>0.62004629629629626</v>
      </c>
      <c r="M1450">
        <f t="shared" si="111"/>
        <v>19</v>
      </c>
      <c r="N1450">
        <f t="shared" si="112"/>
        <v>2</v>
      </c>
      <c r="O1450">
        <f t="shared" si="113"/>
        <v>2025</v>
      </c>
      <c r="P1450" s="4">
        <f t="shared" si="114"/>
        <v>45707</v>
      </c>
      <c r="Q1450" t="s">
        <v>1139</v>
      </c>
      <c r="R1450" t="s">
        <v>1137</v>
      </c>
      <c r="S1450">
        <v>2</v>
      </c>
      <c r="T1450" t="s">
        <v>1142</v>
      </c>
      <c r="U1450" s="11" t="str">
        <f t="shared" ref="U1450:U1513" si="115">TEXT(L1450,"hh:mm:ss AM/PM")</f>
        <v>02:52:52 PM</v>
      </c>
      <c r="BL1450" s="2" t="s">
        <v>2600</v>
      </c>
    </row>
    <row r="1451" spans="1:64" x14ac:dyDescent="0.35">
      <c r="A1451">
        <v>9037</v>
      </c>
      <c r="B1451" t="s">
        <v>20</v>
      </c>
      <c r="C1451" s="1">
        <v>45502</v>
      </c>
      <c r="D1451" t="s">
        <v>24</v>
      </c>
      <c r="E1451" t="s">
        <v>22</v>
      </c>
      <c r="F1451">
        <v>1</v>
      </c>
      <c r="G1451">
        <v>1440.05</v>
      </c>
      <c r="H1451">
        <v>1440.05</v>
      </c>
      <c r="I1451">
        <v>297.14</v>
      </c>
      <c r="J1451">
        <v>1142.9100000000001</v>
      </c>
      <c r="K1451">
        <v>5</v>
      </c>
      <c r="L1451" s="11">
        <v>0.43732638888888886</v>
      </c>
      <c r="M1451">
        <f t="shared" si="111"/>
        <v>29</v>
      </c>
      <c r="N1451">
        <f t="shared" si="112"/>
        <v>7</v>
      </c>
      <c r="O1451">
        <f t="shared" si="113"/>
        <v>2024</v>
      </c>
      <c r="P1451" s="4">
        <f t="shared" si="114"/>
        <v>45502</v>
      </c>
      <c r="Q1451" t="s">
        <v>1136</v>
      </c>
      <c r="R1451" t="s">
        <v>1137</v>
      </c>
      <c r="S1451">
        <v>3</v>
      </c>
      <c r="T1451" t="s">
        <v>1144</v>
      </c>
      <c r="U1451" s="11" t="str">
        <f t="shared" si="115"/>
        <v>10:29:45 AM</v>
      </c>
      <c r="BL1451" s="2" t="s">
        <v>2601</v>
      </c>
    </row>
    <row r="1452" spans="1:64" x14ac:dyDescent="0.35">
      <c r="A1452">
        <v>3756</v>
      </c>
      <c r="B1452" t="s">
        <v>15</v>
      </c>
      <c r="C1452" s="1">
        <v>45714</v>
      </c>
      <c r="D1452" t="s">
        <v>1</v>
      </c>
      <c r="E1452" t="s">
        <v>12</v>
      </c>
      <c r="F1452">
        <v>2</v>
      </c>
      <c r="G1452">
        <v>1208.48</v>
      </c>
      <c r="H1452">
        <v>2416.96</v>
      </c>
      <c r="I1452">
        <v>362.71</v>
      </c>
      <c r="J1452">
        <v>2054.25</v>
      </c>
      <c r="K1452">
        <v>370</v>
      </c>
      <c r="L1452" s="11">
        <v>0.37383101851851852</v>
      </c>
      <c r="M1452">
        <f t="shared" si="111"/>
        <v>26</v>
      </c>
      <c r="N1452">
        <f t="shared" si="112"/>
        <v>2</v>
      </c>
      <c r="O1452">
        <f t="shared" si="113"/>
        <v>2025</v>
      </c>
      <c r="P1452" s="4">
        <f t="shared" si="114"/>
        <v>45714</v>
      </c>
      <c r="Q1452" t="s">
        <v>1136</v>
      </c>
      <c r="R1452" t="s">
        <v>1135</v>
      </c>
      <c r="S1452">
        <v>4</v>
      </c>
      <c r="T1452" t="s">
        <v>1143</v>
      </c>
      <c r="U1452" s="11" t="str">
        <f t="shared" si="115"/>
        <v>08:58:19 AM</v>
      </c>
      <c r="BL1452" s="2" t="s">
        <v>2602</v>
      </c>
    </row>
    <row r="1453" spans="1:64" x14ac:dyDescent="0.35">
      <c r="A1453">
        <v>6770</v>
      </c>
      <c r="B1453" t="s">
        <v>20</v>
      </c>
      <c r="C1453" s="1">
        <v>45276</v>
      </c>
      <c r="D1453" t="s">
        <v>23</v>
      </c>
      <c r="E1453" t="s">
        <v>12</v>
      </c>
      <c r="F1453">
        <v>5</v>
      </c>
      <c r="G1453">
        <v>2142.23</v>
      </c>
      <c r="H1453">
        <v>10711.15</v>
      </c>
      <c r="I1453">
        <v>1606.88</v>
      </c>
      <c r="J1453">
        <v>9104.27</v>
      </c>
      <c r="K1453">
        <v>257</v>
      </c>
      <c r="L1453" s="11">
        <v>0.5818402777777778</v>
      </c>
      <c r="M1453">
        <f t="shared" si="111"/>
        <v>16</v>
      </c>
      <c r="N1453">
        <f t="shared" si="112"/>
        <v>12</v>
      </c>
      <c r="O1453">
        <f t="shared" si="113"/>
        <v>2023</v>
      </c>
      <c r="P1453" s="4">
        <f t="shared" si="114"/>
        <v>45276</v>
      </c>
      <c r="Q1453" t="s">
        <v>1138</v>
      </c>
      <c r="R1453" t="s">
        <v>1137</v>
      </c>
      <c r="S1453">
        <v>1</v>
      </c>
      <c r="T1453" t="s">
        <v>1144</v>
      </c>
      <c r="U1453" s="11" t="str">
        <f t="shared" si="115"/>
        <v>01:57:51 PM</v>
      </c>
      <c r="BL1453" s="2" t="s">
        <v>2603</v>
      </c>
    </row>
    <row r="1454" spans="1:64" x14ac:dyDescent="0.35">
      <c r="A1454">
        <v>3293</v>
      </c>
      <c r="B1454" t="s">
        <v>3</v>
      </c>
      <c r="C1454" s="1">
        <v>45704</v>
      </c>
      <c r="D1454" t="s">
        <v>9</v>
      </c>
      <c r="E1454" t="s">
        <v>36</v>
      </c>
      <c r="F1454">
        <v>1</v>
      </c>
      <c r="G1454">
        <v>502.15</v>
      </c>
      <c r="H1454">
        <v>502.15</v>
      </c>
      <c r="I1454">
        <v>0</v>
      </c>
      <c r="J1454">
        <v>502.15</v>
      </c>
      <c r="K1454">
        <v>77</v>
      </c>
      <c r="L1454" s="11">
        <v>0.85015046296296293</v>
      </c>
      <c r="M1454">
        <f t="shared" si="111"/>
        <v>16</v>
      </c>
      <c r="N1454">
        <f t="shared" si="112"/>
        <v>2</v>
      </c>
      <c r="O1454">
        <f t="shared" si="113"/>
        <v>2025</v>
      </c>
      <c r="P1454" s="4">
        <f t="shared" si="114"/>
        <v>45704</v>
      </c>
      <c r="Q1454" t="s">
        <v>1136</v>
      </c>
      <c r="R1454" t="s">
        <v>1135</v>
      </c>
      <c r="S1454">
        <v>3</v>
      </c>
      <c r="T1454" t="s">
        <v>1145</v>
      </c>
      <c r="U1454" s="11" t="str">
        <f t="shared" si="115"/>
        <v>08:24:13 PM</v>
      </c>
      <c r="BL1454" s="2" t="s">
        <v>2604</v>
      </c>
    </row>
    <row r="1455" spans="1:64" x14ac:dyDescent="0.35">
      <c r="A1455">
        <v>9954</v>
      </c>
      <c r="B1455" t="s">
        <v>25</v>
      </c>
      <c r="C1455" s="1">
        <v>45524</v>
      </c>
      <c r="D1455" t="s">
        <v>34</v>
      </c>
      <c r="E1455" t="s">
        <v>30</v>
      </c>
      <c r="F1455">
        <v>3</v>
      </c>
      <c r="G1455">
        <v>1971.25</v>
      </c>
      <c r="H1455">
        <v>5913.75</v>
      </c>
      <c r="I1455">
        <v>590.96</v>
      </c>
      <c r="J1455">
        <v>5322.79</v>
      </c>
      <c r="K1455">
        <v>337</v>
      </c>
      <c r="L1455" s="11">
        <v>0.77913194444444445</v>
      </c>
      <c r="M1455">
        <f t="shared" si="111"/>
        <v>20</v>
      </c>
      <c r="N1455">
        <f t="shared" si="112"/>
        <v>8</v>
      </c>
      <c r="O1455">
        <f t="shared" si="113"/>
        <v>2024</v>
      </c>
      <c r="P1455" s="4">
        <f t="shared" si="114"/>
        <v>45524</v>
      </c>
      <c r="Q1455" t="s">
        <v>1134</v>
      </c>
      <c r="R1455" t="s">
        <v>1135</v>
      </c>
      <c r="S1455">
        <v>1</v>
      </c>
      <c r="T1455" t="s">
        <v>1143</v>
      </c>
      <c r="U1455" s="11" t="str">
        <f t="shared" si="115"/>
        <v>06:41:57 PM</v>
      </c>
      <c r="BL1455" s="2" t="s">
        <v>2605</v>
      </c>
    </row>
    <row r="1456" spans="1:64" x14ac:dyDescent="0.35">
      <c r="A1456">
        <v>4015</v>
      </c>
      <c r="B1456" t="s">
        <v>0</v>
      </c>
      <c r="C1456" s="1">
        <v>45857</v>
      </c>
      <c r="D1456" t="s">
        <v>16</v>
      </c>
      <c r="E1456" t="s">
        <v>37</v>
      </c>
      <c r="F1456">
        <v>4</v>
      </c>
      <c r="G1456">
        <v>2398.6999999999998</v>
      </c>
      <c r="H1456">
        <v>9594.7999999999993</v>
      </c>
      <c r="I1456">
        <v>317.89</v>
      </c>
      <c r="J1456">
        <v>9276.91</v>
      </c>
      <c r="K1456">
        <v>310</v>
      </c>
      <c r="L1456" s="11">
        <v>0.25061342592592595</v>
      </c>
      <c r="M1456">
        <f t="shared" si="111"/>
        <v>19</v>
      </c>
      <c r="N1456">
        <f t="shared" si="112"/>
        <v>7</v>
      </c>
      <c r="O1456">
        <f t="shared" si="113"/>
        <v>2025</v>
      </c>
      <c r="P1456" s="4">
        <f t="shared" si="114"/>
        <v>45857</v>
      </c>
      <c r="Q1456" t="s">
        <v>1138</v>
      </c>
      <c r="R1456" t="s">
        <v>1137</v>
      </c>
      <c r="S1456">
        <v>1</v>
      </c>
      <c r="T1456" t="s">
        <v>1143</v>
      </c>
      <c r="U1456" s="11" t="str">
        <f t="shared" si="115"/>
        <v>06:00:53 AM</v>
      </c>
      <c r="BL1456" s="2" t="s">
        <v>2606</v>
      </c>
    </row>
    <row r="1457" spans="1:64" x14ac:dyDescent="0.35">
      <c r="A1457">
        <v>9882</v>
      </c>
      <c r="B1457" t="s">
        <v>3</v>
      </c>
      <c r="C1457" s="1">
        <v>45643</v>
      </c>
      <c r="D1457" t="s">
        <v>16</v>
      </c>
      <c r="E1457" t="s">
        <v>36</v>
      </c>
      <c r="F1457">
        <v>3</v>
      </c>
      <c r="G1457">
        <v>393.42</v>
      </c>
      <c r="H1457">
        <v>1180.26</v>
      </c>
      <c r="I1457">
        <v>288.01</v>
      </c>
      <c r="J1457">
        <v>892.25</v>
      </c>
      <c r="K1457">
        <v>165</v>
      </c>
      <c r="L1457" s="11">
        <v>0.30157407407407405</v>
      </c>
      <c r="M1457">
        <f t="shared" si="111"/>
        <v>17</v>
      </c>
      <c r="N1457">
        <f t="shared" si="112"/>
        <v>12</v>
      </c>
      <c r="O1457">
        <f t="shared" si="113"/>
        <v>2024</v>
      </c>
      <c r="P1457" s="4">
        <f t="shared" si="114"/>
        <v>45643</v>
      </c>
      <c r="Q1457" t="s">
        <v>1138</v>
      </c>
      <c r="R1457" t="s">
        <v>1135</v>
      </c>
      <c r="S1457">
        <v>2</v>
      </c>
      <c r="T1457" t="s">
        <v>1150</v>
      </c>
      <c r="U1457" s="11" t="str">
        <f t="shared" si="115"/>
        <v>07:14:16 AM</v>
      </c>
      <c r="BL1457" s="2" t="s">
        <v>2607</v>
      </c>
    </row>
    <row r="1458" spans="1:64" x14ac:dyDescent="0.35">
      <c r="A1458">
        <v>1962</v>
      </c>
      <c r="B1458" t="s">
        <v>13</v>
      </c>
      <c r="C1458" s="1">
        <v>45551</v>
      </c>
      <c r="D1458" t="s">
        <v>4</v>
      </c>
      <c r="E1458" t="s">
        <v>29</v>
      </c>
      <c r="F1458">
        <v>1</v>
      </c>
      <c r="G1458">
        <v>2133.1</v>
      </c>
      <c r="H1458">
        <v>2133.1</v>
      </c>
      <c r="I1458">
        <v>303.77999999999997</v>
      </c>
      <c r="J1458">
        <v>1829.32</v>
      </c>
      <c r="K1458">
        <v>81</v>
      </c>
      <c r="L1458" s="11">
        <v>0.73966435185185186</v>
      </c>
      <c r="M1458">
        <f t="shared" si="111"/>
        <v>16</v>
      </c>
      <c r="N1458">
        <f t="shared" si="112"/>
        <v>9</v>
      </c>
      <c r="O1458">
        <f t="shared" si="113"/>
        <v>2024</v>
      </c>
      <c r="P1458" s="4">
        <f t="shared" si="114"/>
        <v>45551</v>
      </c>
      <c r="Q1458" t="s">
        <v>1139</v>
      </c>
      <c r="R1458" t="s">
        <v>1135</v>
      </c>
      <c r="S1458">
        <v>2</v>
      </c>
      <c r="T1458" t="s">
        <v>1141</v>
      </c>
      <c r="U1458" s="11" t="str">
        <f t="shared" si="115"/>
        <v>05:45:07 PM</v>
      </c>
      <c r="BL1458" s="2" t="s">
        <v>2608</v>
      </c>
    </row>
    <row r="1459" spans="1:64" x14ac:dyDescent="0.35">
      <c r="A1459">
        <v>1554</v>
      </c>
      <c r="B1459" t="s">
        <v>15</v>
      </c>
      <c r="C1459" s="1">
        <v>45796</v>
      </c>
      <c r="D1459" t="s">
        <v>16</v>
      </c>
      <c r="E1459" t="s">
        <v>37</v>
      </c>
      <c r="F1459">
        <v>3</v>
      </c>
      <c r="G1459">
        <v>1911.49</v>
      </c>
      <c r="H1459">
        <v>5734.47</v>
      </c>
      <c r="I1459">
        <v>381.8</v>
      </c>
      <c r="J1459">
        <v>5352.67</v>
      </c>
      <c r="K1459">
        <v>395</v>
      </c>
      <c r="L1459" s="11">
        <v>3.1412037037037037E-2</v>
      </c>
      <c r="M1459">
        <f t="shared" si="111"/>
        <v>19</v>
      </c>
      <c r="N1459">
        <f t="shared" si="112"/>
        <v>5</v>
      </c>
      <c r="O1459">
        <f t="shared" si="113"/>
        <v>2025</v>
      </c>
      <c r="P1459" s="4">
        <f t="shared" si="114"/>
        <v>45796</v>
      </c>
      <c r="Q1459" t="s">
        <v>1136</v>
      </c>
      <c r="R1459" t="s">
        <v>1135</v>
      </c>
      <c r="S1459">
        <v>4</v>
      </c>
      <c r="T1459" t="s">
        <v>1142</v>
      </c>
      <c r="U1459" s="11" t="str">
        <f t="shared" si="115"/>
        <v>12:45:14 AM</v>
      </c>
      <c r="BL1459" s="2" t="s">
        <v>2609</v>
      </c>
    </row>
    <row r="1460" spans="1:64" x14ac:dyDescent="0.35">
      <c r="A1460">
        <v>2217</v>
      </c>
      <c r="B1460" t="s">
        <v>8</v>
      </c>
      <c r="C1460" s="1">
        <v>45780</v>
      </c>
      <c r="D1460" t="s">
        <v>9</v>
      </c>
      <c r="E1460" t="s">
        <v>5</v>
      </c>
      <c r="F1460">
        <v>1</v>
      </c>
      <c r="G1460">
        <v>231.57</v>
      </c>
      <c r="H1460">
        <v>231.57</v>
      </c>
      <c r="I1460">
        <v>364.37</v>
      </c>
      <c r="J1460">
        <v>-132.80000000000001</v>
      </c>
      <c r="K1460">
        <v>128</v>
      </c>
      <c r="L1460" s="11">
        <v>0.36024305555555558</v>
      </c>
      <c r="M1460">
        <f t="shared" si="111"/>
        <v>3</v>
      </c>
      <c r="N1460">
        <f t="shared" si="112"/>
        <v>5</v>
      </c>
      <c r="O1460">
        <f t="shared" si="113"/>
        <v>2025</v>
      </c>
      <c r="P1460" s="4">
        <f t="shared" si="114"/>
        <v>45780</v>
      </c>
      <c r="Q1460" t="s">
        <v>1139</v>
      </c>
      <c r="R1460" t="s">
        <v>1135</v>
      </c>
      <c r="S1460">
        <v>5</v>
      </c>
      <c r="T1460" t="s">
        <v>1149</v>
      </c>
      <c r="U1460" s="11" t="str">
        <f t="shared" si="115"/>
        <v>08:38:45 AM</v>
      </c>
      <c r="BL1460" s="2" t="s">
        <v>2610</v>
      </c>
    </row>
    <row r="1461" spans="1:64" x14ac:dyDescent="0.35">
      <c r="A1461">
        <v>1794</v>
      </c>
      <c r="B1461" t="s">
        <v>19</v>
      </c>
      <c r="C1461" s="1">
        <v>45738</v>
      </c>
      <c r="D1461" t="s">
        <v>34</v>
      </c>
      <c r="E1461" t="s">
        <v>12</v>
      </c>
      <c r="F1461">
        <v>5</v>
      </c>
      <c r="G1461">
        <v>1601.9</v>
      </c>
      <c r="H1461">
        <v>8009.5</v>
      </c>
      <c r="I1461">
        <v>1201.01</v>
      </c>
      <c r="J1461">
        <v>6808.49</v>
      </c>
      <c r="K1461">
        <v>15</v>
      </c>
      <c r="L1461" s="11">
        <v>0.42608796296296297</v>
      </c>
      <c r="M1461">
        <f t="shared" si="111"/>
        <v>22</v>
      </c>
      <c r="N1461">
        <f t="shared" si="112"/>
        <v>3</v>
      </c>
      <c r="O1461">
        <f t="shared" si="113"/>
        <v>2025</v>
      </c>
      <c r="P1461" s="4">
        <f t="shared" si="114"/>
        <v>45738</v>
      </c>
      <c r="Q1461" t="s">
        <v>1134</v>
      </c>
      <c r="R1461" t="s">
        <v>1135</v>
      </c>
      <c r="S1461">
        <v>1</v>
      </c>
      <c r="T1461" t="s">
        <v>1148</v>
      </c>
      <c r="U1461" s="11" t="str">
        <f t="shared" si="115"/>
        <v>10:13:34 AM</v>
      </c>
      <c r="BL1461" s="2" t="s">
        <v>2611</v>
      </c>
    </row>
    <row r="1462" spans="1:64" x14ac:dyDescent="0.35">
      <c r="A1462">
        <v>1104</v>
      </c>
      <c r="B1462" t="s">
        <v>0</v>
      </c>
      <c r="C1462" s="1">
        <v>45465</v>
      </c>
      <c r="D1462" t="s">
        <v>34</v>
      </c>
      <c r="E1462" t="s">
        <v>21</v>
      </c>
      <c r="F1462">
        <v>2</v>
      </c>
      <c r="G1462">
        <v>2462.61</v>
      </c>
      <c r="H1462">
        <v>4925.22</v>
      </c>
      <c r="I1462">
        <v>985.21</v>
      </c>
      <c r="J1462">
        <v>3940.01</v>
      </c>
      <c r="K1462">
        <v>293</v>
      </c>
      <c r="L1462" s="11">
        <v>0.6856944444444445</v>
      </c>
      <c r="M1462">
        <f t="shared" si="111"/>
        <v>22</v>
      </c>
      <c r="N1462">
        <f t="shared" si="112"/>
        <v>6</v>
      </c>
      <c r="O1462">
        <f t="shared" si="113"/>
        <v>2024</v>
      </c>
      <c r="P1462" s="4">
        <f t="shared" si="114"/>
        <v>45465</v>
      </c>
      <c r="Q1462" t="s">
        <v>1138</v>
      </c>
      <c r="R1462" t="s">
        <v>1135</v>
      </c>
      <c r="S1462">
        <v>5</v>
      </c>
      <c r="T1462" t="s">
        <v>1145</v>
      </c>
      <c r="U1462" s="11" t="str">
        <f t="shared" si="115"/>
        <v>04:27:24 PM</v>
      </c>
      <c r="BL1462" s="2" t="s">
        <v>2612</v>
      </c>
    </row>
    <row r="1463" spans="1:64" x14ac:dyDescent="0.35">
      <c r="A1463">
        <v>3252</v>
      </c>
      <c r="B1463" t="s">
        <v>19</v>
      </c>
      <c r="C1463" s="1">
        <v>45799</v>
      </c>
      <c r="D1463" t="s">
        <v>34</v>
      </c>
      <c r="E1463" t="s">
        <v>22</v>
      </c>
      <c r="F1463">
        <v>3</v>
      </c>
      <c r="G1463">
        <v>624.99</v>
      </c>
      <c r="H1463">
        <v>1874.97</v>
      </c>
      <c r="I1463">
        <v>187.58</v>
      </c>
      <c r="J1463">
        <v>1687.39</v>
      </c>
      <c r="K1463">
        <v>379</v>
      </c>
      <c r="L1463" s="11">
        <v>0.84212962962962967</v>
      </c>
      <c r="M1463">
        <f t="shared" si="111"/>
        <v>22</v>
      </c>
      <c r="N1463">
        <f t="shared" si="112"/>
        <v>5</v>
      </c>
      <c r="O1463">
        <f t="shared" si="113"/>
        <v>2025</v>
      </c>
      <c r="P1463" s="4">
        <f t="shared" si="114"/>
        <v>45799</v>
      </c>
      <c r="Q1463" t="s">
        <v>1138</v>
      </c>
      <c r="R1463" t="s">
        <v>1135</v>
      </c>
      <c r="S1463">
        <v>4</v>
      </c>
      <c r="T1463" t="s">
        <v>1145</v>
      </c>
      <c r="U1463" s="11" t="str">
        <f t="shared" si="115"/>
        <v>08:12:40 PM</v>
      </c>
      <c r="BL1463" s="2" t="s">
        <v>2613</v>
      </c>
    </row>
    <row r="1464" spans="1:64" x14ac:dyDescent="0.35">
      <c r="A1464">
        <v>4791</v>
      </c>
      <c r="B1464" t="s">
        <v>3</v>
      </c>
      <c r="C1464" s="1">
        <v>45197</v>
      </c>
      <c r="D1464" t="s">
        <v>6</v>
      </c>
      <c r="E1464" t="s">
        <v>32</v>
      </c>
      <c r="F1464">
        <v>5</v>
      </c>
      <c r="G1464">
        <v>140.27000000000001</v>
      </c>
      <c r="H1464">
        <v>701.35</v>
      </c>
      <c r="I1464">
        <v>140.27000000000001</v>
      </c>
      <c r="J1464">
        <v>561.08000000000004</v>
      </c>
      <c r="K1464">
        <v>491</v>
      </c>
      <c r="L1464" s="11">
        <v>9.616898148148148E-2</v>
      </c>
      <c r="M1464">
        <f t="shared" si="111"/>
        <v>28</v>
      </c>
      <c r="N1464">
        <f t="shared" si="112"/>
        <v>9</v>
      </c>
      <c r="O1464">
        <f t="shared" si="113"/>
        <v>2023</v>
      </c>
      <c r="P1464" s="4">
        <f t="shared" si="114"/>
        <v>45197</v>
      </c>
      <c r="Q1464" t="s">
        <v>1138</v>
      </c>
      <c r="R1464" t="s">
        <v>1135</v>
      </c>
      <c r="S1464">
        <v>1</v>
      </c>
      <c r="T1464" t="s">
        <v>1148</v>
      </c>
      <c r="U1464" s="11" t="str">
        <f t="shared" si="115"/>
        <v>02:18:29 AM</v>
      </c>
      <c r="BL1464" s="2" t="s">
        <v>2614</v>
      </c>
    </row>
    <row r="1465" spans="1:64" x14ac:dyDescent="0.35">
      <c r="A1465">
        <v>3474</v>
      </c>
      <c r="B1465" t="s">
        <v>20</v>
      </c>
      <c r="C1465" s="1">
        <v>45152</v>
      </c>
      <c r="D1465" t="s">
        <v>23</v>
      </c>
      <c r="E1465" t="s">
        <v>28</v>
      </c>
      <c r="F1465">
        <v>3</v>
      </c>
      <c r="G1465">
        <v>1946.35</v>
      </c>
      <c r="H1465">
        <v>5839.05</v>
      </c>
      <c r="I1465">
        <v>875.65</v>
      </c>
      <c r="J1465">
        <v>4963.3999999999996</v>
      </c>
      <c r="K1465">
        <v>290</v>
      </c>
      <c r="L1465" s="11">
        <v>0.9931712962962963</v>
      </c>
      <c r="M1465">
        <f t="shared" si="111"/>
        <v>14</v>
      </c>
      <c r="N1465">
        <f t="shared" si="112"/>
        <v>8</v>
      </c>
      <c r="O1465">
        <f t="shared" si="113"/>
        <v>2023</v>
      </c>
      <c r="P1465" s="4">
        <f t="shared" si="114"/>
        <v>45152</v>
      </c>
      <c r="Q1465" t="s">
        <v>1134</v>
      </c>
      <c r="R1465" t="s">
        <v>1137</v>
      </c>
      <c r="S1465">
        <v>1</v>
      </c>
      <c r="T1465" t="s">
        <v>1146</v>
      </c>
      <c r="U1465" s="11" t="str">
        <f t="shared" si="115"/>
        <v>11:50:10 PM</v>
      </c>
      <c r="BL1465" s="2" t="s">
        <v>2615</v>
      </c>
    </row>
    <row r="1466" spans="1:64" x14ac:dyDescent="0.35">
      <c r="A1466">
        <v>4583</v>
      </c>
      <c r="B1466" t="s">
        <v>8</v>
      </c>
      <c r="C1466" s="1">
        <v>45537</v>
      </c>
      <c r="D1466" t="s">
        <v>16</v>
      </c>
      <c r="E1466" t="s">
        <v>36</v>
      </c>
      <c r="F1466">
        <v>4</v>
      </c>
      <c r="G1466">
        <v>539.5</v>
      </c>
      <c r="H1466">
        <v>2158</v>
      </c>
      <c r="I1466">
        <v>200.03</v>
      </c>
      <c r="J1466">
        <v>1957.97</v>
      </c>
      <c r="K1466">
        <v>106</v>
      </c>
      <c r="L1466" s="11">
        <v>0.13559027777777777</v>
      </c>
      <c r="M1466">
        <f t="shared" si="111"/>
        <v>2</v>
      </c>
      <c r="N1466">
        <f t="shared" si="112"/>
        <v>9</v>
      </c>
      <c r="O1466">
        <f t="shared" si="113"/>
        <v>2024</v>
      </c>
      <c r="P1466" s="4">
        <f t="shared" si="114"/>
        <v>45537</v>
      </c>
      <c r="Q1466" t="s">
        <v>1134</v>
      </c>
      <c r="R1466" t="s">
        <v>1137</v>
      </c>
      <c r="S1466">
        <v>5</v>
      </c>
      <c r="T1466" t="s">
        <v>1144</v>
      </c>
      <c r="U1466" s="11" t="str">
        <f t="shared" si="115"/>
        <v>03:15:15 AM</v>
      </c>
      <c r="BL1466" s="2" t="s">
        <v>2616</v>
      </c>
    </row>
    <row r="1467" spans="1:64" x14ac:dyDescent="0.35">
      <c r="A1467">
        <v>8471</v>
      </c>
      <c r="B1467" t="s">
        <v>3</v>
      </c>
      <c r="C1467" s="1">
        <v>45434</v>
      </c>
      <c r="D1467" t="s">
        <v>23</v>
      </c>
      <c r="E1467" t="s">
        <v>32</v>
      </c>
      <c r="F1467">
        <v>4</v>
      </c>
      <c r="G1467">
        <v>1111.3699999999999</v>
      </c>
      <c r="H1467">
        <v>4445.4799999999996</v>
      </c>
      <c r="I1467">
        <v>108.73</v>
      </c>
      <c r="J1467">
        <v>4336.75</v>
      </c>
      <c r="K1467">
        <v>192</v>
      </c>
      <c r="L1467" s="11">
        <v>0.25107638888888889</v>
      </c>
      <c r="M1467">
        <f t="shared" si="111"/>
        <v>22</v>
      </c>
      <c r="N1467">
        <f t="shared" si="112"/>
        <v>5</v>
      </c>
      <c r="O1467">
        <f t="shared" si="113"/>
        <v>2024</v>
      </c>
      <c r="P1467" s="4">
        <f t="shared" si="114"/>
        <v>45434</v>
      </c>
      <c r="Q1467" t="s">
        <v>1139</v>
      </c>
      <c r="R1467" t="s">
        <v>1137</v>
      </c>
      <c r="S1467">
        <v>3</v>
      </c>
      <c r="T1467" t="s">
        <v>1146</v>
      </c>
      <c r="U1467" s="11" t="str">
        <f t="shared" si="115"/>
        <v>06:01:33 AM</v>
      </c>
      <c r="BL1467" s="2" t="s">
        <v>2617</v>
      </c>
    </row>
    <row r="1468" spans="1:64" x14ac:dyDescent="0.35">
      <c r="A1468">
        <v>1990</v>
      </c>
      <c r="B1468" t="s">
        <v>3</v>
      </c>
      <c r="C1468" s="1">
        <v>45624</v>
      </c>
      <c r="D1468" t="s">
        <v>24</v>
      </c>
      <c r="E1468" t="s">
        <v>38</v>
      </c>
      <c r="F1468">
        <v>1</v>
      </c>
      <c r="G1468">
        <v>1282.3499999999999</v>
      </c>
      <c r="H1468">
        <v>1282.3499999999999</v>
      </c>
      <c r="I1468">
        <v>157.69999999999999</v>
      </c>
      <c r="J1468">
        <v>1124.6500000000001</v>
      </c>
      <c r="K1468">
        <v>26</v>
      </c>
      <c r="L1468" s="11">
        <v>0.71659722222222222</v>
      </c>
      <c r="M1468">
        <f t="shared" si="111"/>
        <v>28</v>
      </c>
      <c r="N1468">
        <f t="shared" si="112"/>
        <v>11</v>
      </c>
      <c r="O1468">
        <f t="shared" si="113"/>
        <v>2024</v>
      </c>
      <c r="P1468" s="4">
        <f t="shared" si="114"/>
        <v>45624</v>
      </c>
      <c r="Q1468" t="s">
        <v>1139</v>
      </c>
      <c r="R1468" t="s">
        <v>1135</v>
      </c>
      <c r="S1468">
        <v>2</v>
      </c>
      <c r="T1468" t="s">
        <v>1146</v>
      </c>
      <c r="U1468" s="11" t="str">
        <f t="shared" si="115"/>
        <v>05:11:54 PM</v>
      </c>
      <c r="BL1468" s="2" t="s">
        <v>2618</v>
      </c>
    </row>
    <row r="1469" spans="1:64" x14ac:dyDescent="0.35">
      <c r="A1469">
        <v>8916</v>
      </c>
      <c r="B1469" t="s">
        <v>19</v>
      </c>
      <c r="C1469" s="1">
        <v>45657</v>
      </c>
      <c r="D1469" t="s">
        <v>24</v>
      </c>
      <c r="E1469" t="s">
        <v>21</v>
      </c>
      <c r="F1469">
        <v>3</v>
      </c>
      <c r="G1469">
        <v>245.68</v>
      </c>
      <c r="H1469">
        <v>737.04</v>
      </c>
      <c r="I1469">
        <v>110.39</v>
      </c>
      <c r="J1469">
        <v>626.65</v>
      </c>
      <c r="K1469">
        <v>446</v>
      </c>
      <c r="L1469" s="11">
        <v>0.14577546296296295</v>
      </c>
      <c r="M1469">
        <f t="shared" si="111"/>
        <v>31</v>
      </c>
      <c r="N1469">
        <f t="shared" si="112"/>
        <v>12</v>
      </c>
      <c r="O1469">
        <f t="shared" si="113"/>
        <v>2024</v>
      </c>
      <c r="P1469" s="4">
        <f t="shared" si="114"/>
        <v>45657</v>
      </c>
      <c r="Q1469" t="s">
        <v>1139</v>
      </c>
      <c r="R1469" t="s">
        <v>1135</v>
      </c>
      <c r="S1469">
        <v>3</v>
      </c>
      <c r="T1469" t="s">
        <v>1150</v>
      </c>
      <c r="U1469" s="11" t="str">
        <f t="shared" si="115"/>
        <v>03:29:55 AM</v>
      </c>
      <c r="BL1469" s="2" t="s">
        <v>2619</v>
      </c>
    </row>
    <row r="1470" spans="1:64" x14ac:dyDescent="0.35">
      <c r="A1470">
        <v>8993</v>
      </c>
      <c r="B1470" t="s">
        <v>0</v>
      </c>
      <c r="C1470" s="1">
        <v>45157</v>
      </c>
      <c r="D1470" t="s">
        <v>27</v>
      </c>
      <c r="E1470" t="s">
        <v>14</v>
      </c>
      <c r="F1470">
        <v>5</v>
      </c>
      <c r="G1470">
        <v>2324.83</v>
      </c>
      <c r="H1470">
        <v>11624.15</v>
      </c>
      <c r="I1470">
        <v>1162.83</v>
      </c>
      <c r="J1470">
        <v>10461.32</v>
      </c>
      <c r="K1470">
        <v>256</v>
      </c>
      <c r="L1470" s="11">
        <v>0.42160879629629627</v>
      </c>
      <c r="M1470">
        <f t="shared" si="111"/>
        <v>19</v>
      </c>
      <c r="N1470">
        <f t="shared" si="112"/>
        <v>8</v>
      </c>
      <c r="O1470">
        <f t="shared" si="113"/>
        <v>2023</v>
      </c>
      <c r="P1470" s="4">
        <f t="shared" si="114"/>
        <v>45157</v>
      </c>
      <c r="Q1470" t="s">
        <v>1136</v>
      </c>
      <c r="R1470" t="s">
        <v>1137</v>
      </c>
      <c r="S1470">
        <v>5</v>
      </c>
      <c r="T1470" t="s">
        <v>1141</v>
      </c>
      <c r="U1470" s="11" t="str">
        <f t="shared" si="115"/>
        <v>10:07:07 AM</v>
      </c>
      <c r="BL1470" s="2" t="s">
        <v>2620</v>
      </c>
    </row>
    <row r="1471" spans="1:64" x14ac:dyDescent="0.35">
      <c r="A1471">
        <v>1108</v>
      </c>
      <c r="B1471" t="s">
        <v>20</v>
      </c>
      <c r="C1471" s="1">
        <v>45558</v>
      </c>
      <c r="D1471" t="s">
        <v>27</v>
      </c>
      <c r="E1471" t="s">
        <v>38</v>
      </c>
      <c r="F1471">
        <v>5</v>
      </c>
      <c r="G1471">
        <v>1215.95</v>
      </c>
      <c r="H1471">
        <v>6079.75</v>
      </c>
      <c r="I1471">
        <v>0</v>
      </c>
      <c r="J1471">
        <v>6079.75</v>
      </c>
      <c r="K1471">
        <v>469</v>
      </c>
      <c r="L1471" s="11">
        <v>0.62491898148148151</v>
      </c>
      <c r="M1471">
        <f t="shared" si="111"/>
        <v>23</v>
      </c>
      <c r="N1471">
        <f t="shared" si="112"/>
        <v>9</v>
      </c>
      <c r="O1471">
        <f t="shared" si="113"/>
        <v>2024</v>
      </c>
      <c r="P1471" s="4">
        <f t="shared" si="114"/>
        <v>45558</v>
      </c>
      <c r="Q1471" t="s">
        <v>1138</v>
      </c>
      <c r="R1471" t="s">
        <v>1137</v>
      </c>
      <c r="S1471">
        <v>2</v>
      </c>
      <c r="T1471" t="s">
        <v>1148</v>
      </c>
      <c r="U1471" s="11" t="str">
        <f t="shared" si="115"/>
        <v>02:59:53 PM</v>
      </c>
      <c r="BL1471" s="2" t="s">
        <v>2621</v>
      </c>
    </row>
    <row r="1472" spans="1:64" x14ac:dyDescent="0.35">
      <c r="A1472">
        <v>7739</v>
      </c>
      <c r="B1472" t="s">
        <v>20</v>
      </c>
      <c r="C1472" s="1">
        <v>45154</v>
      </c>
      <c r="D1472" t="s">
        <v>1</v>
      </c>
      <c r="E1472" t="s">
        <v>10</v>
      </c>
      <c r="F1472">
        <v>4</v>
      </c>
      <c r="G1472">
        <v>710.48</v>
      </c>
      <c r="H1472">
        <v>2841.92</v>
      </c>
      <c r="I1472">
        <v>568.54999999999995</v>
      </c>
      <c r="J1472">
        <v>2273.37</v>
      </c>
      <c r="K1472">
        <v>171</v>
      </c>
      <c r="L1472" s="11">
        <v>6.204861111111111E-2</v>
      </c>
      <c r="M1472">
        <f t="shared" si="111"/>
        <v>16</v>
      </c>
      <c r="N1472">
        <f t="shared" si="112"/>
        <v>8</v>
      </c>
      <c r="O1472">
        <f t="shared" si="113"/>
        <v>2023</v>
      </c>
      <c r="P1472" s="4">
        <f t="shared" si="114"/>
        <v>45154</v>
      </c>
      <c r="Q1472" t="s">
        <v>1138</v>
      </c>
      <c r="R1472" t="s">
        <v>1137</v>
      </c>
      <c r="S1472">
        <v>3</v>
      </c>
      <c r="T1472" t="s">
        <v>1142</v>
      </c>
      <c r="U1472" s="11" t="str">
        <f t="shared" si="115"/>
        <v>01:29:21 AM</v>
      </c>
      <c r="BL1472" s="2" t="s">
        <v>2622</v>
      </c>
    </row>
    <row r="1473" spans="1:64" x14ac:dyDescent="0.35">
      <c r="A1473">
        <v>1274</v>
      </c>
      <c r="B1473" t="s">
        <v>31</v>
      </c>
      <c r="C1473" s="1">
        <v>45556</v>
      </c>
      <c r="D1473" t="s">
        <v>27</v>
      </c>
      <c r="E1473" t="s">
        <v>10</v>
      </c>
      <c r="F1473">
        <v>1</v>
      </c>
      <c r="G1473">
        <v>649.05999999999995</v>
      </c>
      <c r="H1473">
        <v>649.05999999999995</v>
      </c>
      <c r="I1473">
        <v>97.11</v>
      </c>
      <c r="J1473">
        <v>551.95000000000005</v>
      </c>
      <c r="K1473">
        <v>37</v>
      </c>
      <c r="L1473" s="11">
        <v>0.43560185185185185</v>
      </c>
      <c r="M1473">
        <f t="shared" si="111"/>
        <v>21</v>
      </c>
      <c r="N1473">
        <f t="shared" si="112"/>
        <v>9</v>
      </c>
      <c r="O1473">
        <f t="shared" si="113"/>
        <v>2024</v>
      </c>
      <c r="P1473" s="4">
        <f t="shared" si="114"/>
        <v>45556</v>
      </c>
      <c r="Q1473" t="s">
        <v>1139</v>
      </c>
      <c r="R1473" t="s">
        <v>1135</v>
      </c>
      <c r="S1473">
        <v>2</v>
      </c>
      <c r="T1473" t="s">
        <v>1148</v>
      </c>
      <c r="U1473" s="11" t="str">
        <f t="shared" si="115"/>
        <v>10:27:16 AM</v>
      </c>
      <c r="BL1473" s="2" t="s">
        <v>2623</v>
      </c>
    </row>
    <row r="1474" spans="1:64" x14ac:dyDescent="0.35">
      <c r="A1474">
        <v>5501</v>
      </c>
      <c r="B1474" t="s">
        <v>0</v>
      </c>
      <c r="C1474" s="1">
        <v>45561</v>
      </c>
      <c r="D1474" t="s">
        <v>9</v>
      </c>
      <c r="E1474" t="s">
        <v>32</v>
      </c>
      <c r="F1474">
        <v>5</v>
      </c>
      <c r="G1474">
        <v>1234.21</v>
      </c>
      <c r="H1474">
        <v>6171.05</v>
      </c>
      <c r="I1474">
        <v>0</v>
      </c>
      <c r="J1474">
        <v>6171.05</v>
      </c>
      <c r="K1474">
        <v>66</v>
      </c>
      <c r="L1474" s="11">
        <v>0.74436342592592597</v>
      </c>
      <c r="M1474">
        <f t="shared" ref="M1474:M1537" si="116">DAY(C1474)</f>
        <v>26</v>
      </c>
      <c r="N1474">
        <f t="shared" ref="N1474:N1537" si="117">MONTH(C1474)</f>
        <v>9</v>
      </c>
      <c r="O1474">
        <f t="shared" ref="O1474:O1537" si="118">YEAR(C1474)</f>
        <v>2024</v>
      </c>
      <c r="P1474" s="4">
        <f t="shared" si="114"/>
        <v>45561</v>
      </c>
      <c r="Q1474" t="s">
        <v>1138</v>
      </c>
      <c r="R1474" t="s">
        <v>1137</v>
      </c>
      <c r="S1474">
        <v>1</v>
      </c>
      <c r="T1474" t="s">
        <v>1142</v>
      </c>
      <c r="U1474" s="11" t="str">
        <f t="shared" si="115"/>
        <v>05:51:53 PM</v>
      </c>
      <c r="BL1474" s="2" t="s">
        <v>2624</v>
      </c>
    </row>
    <row r="1475" spans="1:64" x14ac:dyDescent="0.35">
      <c r="A1475">
        <v>5697</v>
      </c>
      <c r="B1475" t="s">
        <v>20</v>
      </c>
      <c r="C1475" s="1">
        <v>45158</v>
      </c>
      <c r="D1475" t="s">
        <v>4</v>
      </c>
      <c r="E1475" t="s">
        <v>29</v>
      </c>
      <c r="F1475">
        <v>4</v>
      </c>
      <c r="G1475">
        <v>1303.93</v>
      </c>
      <c r="H1475">
        <v>5215.72</v>
      </c>
      <c r="I1475">
        <v>521.24</v>
      </c>
      <c r="J1475">
        <v>4694.4799999999996</v>
      </c>
      <c r="K1475">
        <v>332</v>
      </c>
      <c r="L1475" s="11">
        <v>0.10774305555555555</v>
      </c>
      <c r="M1475">
        <f t="shared" si="116"/>
        <v>20</v>
      </c>
      <c r="N1475">
        <f t="shared" si="117"/>
        <v>8</v>
      </c>
      <c r="O1475">
        <f t="shared" si="118"/>
        <v>2023</v>
      </c>
      <c r="P1475" s="4">
        <f t="shared" ref="P1475:P1538" si="119">DATE(O1475,N1475,M1475)</f>
        <v>45158</v>
      </c>
      <c r="Q1475" t="s">
        <v>1139</v>
      </c>
      <c r="R1475" t="s">
        <v>1137</v>
      </c>
      <c r="S1475">
        <v>3</v>
      </c>
      <c r="T1475" t="s">
        <v>1149</v>
      </c>
      <c r="U1475" s="11" t="str">
        <f t="shared" si="115"/>
        <v>02:35:09 AM</v>
      </c>
      <c r="BL1475" s="2" t="s">
        <v>2625</v>
      </c>
    </row>
    <row r="1476" spans="1:64" x14ac:dyDescent="0.35">
      <c r="A1476">
        <v>9228</v>
      </c>
      <c r="B1476" t="s">
        <v>15</v>
      </c>
      <c r="C1476" s="1">
        <v>45776</v>
      </c>
      <c r="D1476" t="s">
        <v>24</v>
      </c>
      <c r="E1476" t="s">
        <v>14</v>
      </c>
      <c r="F1476">
        <v>1</v>
      </c>
      <c r="G1476">
        <v>2324</v>
      </c>
      <c r="H1476">
        <v>2324</v>
      </c>
      <c r="I1476">
        <v>284.69</v>
      </c>
      <c r="J1476">
        <v>2039.31</v>
      </c>
      <c r="K1476">
        <v>13</v>
      </c>
      <c r="L1476" s="11">
        <v>0.12774305555555557</v>
      </c>
      <c r="M1476">
        <f t="shared" si="116"/>
        <v>29</v>
      </c>
      <c r="N1476">
        <f t="shared" si="117"/>
        <v>4</v>
      </c>
      <c r="O1476">
        <f t="shared" si="118"/>
        <v>2025</v>
      </c>
      <c r="P1476" s="4">
        <f t="shared" si="119"/>
        <v>45776</v>
      </c>
      <c r="Q1476" t="s">
        <v>1136</v>
      </c>
      <c r="R1476" t="s">
        <v>1135</v>
      </c>
      <c r="S1476">
        <v>2</v>
      </c>
      <c r="T1476" t="s">
        <v>1141</v>
      </c>
      <c r="U1476" s="11" t="str">
        <f t="shared" si="115"/>
        <v>03:03:57 AM</v>
      </c>
      <c r="BL1476" s="2" t="s">
        <v>2626</v>
      </c>
    </row>
    <row r="1477" spans="1:64" x14ac:dyDescent="0.35">
      <c r="A1477">
        <v>8054</v>
      </c>
      <c r="B1477" t="s">
        <v>13</v>
      </c>
      <c r="C1477" s="1">
        <v>45771</v>
      </c>
      <c r="D1477" t="s">
        <v>16</v>
      </c>
      <c r="E1477" t="s">
        <v>28</v>
      </c>
      <c r="F1477">
        <v>5</v>
      </c>
      <c r="G1477">
        <v>1242.51</v>
      </c>
      <c r="H1477">
        <v>6212.55</v>
      </c>
      <c r="I1477">
        <v>0</v>
      </c>
      <c r="J1477">
        <v>6212.55</v>
      </c>
      <c r="K1477">
        <v>198</v>
      </c>
      <c r="L1477" s="11">
        <v>0.50741898148148146</v>
      </c>
      <c r="M1477">
        <f t="shared" si="116"/>
        <v>24</v>
      </c>
      <c r="N1477">
        <f t="shared" si="117"/>
        <v>4</v>
      </c>
      <c r="O1477">
        <f t="shared" si="118"/>
        <v>2025</v>
      </c>
      <c r="P1477" s="4">
        <f t="shared" si="119"/>
        <v>45771</v>
      </c>
      <c r="Q1477" t="s">
        <v>1136</v>
      </c>
      <c r="R1477" t="s">
        <v>1137</v>
      </c>
      <c r="S1477">
        <v>2</v>
      </c>
      <c r="T1477" t="s">
        <v>1150</v>
      </c>
      <c r="U1477" s="11" t="str">
        <f t="shared" si="115"/>
        <v>12:10:41 PM</v>
      </c>
      <c r="BL1477" s="2" t="s">
        <v>2627</v>
      </c>
    </row>
    <row r="1478" spans="1:64" x14ac:dyDescent="0.35">
      <c r="A1478">
        <v>3937</v>
      </c>
      <c r="B1478" t="s">
        <v>8</v>
      </c>
      <c r="C1478" s="1">
        <v>45228</v>
      </c>
      <c r="D1478" t="s">
        <v>9</v>
      </c>
      <c r="E1478" t="s">
        <v>5</v>
      </c>
      <c r="F1478">
        <v>5</v>
      </c>
      <c r="G1478">
        <v>414.17</v>
      </c>
      <c r="H1478">
        <v>2070.85</v>
      </c>
      <c r="I1478">
        <v>409.19</v>
      </c>
      <c r="J1478">
        <v>1661.66</v>
      </c>
      <c r="K1478">
        <v>224</v>
      </c>
      <c r="L1478" s="11">
        <v>0.38542824074074072</v>
      </c>
      <c r="M1478">
        <f t="shared" si="116"/>
        <v>29</v>
      </c>
      <c r="N1478">
        <f t="shared" si="117"/>
        <v>10</v>
      </c>
      <c r="O1478">
        <f t="shared" si="118"/>
        <v>2023</v>
      </c>
      <c r="P1478" s="4">
        <f t="shared" si="119"/>
        <v>45228</v>
      </c>
      <c r="Q1478" t="s">
        <v>1134</v>
      </c>
      <c r="R1478" t="s">
        <v>1135</v>
      </c>
      <c r="S1478">
        <v>2</v>
      </c>
      <c r="T1478" t="s">
        <v>1147</v>
      </c>
      <c r="U1478" s="11" t="str">
        <f t="shared" si="115"/>
        <v>09:15:01 AM</v>
      </c>
      <c r="BL1478" s="2" t="s">
        <v>2628</v>
      </c>
    </row>
    <row r="1479" spans="1:64" x14ac:dyDescent="0.35">
      <c r="A1479">
        <v>2578</v>
      </c>
      <c r="B1479" t="s">
        <v>25</v>
      </c>
      <c r="C1479" s="1">
        <v>45552</v>
      </c>
      <c r="D1479" t="s">
        <v>11</v>
      </c>
      <c r="E1479" t="s">
        <v>33</v>
      </c>
      <c r="F1479">
        <v>3</v>
      </c>
      <c r="G1479">
        <v>1132.95</v>
      </c>
      <c r="H1479">
        <v>3398.85</v>
      </c>
      <c r="I1479">
        <v>679.77</v>
      </c>
      <c r="J1479">
        <v>2719.08</v>
      </c>
      <c r="K1479">
        <v>29</v>
      </c>
      <c r="L1479" s="11">
        <v>0.89672453703703703</v>
      </c>
      <c r="M1479">
        <f t="shared" si="116"/>
        <v>17</v>
      </c>
      <c r="N1479">
        <f t="shared" si="117"/>
        <v>9</v>
      </c>
      <c r="O1479">
        <f t="shared" si="118"/>
        <v>2024</v>
      </c>
      <c r="P1479" s="4">
        <f t="shared" si="119"/>
        <v>45552</v>
      </c>
      <c r="Q1479" t="s">
        <v>1136</v>
      </c>
      <c r="R1479" t="s">
        <v>1135</v>
      </c>
      <c r="S1479">
        <v>3</v>
      </c>
      <c r="T1479" t="s">
        <v>1148</v>
      </c>
      <c r="U1479" s="11" t="str">
        <f t="shared" si="115"/>
        <v>09:31:17 PM</v>
      </c>
      <c r="BL1479" s="2" t="s">
        <v>2629</v>
      </c>
    </row>
    <row r="1480" spans="1:64" x14ac:dyDescent="0.35">
      <c r="A1480">
        <v>3439</v>
      </c>
      <c r="B1480" t="s">
        <v>0</v>
      </c>
      <c r="C1480" s="1">
        <v>45332</v>
      </c>
      <c r="D1480" t="s">
        <v>17</v>
      </c>
      <c r="E1480" t="s">
        <v>28</v>
      </c>
      <c r="F1480">
        <v>2</v>
      </c>
      <c r="G1480">
        <v>1076.51</v>
      </c>
      <c r="H1480">
        <v>2153.02</v>
      </c>
      <c r="I1480">
        <v>372.67</v>
      </c>
      <c r="J1480">
        <v>1780.35</v>
      </c>
      <c r="K1480">
        <v>385</v>
      </c>
      <c r="L1480" s="11">
        <v>0.19006944444444446</v>
      </c>
      <c r="M1480">
        <f t="shared" si="116"/>
        <v>10</v>
      </c>
      <c r="N1480">
        <f t="shared" si="117"/>
        <v>2</v>
      </c>
      <c r="O1480">
        <f t="shared" si="118"/>
        <v>2024</v>
      </c>
      <c r="P1480" s="4">
        <f t="shared" si="119"/>
        <v>45332</v>
      </c>
      <c r="Q1480" t="s">
        <v>1139</v>
      </c>
      <c r="R1480" t="s">
        <v>1135</v>
      </c>
      <c r="S1480">
        <v>4</v>
      </c>
      <c r="T1480" t="s">
        <v>1147</v>
      </c>
      <c r="U1480" s="11" t="str">
        <f t="shared" si="115"/>
        <v>04:33:42 AM</v>
      </c>
      <c r="BL1480" s="2" t="s">
        <v>2630</v>
      </c>
    </row>
    <row r="1481" spans="1:64" x14ac:dyDescent="0.35">
      <c r="A1481">
        <v>4144</v>
      </c>
      <c r="B1481" t="s">
        <v>31</v>
      </c>
      <c r="C1481" s="1">
        <v>45626</v>
      </c>
      <c r="D1481" t="s">
        <v>1</v>
      </c>
      <c r="E1481" t="s">
        <v>32</v>
      </c>
      <c r="F1481">
        <v>1</v>
      </c>
      <c r="G1481">
        <v>386.78</v>
      </c>
      <c r="H1481">
        <v>386.78</v>
      </c>
      <c r="I1481">
        <v>187.58</v>
      </c>
      <c r="J1481">
        <v>199.2</v>
      </c>
      <c r="K1481">
        <v>92</v>
      </c>
      <c r="L1481" s="11">
        <v>0.1683912037037037</v>
      </c>
      <c r="M1481">
        <f t="shared" si="116"/>
        <v>30</v>
      </c>
      <c r="N1481">
        <f t="shared" si="117"/>
        <v>11</v>
      </c>
      <c r="O1481">
        <f t="shared" si="118"/>
        <v>2024</v>
      </c>
      <c r="P1481" s="4">
        <f t="shared" si="119"/>
        <v>45626</v>
      </c>
      <c r="Q1481" t="s">
        <v>1136</v>
      </c>
      <c r="R1481" t="s">
        <v>1137</v>
      </c>
      <c r="S1481">
        <v>3</v>
      </c>
      <c r="T1481" t="s">
        <v>1148</v>
      </c>
      <c r="U1481" s="11" t="str">
        <f t="shared" si="115"/>
        <v>04:02:29 AM</v>
      </c>
      <c r="BL1481" s="2" t="s">
        <v>2631</v>
      </c>
    </row>
    <row r="1482" spans="1:64" x14ac:dyDescent="0.35">
      <c r="A1482">
        <v>9625</v>
      </c>
      <c r="B1482" t="s">
        <v>31</v>
      </c>
      <c r="C1482" s="1">
        <v>45341</v>
      </c>
      <c r="D1482" t="s">
        <v>24</v>
      </c>
      <c r="E1482" t="s">
        <v>30</v>
      </c>
      <c r="F1482">
        <v>5</v>
      </c>
      <c r="G1482">
        <v>1039.99</v>
      </c>
      <c r="H1482">
        <v>5199.95</v>
      </c>
      <c r="I1482">
        <v>0</v>
      </c>
      <c r="J1482">
        <v>5199.95</v>
      </c>
      <c r="K1482">
        <v>336</v>
      </c>
      <c r="L1482" s="11">
        <v>0.31850694444444444</v>
      </c>
      <c r="M1482">
        <f t="shared" si="116"/>
        <v>19</v>
      </c>
      <c r="N1482">
        <f t="shared" si="117"/>
        <v>2</v>
      </c>
      <c r="O1482">
        <f t="shared" si="118"/>
        <v>2024</v>
      </c>
      <c r="P1482" s="4">
        <f t="shared" si="119"/>
        <v>45341</v>
      </c>
      <c r="Q1482" t="s">
        <v>1134</v>
      </c>
      <c r="R1482" t="s">
        <v>1137</v>
      </c>
      <c r="S1482">
        <v>5</v>
      </c>
      <c r="T1482" t="s">
        <v>1148</v>
      </c>
      <c r="U1482" s="11" t="str">
        <f t="shared" si="115"/>
        <v>07:38:39 AM</v>
      </c>
      <c r="BL1482" s="2" t="s">
        <v>2632</v>
      </c>
    </row>
    <row r="1483" spans="1:64" x14ac:dyDescent="0.35">
      <c r="A1483">
        <v>6807</v>
      </c>
      <c r="B1483" t="s">
        <v>0</v>
      </c>
      <c r="C1483" s="1">
        <v>45352</v>
      </c>
      <c r="D1483" t="s">
        <v>4</v>
      </c>
      <c r="E1483" t="s">
        <v>2</v>
      </c>
      <c r="F1483">
        <v>5</v>
      </c>
      <c r="G1483">
        <v>577.67999999999995</v>
      </c>
      <c r="H1483">
        <v>2888.4</v>
      </c>
      <c r="I1483">
        <v>577.67999999999995</v>
      </c>
      <c r="J1483">
        <v>2310.7199999999998</v>
      </c>
      <c r="K1483">
        <v>361</v>
      </c>
      <c r="L1483" s="11">
        <v>0.67953703703703705</v>
      </c>
      <c r="M1483">
        <f t="shared" si="116"/>
        <v>1</v>
      </c>
      <c r="N1483">
        <f t="shared" si="117"/>
        <v>3</v>
      </c>
      <c r="O1483">
        <f t="shared" si="118"/>
        <v>2024</v>
      </c>
      <c r="P1483" s="4">
        <f t="shared" si="119"/>
        <v>45352</v>
      </c>
      <c r="Q1483" t="s">
        <v>1138</v>
      </c>
      <c r="R1483" t="s">
        <v>1135</v>
      </c>
      <c r="S1483">
        <v>3</v>
      </c>
      <c r="T1483" t="s">
        <v>1143</v>
      </c>
      <c r="U1483" s="11" t="str">
        <f t="shared" si="115"/>
        <v>04:18:32 PM</v>
      </c>
      <c r="BL1483" s="2" t="s">
        <v>2633</v>
      </c>
    </row>
    <row r="1484" spans="1:64" x14ac:dyDescent="0.35">
      <c r="A1484">
        <v>7502</v>
      </c>
      <c r="B1484" t="s">
        <v>15</v>
      </c>
      <c r="C1484" s="1">
        <v>45206</v>
      </c>
      <c r="D1484" t="s">
        <v>24</v>
      </c>
      <c r="E1484" t="s">
        <v>12</v>
      </c>
      <c r="F1484">
        <v>5</v>
      </c>
      <c r="G1484">
        <v>786.84</v>
      </c>
      <c r="H1484">
        <v>3934.2</v>
      </c>
      <c r="I1484">
        <v>379.31</v>
      </c>
      <c r="J1484">
        <v>3554.89</v>
      </c>
      <c r="K1484">
        <v>334</v>
      </c>
      <c r="L1484" s="11">
        <v>0.63549768518518523</v>
      </c>
      <c r="M1484">
        <f t="shared" si="116"/>
        <v>7</v>
      </c>
      <c r="N1484">
        <f t="shared" si="117"/>
        <v>10</v>
      </c>
      <c r="O1484">
        <f t="shared" si="118"/>
        <v>2023</v>
      </c>
      <c r="P1484" s="4">
        <f t="shared" si="119"/>
        <v>45206</v>
      </c>
      <c r="Q1484" t="s">
        <v>1139</v>
      </c>
      <c r="R1484" t="s">
        <v>1137</v>
      </c>
      <c r="S1484">
        <v>2</v>
      </c>
      <c r="T1484" t="s">
        <v>1141</v>
      </c>
      <c r="U1484" s="11" t="str">
        <f t="shared" si="115"/>
        <v>03:15:07 PM</v>
      </c>
      <c r="BL1484" s="2" t="s">
        <v>2634</v>
      </c>
    </row>
    <row r="1485" spans="1:64" x14ac:dyDescent="0.35">
      <c r="A1485">
        <v>7112</v>
      </c>
      <c r="B1485" t="s">
        <v>25</v>
      </c>
      <c r="C1485" s="1">
        <v>45460</v>
      </c>
      <c r="D1485" t="s">
        <v>27</v>
      </c>
      <c r="E1485" t="s">
        <v>36</v>
      </c>
      <c r="F1485">
        <v>1</v>
      </c>
      <c r="G1485">
        <v>212.48</v>
      </c>
      <c r="H1485">
        <v>212.48</v>
      </c>
      <c r="I1485">
        <v>0</v>
      </c>
      <c r="J1485">
        <v>212.48</v>
      </c>
      <c r="K1485">
        <v>461</v>
      </c>
      <c r="L1485" s="11">
        <v>0.89004629629629628</v>
      </c>
      <c r="M1485">
        <f t="shared" si="116"/>
        <v>17</v>
      </c>
      <c r="N1485">
        <f t="shared" si="117"/>
        <v>6</v>
      </c>
      <c r="O1485">
        <f t="shared" si="118"/>
        <v>2024</v>
      </c>
      <c r="P1485" s="4">
        <f t="shared" si="119"/>
        <v>45460</v>
      </c>
      <c r="Q1485" t="s">
        <v>1138</v>
      </c>
      <c r="R1485" t="s">
        <v>1137</v>
      </c>
      <c r="S1485">
        <v>1</v>
      </c>
      <c r="T1485" t="s">
        <v>1148</v>
      </c>
      <c r="U1485" s="11" t="str">
        <f t="shared" si="115"/>
        <v>09:21:40 PM</v>
      </c>
      <c r="BL1485" s="2" t="s">
        <v>2635</v>
      </c>
    </row>
    <row r="1486" spans="1:64" x14ac:dyDescent="0.35">
      <c r="A1486">
        <v>8520</v>
      </c>
      <c r="B1486" t="s">
        <v>15</v>
      </c>
      <c r="C1486" s="1">
        <v>45583</v>
      </c>
      <c r="D1486" t="s">
        <v>24</v>
      </c>
      <c r="E1486" t="s">
        <v>32</v>
      </c>
      <c r="F1486">
        <v>2</v>
      </c>
      <c r="G1486">
        <v>2277.52</v>
      </c>
      <c r="H1486">
        <v>4555.04</v>
      </c>
      <c r="I1486">
        <v>683.09</v>
      </c>
      <c r="J1486">
        <v>3871.95</v>
      </c>
      <c r="K1486">
        <v>430</v>
      </c>
      <c r="L1486" s="11">
        <v>0.44349537037037035</v>
      </c>
      <c r="M1486">
        <f t="shared" si="116"/>
        <v>18</v>
      </c>
      <c r="N1486">
        <f t="shared" si="117"/>
        <v>10</v>
      </c>
      <c r="O1486">
        <f t="shared" si="118"/>
        <v>2024</v>
      </c>
      <c r="P1486" s="4">
        <f t="shared" si="119"/>
        <v>45583</v>
      </c>
      <c r="Q1486" t="s">
        <v>1134</v>
      </c>
      <c r="R1486" t="s">
        <v>1137</v>
      </c>
      <c r="S1486">
        <v>3</v>
      </c>
      <c r="T1486" t="s">
        <v>1142</v>
      </c>
      <c r="U1486" s="11" t="str">
        <f t="shared" si="115"/>
        <v>10:38:38 AM</v>
      </c>
      <c r="BL1486" s="2" t="s">
        <v>2636</v>
      </c>
    </row>
    <row r="1487" spans="1:64" x14ac:dyDescent="0.35">
      <c r="A1487">
        <v>4984</v>
      </c>
      <c r="B1487" t="s">
        <v>3</v>
      </c>
      <c r="C1487" s="1">
        <v>45686</v>
      </c>
      <c r="D1487" t="s">
        <v>6</v>
      </c>
      <c r="E1487" t="s">
        <v>38</v>
      </c>
      <c r="F1487">
        <v>3</v>
      </c>
      <c r="G1487">
        <v>1826.83</v>
      </c>
      <c r="H1487">
        <v>5480.49</v>
      </c>
      <c r="I1487">
        <v>407.53</v>
      </c>
      <c r="J1487">
        <v>5072.96</v>
      </c>
      <c r="K1487">
        <v>403</v>
      </c>
      <c r="L1487" s="11">
        <v>0.87009259259259264</v>
      </c>
      <c r="M1487">
        <f t="shared" si="116"/>
        <v>29</v>
      </c>
      <c r="N1487">
        <f t="shared" si="117"/>
        <v>1</v>
      </c>
      <c r="O1487">
        <f t="shared" si="118"/>
        <v>2025</v>
      </c>
      <c r="P1487" s="4">
        <f t="shared" si="119"/>
        <v>45686</v>
      </c>
      <c r="Q1487" t="s">
        <v>1134</v>
      </c>
      <c r="R1487" t="s">
        <v>1137</v>
      </c>
      <c r="S1487">
        <v>3</v>
      </c>
      <c r="T1487" t="s">
        <v>1150</v>
      </c>
      <c r="U1487" s="11" t="str">
        <f t="shared" si="115"/>
        <v>08:52:56 PM</v>
      </c>
      <c r="BL1487" s="2" t="s">
        <v>2637</v>
      </c>
    </row>
    <row r="1488" spans="1:64" x14ac:dyDescent="0.35">
      <c r="A1488">
        <v>4700</v>
      </c>
      <c r="B1488" t="s">
        <v>15</v>
      </c>
      <c r="C1488" s="1">
        <v>45377</v>
      </c>
      <c r="D1488" t="s">
        <v>16</v>
      </c>
      <c r="E1488" t="s">
        <v>22</v>
      </c>
      <c r="F1488">
        <v>1</v>
      </c>
      <c r="G1488">
        <v>133.63</v>
      </c>
      <c r="H1488">
        <v>133.63</v>
      </c>
      <c r="I1488">
        <v>19.920000000000002</v>
      </c>
      <c r="J1488">
        <v>113.71</v>
      </c>
      <c r="K1488">
        <v>428</v>
      </c>
      <c r="L1488" s="11">
        <v>0.18307870370370372</v>
      </c>
      <c r="M1488">
        <f t="shared" si="116"/>
        <v>26</v>
      </c>
      <c r="N1488">
        <f t="shared" si="117"/>
        <v>3</v>
      </c>
      <c r="O1488">
        <f t="shared" si="118"/>
        <v>2024</v>
      </c>
      <c r="P1488" s="4">
        <f t="shared" si="119"/>
        <v>45377</v>
      </c>
      <c r="Q1488" t="s">
        <v>1134</v>
      </c>
      <c r="R1488" t="s">
        <v>1135</v>
      </c>
      <c r="S1488">
        <v>2</v>
      </c>
      <c r="T1488" t="s">
        <v>1145</v>
      </c>
      <c r="U1488" s="11" t="str">
        <f t="shared" si="115"/>
        <v>04:23:38 AM</v>
      </c>
      <c r="BL1488" s="2" t="s">
        <v>2638</v>
      </c>
    </row>
    <row r="1489" spans="1:64" x14ac:dyDescent="0.35">
      <c r="A1489">
        <v>2320</v>
      </c>
      <c r="B1489" t="s">
        <v>19</v>
      </c>
      <c r="C1489" s="1">
        <v>45652</v>
      </c>
      <c r="D1489" t="s">
        <v>17</v>
      </c>
      <c r="E1489" t="s">
        <v>21</v>
      </c>
      <c r="F1489">
        <v>3</v>
      </c>
      <c r="G1489">
        <v>2073.34</v>
      </c>
      <c r="H1489">
        <v>6220.02</v>
      </c>
      <c r="I1489">
        <v>932.92</v>
      </c>
      <c r="J1489">
        <v>5287.1</v>
      </c>
      <c r="K1489">
        <v>43</v>
      </c>
      <c r="L1489" s="11">
        <v>0.59136574074074078</v>
      </c>
      <c r="M1489">
        <f t="shared" si="116"/>
        <v>26</v>
      </c>
      <c r="N1489">
        <f t="shared" si="117"/>
        <v>12</v>
      </c>
      <c r="O1489">
        <f t="shared" si="118"/>
        <v>2024</v>
      </c>
      <c r="P1489" s="4">
        <f t="shared" si="119"/>
        <v>45652</v>
      </c>
      <c r="Q1489" t="s">
        <v>1138</v>
      </c>
      <c r="R1489" t="s">
        <v>1137</v>
      </c>
      <c r="S1489">
        <v>1</v>
      </c>
      <c r="T1489" t="s">
        <v>1147</v>
      </c>
      <c r="U1489" s="11" t="str">
        <f t="shared" si="115"/>
        <v>02:11:34 PM</v>
      </c>
      <c r="BL1489" s="2" t="s">
        <v>2639</v>
      </c>
    </row>
    <row r="1490" spans="1:64" x14ac:dyDescent="0.35">
      <c r="A1490">
        <v>1519</v>
      </c>
      <c r="B1490" t="s">
        <v>13</v>
      </c>
      <c r="C1490" s="1">
        <v>45217</v>
      </c>
      <c r="D1490" t="s">
        <v>34</v>
      </c>
      <c r="E1490" t="s">
        <v>28</v>
      </c>
      <c r="F1490">
        <v>4</v>
      </c>
      <c r="G1490">
        <v>1008.45</v>
      </c>
      <c r="H1490">
        <v>4033.8</v>
      </c>
      <c r="I1490">
        <v>806.76</v>
      </c>
      <c r="J1490">
        <v>3227.04</v>
      </c>
      <c r="K1490">
        <v>22</v>
      </c>
      <c r="L1490" s="11">
        <v>0.85532407407407407</v>
      </c>
      <c r="M1490">
        <f t="shared" si="116"/>
        <v>18</v>
      </c>
      <c r="N1490">
        <f t="shared" si="117"/>
        <v>10</v>
      </c>
      <c r="O1490">
        <f t="shared" si="118"/>
        <v>2023</v>
      </c>
      <c r="P1490" s="4">
        <f t="shared" si="119"/>
        <v>45217</v>
      </c>
      <c r="Q1490" t="s">
        <v>1138</v>
      </c>
      <c r="R1490" t="s">
        <v>1135</v>
      </c>
      <c r="S1490">
        <v>1</v>
      </c>
      <c r="T1490" t="s">
        <v>1149</v>
      </c>
      <c r="U1490" s="11" t="str">
        <f t="shared" si="115"/>
        <v>08:31:40 PM</v>
      </c>
      <c r="BL1490" s="2" t="s">
        <v>2640</v>
      </c>
    </row>
    <row r="1491" spans="1:64" x14ac:dyDescent="0.35">
      <c r="A1491">
        <v>7640</v>
      </c>
      <c r="B1491" t="s">
        <v>13</v>
      </c>
      <c r="C1491" s="1">
        <v>45439</v>
      </c>
      <c r="D1491" t="s">
        <v>23</v>
      </c>
      <c r="E1491" t="s">
        <v>5</v>
      </c>
      <c r="F1491">
        <v>5</v>
      </c>
      <c r="G1491">
        <v>208.33</v>
      </c>
      <c r="H1491">
        <v>1041.6500000000001</v>
      </c>
      <c r="I1491">
        <v>336.15</v>
      </c>
      <c r="J1491">
        <v>705.5</v>
      </c>
      <c r="K1491">
        <v>156</v>
      </c>
      <c r="L1491" s="11">
        <v>0.22305555555555556</v>
      </c>
      <c r="M1491">
        <f t="shared" si="116"/>
        <v>27</v>
      </c>
      <c r="N1491">
        <f t="shared" si="117"/>
        <v>5</v>
      </c>
      <c r="O1491">
        <f t="shared" si="118"/>
        <v>2024</v>
      </c>
      <c r="P1491" s="4">
        <f t="shared" si="119"/>
        <v>45439</v>
      </c>
      <c r="Q1491" t="s">
        <v>1138</v>
      </c>
      <c r="R1491" t="s">
        <v>1135</v>
      </c>
      <c r="S1491">
        <v>5</v>
      </c>
      <c r="T1491" t="s">
        <v>1150</v>
      </c>
      <c r="U1491" s="11" t="str">
        <f t="shared" si="115"/>
        <v>05:21:12 AM</v>
      </c>
      <c r="BL1491" s="2" t="s">
        <v>2641</v>
      </c>
    </row>
    <row r="1492" spans="1:64" x14ac:dyDescent="0.35">
      <c r="A1492">
        <v>7179</v>
      </c>
      <c r="B1492" t="s">
        <v>20</v>
      </c>
      <c r="C1492" s="1">
        <v>45574</v>
      </c>
      <c r="D1492" t="s">
        <v>17</v>
      </c>
      <c r="E1492" t="s">
        <v>10</v>
      </c>
      <c r="F1492">
        <v>3</v>
      </c>
      <c r="G1492">
        <v>2032.67</v>
      </c>
      <c r="H1492">
        <v>6098.01</v>
      </c>
      <c r="I1492">
        <v>195.88</v>
      </c>
      <c r="J1492">
        <v>5902.13</v>
      </c>
      <c r="K1492">
        <v>302</v>
      </c>
      <c r="L1492" s="11">
        <v>0.66298611111111116</v>
      </c>
      <c r="M1492">
        <f t="shared" si="116"/>
        <v>9</v>
      </c>
      <c r="N1492">
        <f t="shared" si="117"/>
        <v>10</v>
      </c>
      <c r="O1492">
        <f t="shared" si="118"/>
        <v>2024</v>
      </c>
      <c r="P1492" s="4">
        <f t="shared" si="119"/>
        <v>45574</v>
      </c>
      <c r="Q1492" t="s">
        <v>1138</v>
      </c>
      <c r="R1492" t="s">
        <v>1137</v>
      </c>
      <c r="S1492">
        <v>3</v>
      </c>
      <c r="T1492" t="s">
        <v>1141</v>
      </c>
      <c r="U1492" s="11" t="str">
        <f t="shared" si="115"/>
        <v>03:54:42 PM</v>
      </c>
      <c r="BL1492" s="2" t="s">
        <v>2642</v>
      </c>
    </row>
    <row r="1493" spans="1:64" x14ac:dyDescent="0.35">
      <c r="A1493">
        <v>8798</v>
      </c>
      <c r="B1493" t="s">
        <v>13</v>
      </c>
      <c r="C1493" s="1">
        <v>45188</v>
      </c>
      <c r="D1493" t="s">
        <v>9</v>
      </c>
      <c r="E1493" t="s">
        <v>29</v>
      </c>
      <c r="F1493">
        <v>1</v>
      </c>
      <c r="G1493">
        <v>1414.32</v>
      </c>
      <c r="H1493">
        <v>1414.32</v>
      </c>
      <c r="I1493">
        <v>236.55</v>
      </c>
      <c r="J1493">
        <v>1177.77</v>
      </c>
      <c r="K1493">
        <v>487</v>
      </c>
      <c r="L1493" s="11">
        <v>0.13643518518518519</v>
      </c>
      <c r="M1493">
        <f t="shared" si="116"/>
        <v>19</v>
      </c>
      <c r="N1493">
        <f t="shared" si="117"/>
        <v>9</v>
      </c>
      <c r="O1493">
        <f t="shared" si="118"/>
        <v>2023</v>
      </c>
      <c r="P1493" s="4">
        <f t="shared" si="119"/>
        <v>45188</v>
      </c>
      <c r="Q1493" t="s">
        <v>1134</v>
      </c>
      <c r="R1493" t="s">
        <v>1135</v>
      </c>
      <c r="S1493">
        <v>1</v>
      </c>
      <c r="T1493" t="s">
        <v>1148</v>
      </c>
      <c r="U1493" s="11" t="str">
        <f t="shared" si="115"/>
        <v>03:16:28 AM</v>
      </c>
      <c r="BL1493" s="2" t="s">
        <v>2643</v>
      </c>
    </row>
    <row r="1494" spans="1:64" x14ac:dyDescent="0.35">
      <c r="A1494">
        <v>1154</v>
      </c>
      <c r="B1494" t="s">
        <v>3</v>
      </c>
      <c r="C1494" s="1">
        <v>45690</v>
      </c>
      <c r="D1494" t="s">
        <v>24</v>
      </c>
      <c r="E1494" t="s">
        <v>18</v>
      </c>
      <c r="F1494">
        <v>4</v>
      </c>
      <c r="G1494">
        <v>1206.82</v>
      </c>
      <c r="H1494">
        <v>4827.28</v>
      </c>
      <c r="I1494">
        <v>965.29</v>
      </c>
      <c r="J1494">
        <v>3861.99</v>
      </c>
      <c r="K1494">
        <v>473</v>
      </c>
      <c r="L1494" s="11">
        <v>6.8923611111111116E-2</v>
      </c>
      <c r="M1494">
        <f t="shared" si="116"/>
        <v>2</v>
      </c>
      <c r="N1494">
        <f t="shared" si="117"/>
        <v>2</v>
      </c>
      <c r="O1494">
        <f t="shared" si="118"/>
        <v>2025</v>
      </c>
      <c r="P1494" s="4">
        <f t="shared" si="119"/>
        <v>45690</v>
      </c>
      <c r="Q1494" t="s">
        <v>1134</v>
      </c>
      <c r="R1494" t="s">
        <v>1137</v>
      </c>
      <c r="S1494">
        <v>1</v>
      </c>
      <c r="T1494" t="s">
        <v>1141</v>
      </c>
      <c r="U1494" s="11" t="str">
        <f t="shared" si="115"/>
        <v>01:39:15 AM</v>
      </c>
      <c r="BL1494" s="2" t="s">
        <v>2644</v>
      </c>
    </row>
    <row r="1495" spans="1:64" x14ac:dyDescent="0.35">
      <c r="A1495">
        <v>3807</v>
      </c>
      <c r="B1495" t="s">
        <v>20</v>
      </c>
      <c r="C1495" s="1">
        <v>45209</v>
      </c>
      <c r="D1495" t="s">
        <v>24</v>
      </c>
      <c r="E1495" t="s">
        <v>2</v>
      </c>
      <c r="F1495">
        <v>1</v>
      </c>
      <c r="G1495">
        <v>2486.6799999999998</v>
      </c>
      <c r="H1495">
        <v>2486.6799999999998</v>
      </c>
      <c r="I1495">
        <v>372.67</v>
      </c>
      <c r="J1495">
        <v>2114.0100000000002</v>
      </c>
      <c r="K1495">
        <v>394</v>
      </c>
      <c r="L1495" s="11">
        <v>0.51702546296296292</v>
      </c>
      <c r="M1495">
        <f t="shared" si="116"/>
        <v>10</v>
      </c>
      <c r="N1495">
        <f t="shared" si="117"/>
        <v>10</v>
      </c>
      <c r="O1495">
        <f t="shared" si="118"/>
        <v>2023</v>
      </c>
      <c r="P1495" s="4">
        <f t="shared" si="119"/>
        <v>45209</v>
      </c>
      <c r="Q1495" t="s">
        <v>1139</v>
      </c>
      <c r="R1495" t="s">
        <v>1137</v>
      </c>
      <c r="S1495">
        <v>4</v>
      </c>
      <c r="T1495" t="s">
        <v>1144</v>
      </c>
      <c r="U1495" s="11" t="str">
        <f t="shared" si="115"/>
        <v>12:24:31 PM</v>
      </c>
      <c r="BL1495" s="2" t="s">
        <v>2645</v>
      </c>
    </row>
    <row r="1496" spans="1:64" x14ac:dyDescent="0.35">
      <c r="A1496">
        <v>9189</v>
      </c>
      <c r="B1496" t="s">
        <v>13</v>
      </c>
      <c r="C1496" s="1">
        <v>45801</v>
      </c>
      <c r="D1496" t="s">
        <v>1</v>
      </c>
      <c r="E1496" t="s">
        <v>2</v>
      </c>
      <c r="F1496">
        <v>3</v>
      </c>
      <c r="G1496">
        <v>728.74</v>
      </c>
      <c r="H1496">
        <v>2186.2199999999998</v>
      </c>
      <c r="I1496">
        <v>185.09</v>
      </c>
      <c r="J1496">
        <v>2001.13</v>
      </c>
      <c r="K1496">
        <v>128</v>
      </c>
      <c r="L1496" s="11">
        <v>0.37368055555555557</v>
      </c>
      <c r="M1496">
        <f t="shared" si="116"/>
        <v>24</v>
      </c>
      <c r="N1496">
        <f t="shared" si="117"/>
        <v>5</v>
      </c>
      <c r="O1496">
        <f t="shared" si="118"/>
        <v>2025</v>
      </c>
      <c r="P1496" s="4">
        <f t="shared" si="119"/>
        <v>45801</v>
      </c>
      <c r="Q1496" t="s">
        <v>1139</v>
      </c>
      <c r="R1496" t="s">
        <v>1135</v>
      </c>
      <c r="S1496">
        <v>4</v>
      </c>
      <c r="T1496" t="s">
        <v>1148</v>
      </c>
      <c r="U1496" s="11" t="str">
        <f t="shared" si="115"/>
        <v>08:58:06 AM</v>
      </c>
      <c r="BL1496" s="2" t="s">
        <v>2646</v>
      </c>
    </row>
    <row r="1497" spans="1:64" x14ac:dyDescent="0.35">
      <c r="A1497">
        <v>8109</v>
      </c>
      <c r="B1497" t="s">
        <v>25</v>
      </c>
      <c r="C1497" s="1">
        <v>45645</v>
      </c>
      <c r="D1497" t="s">
        <v>24</v>
      </c>
      <c r="E1497" t="s">
        <v>18</v>
      </c>
      <c r="F1497">
        <v>4</v>
      </c>
      <c r="G1497">
        <v>1196.03</v>
      </c>
      <c r="H1497">
        <v>4784.12</v>
      </c>
      <c r="I1497">
        <v>478.08</v>
      </c>
      <c r="J1497">
        <v>4306.04</v>
      </c>
      <c r="K1497">
        <v>225</v>
      </c>
      <c r="L1497" s="11">
        <v>0.61781249999999999</v>
      </c>
      <c r="M1497">
        <f t="shared" si="116"/>
        <v>19</v>
      </c>
      <c r="N1497">
        <f t="shared" si="117"/>
        <v>12</v>
      </c>
      <c r="O1497">
        <f t="shared" si="118"/>
        <v>2024</v>
      </c>
      <c r="P1497" s="4">
        <f t="shared" si="119"/>
        <v>45645</v>
      </c>
      <c r="Q1497" t="s">
        <v>1138</v>
      </c>
      <c r="R1497" t="s">
        <v>1135</v>
      </c>
      <c r="S1497">
        <v>1</v>
      </c>
      <c r="T1497" t="s">
        <v>1147</v>
      </c>
      <c r="U1497" s="11" t="str">
        <f t="shared" si="115"/>
        <v>02:49:39 PM</v>
      </c>
      <c r="BL1497" s="2" t="s">
        <v>2647</v>
      </c>
    </row>
    <row r="1498" spans="1:64" x14ac:dyDescent="0.35">
      <c r="A1498">
        <v>6427</v>
      </c>
      <c r="B1498" t="s">
        <v>20</v>
      </c>
      <c r="C1498" s="1">
        <v>45584</v>
      </c>
      <c r="D1498" t="s">
        <v>11</v>
      </c>
      <c r="E1498" t="s">
        <v>37</v>
      </c>
      <c r="F1498">
        <v>5</v>
      </c>
      <c r="G1498">
        <v>606.73</v>
      </c>
      <c r="H1498">
        <v>3033.65</v>
      </c>
      <c r="I1498">
        <v>454.84</v>
      </c>
      <c r="J1498">
        <v>2578.81</v>
      </c>
      <c r="K1498">
        <v>29</v>
      </c>
      <c r="L1498" s="11">
        <v>8.0254629629629634E-2</v>
      </c>
      <c r="M1498">
        <f t="shared" si="116"/>
        <v>19</v>
      </c>
      <c r="N1498">
        <f t="shared" si="117"/>
        <v>10</v>
      </c>
      <c r="O1498">
        <f t="shared" si="118"/>
        <v>2024</v>
      </c>
      <c r="P1498" s="4">
        <f t="shared" si="119"/>
        <v>45584</v>
      </c>
      <c r="Q1498" t="s">
        <v>1136</v>
      </c>
      <c r="R1498" t="s">
        <v>1135</v>
      </c>
      <c r="S1498">
        <v>5</v>
      </c>
      <c r="T1498" t="s">
        <v>1148</v>
      </c>
      <c r="U1498" s="11" t="str">
        <f t="shared" si="115"/>
        <v>01:55:34 AM</v>
      </c>
      <c r="BL1498" s="2" t="s">
        <v>2648</v>
      </c>
    </row>
    <row r="1499" spans="1:64" x14ac:dyDescent="0.35">
      <c r="A1499">
        <v>2562</v>
      </c>
      <c r="B1499" t="s">
        <v>3</v>
      </c>
      <c r="C1499" s="1">
        <v>45840</v>
      </c>
      <c r="D1499" t="s">
        <v>11</v>
      </c>
      <c r="E1499" t="s">
        <v>32</v>
      </c>
      <c r="F1499">
        <v>4</v>
      </c>
      <c r="G1499">
        <v>514.6</v>
      </c>
      <c r="H1499">
        <v>2058.4</v>
      </c>
      <c r="I1499">
        <v>308.76</v>
      </c>
      <c r="J1499">
        <v>1749.64</v>
      </c>
      <c r="K1499">
        <v>392</v>
      </c>
      <c r="L1499" s="11">
        <v>0.93490740740740741</v>
      </c>
      <c r="M1499">
        <f t="shared" si="116"/>
        <v>2</v>
      </c>
      <c r="N1499">
        <f t="shared" si="117"/>
        <v>7</v>
      </c>
      <c r="O1499">
        <f t="shared" si="118"/>
        <v>2025</v>
      </c>
      <c r="P1499" s="4">
        <f t="shared" si="119"/>
        <v>45840</v>
      </c>
      <c r="Q1499" t="s">
        <v>1136</v>
      </c>
      <c r="R1499" t="s">
        <v>1135</v>
      </c>
      <c r="S1499">
        <v>1</v>
      </c>
      <c r="T1499" t="s">
        <v>1146</v>
      </c>
      <c r="U1499" s="11" t="str">
        <f t="shared" si="115"/>
        <v>10:26:16 PM</v>
      </c>
      <c r="BL1499" s="2" t="s">
        <v>2649</v>
      </c>
    </row>
    <row r="1500" spans="1:64" x14ac:dyDescent="0.35">
      <c r="A1500">
        <v>9653</v>
      </c>
      <c r="B1500" t="s">
        <v>15</v>
      </c>
      <c r="C1500" s="1">
        <v>45858</v>
      </c>
      <c r="D1500" t="s">
        <v>23</v>
      </c>
      <c r="E1500" t="s">
        <v>14</v>
      </c>
      <c r="F1500">
        <v>2</v>
      </c>
      <c r="G1500">
        <v>435.75</v>
      </c>
      <c r="H1500">
        <v>871.5</v>
      </c>
      <c r="I1500">
        <v>174.3</v>
      </c>
      <c r="J1500">
        <v>697.2</v>
      </c>
      <c r="K1500">
        <v>316</v>
      </c>
      <c r="L1500" s="11">
        <v>0.19055555555555556</v>
      </c>
      <c r="M1500">
        <f t="shared" si="116"/>
        <v>20</v>
      </c>
      <c r="N1500">
        <f t="shared" si="117"/>
        <v>7</v>
      </c>
      <c r="O1500">
        <f t="shared" si="118"/>
        <v>2025</v>
      </c>
      <c r="P1500" s="4">
        <f t="shared" si="119"/>
        <v>45858</v>
      </c>
      <c r="Q1500" t="s">
        <v>1134</v>
      </c>
      <c r="R1500" t="s">
        <v>1137</v>
      </c>
      <c r="S1500">
        <v>2</v>
      </c>
      <c r="T1500" t="s">
        <v>1141</v>
      </c>
      <c r="U1500" s="11" t="str">
        <f t="shared" si="115"/>
        <v>04:34:24 AM</v>
      </c>
      <c r="BL1500" s="2" t="s">
        <v>2650</v>
      </c>
    </row>
    <row r="1501" spans="1:64" x14ac:dyDescent="0.35">
      <c r="A1501">
        <v>1697</v>
      </c>
      <c r="B1501" t="s">
        <v>0</v>
      </c>
      <c r="C1501" s="1">
        <v>45323</v>
      </c>
      <c r="D1501" t="s">
        <v>16</v>
      </c>
      <c r="E1501" t="s">
        <v>29</v>
      </c>
      <c r="F1501">
        <v>2</v>
      </c>
      <c r="G1501">
        <v>1729.72</v>
      </c>
      <c r="H1501">
        <v>3459.44</v>
      </c>
      <c r="I1501">
        <v>188.41</v>
      </c>
      <c r="J1501">
        <v>3271.03</v>
      </c>
      <c r="K1501">
        <v>440</v>
      </c>
      <c r="L1501" s="11">
        <v>0.91888888888888887</v>
      </c>
      <c r="M1501">
        <f t="shared" si="116"/>
        <v>1</v>
      </c>
      <c r="N1501">
        <f t="shared" si="117"/>
        <v>2</v>
      </c>
      <c r="O1501">
        <f t="shared" si="118"/>
        <v>2024</v>
      </c>
      <c r="P1501" s="4">
        <f t="shared" si="119"/>
        <v>45323</v>
      </c>
      <c r="Q1501" t="s">
        <v>1134</v>
      </c>
      <c r="R1501" t="s">
        <v>1137</v>
      </c>
      <c r="S1501">
        <v>3</v>
      </c>
      <c r="T1501" t="s">
        <v>1148</v>
      </c>
      <c r="U1501" s="11" t="str">
        <f t="shared" si="115"/>
        <v>10:03:12 PM</v>
      </c>
      <c r="BL1501" s="2" t="s">
        <v>2651</v>
      </c>
    </row>
    <row r="1502" spans="1:64" x14ac:dyDescent="0.35">
      <c r="A1502">
        <v>4463</v>
      </c>
      <c r="B1502" t="s">
        <v>3</v>
      </c>
      <c r="C1502" s="1">
        <v>45845</v>
      </c>
      <c r="D1502" t="s">
        <v>6</v>
      </c>
      <c r="E1502" t="s">
        <v>29</v>
      </c>
      <c r="F1502">
        <v>3</v>
      </c>
      <c r="G1502">
        <v>2429.41</v>
      </c>
      <c r="H1502">
        <v>7288.23</v>
      </c>
      <c r="I1502">
        <v>321.20999999999998</v>
      </c>
      <c r="J1502">
        <v>6967.02</v>
      </c>
      <c r="K1502">
        <v>8</v>
      </c>
      <c r="L1502" s="11">
        <v>0.88320601851851854</v>
      </c>
      <c r="M1502">
        <f t="shared" si="116"/>
        <v>7</v>
      </c>
      <c r="N1502">
        <f t="shared" si="117"/>
        <v>7</v>
      </c>
      <c r="O1502">
        <f t="shared" si="118"/>
        <v>2025</v>
      </c>
      <c r="P1502" s="4">
        <f t="shared" si="119"/>
        <v>45845</v>
      </c>
      <c r="Q1502" t="s">
        <v>1134</v>
      </c>
      <c r="R1502" t="s">
        <v>1137</v>
      </c>
      <c r="S1502">
        <v>5</v>
      </c>
      <c r="T1502" t="s">
        <v>1143</v>
      </c>
      <c r="U1502" s="11" t="str">
        <f t="shared" si="115"/>
        <v>09:11:49 PM</v>
      </c>
      <c r="BL1502" s="2" t="s">
        <v>2652</v>
      </c>
    </row>
    <row r="1503" spans="1:64" x14ac:dyDescent="0.35">
      <c r="A1503">
        <v>8790</v>
      </c>
      <c r="B1503" t="s">
        <v>31</v>
      </c>
      <c r="C1503" s="1">
        <v>45355</v>
      </c>
      <c r="D1503" t="s">
        <v>11</v>
      </c>
      <c r="E1503" t="s">
        <v>38</v>
      </c>
      <c r="F1503">
        <v>1</v>
      </c>
      <c r="G1503">
        <v>1302.27</v>
      </c>
      <c r="H1503">
        <v>1302.27</v>
      </c>
      <c r="I1503">
        <v>260.62</v>
      </c>
      <c r="J1503">
        <v>1041.6500000000001</v>
      </c>
      <c r="K1503">
        <v>57</v>
      </c>
      <c r="L1503" s="11">
        <v>0.57056712962962963</v>
      </c>
      <c r="M1503">
        <f t="shared" si="116"/>
        <v>4</v>
      </c>
      <c r="N1503">
        <f t="shared" si="117"/>
        <v>3</v>
      </c>
      <c r="O1503">
        <f t="shared" si="118"/>
        <v>2024</v>
      </c>
      <c r="P1503" s="4">
        <f t="shared" si="119"/>
        <v>45355</v>
      </c>
      <c r="Q1503" t="s">
        <v>1139</v>
      </c>
      <c r="R1503" t="s">
        <v>1135</v>
      </c>
      <c r="S1503">
        <v>2</v>
      </c>
      <c r="T1503" t="s">
        <v>1150</v>
      </c>
      <c r="U1503" s="11" t="str">
        <f t="shared" si="115"/>
        <v>01:41:37 PM</v>
      </c>
      <c r="BL1503" s="2" t="s">
        <v>2653</v>
      </c>
    </row>
    <row r="1504" spans="1:64" x14ac:dyDescent="0.35">
      <c r="A1504">
        <v>1762</v>
      </c>
      <c r="B1504" t="s">
        <v>31</v>
      </c>
      <c r="C1504" s="1">
        <v>45862</v>
      </c>
      <c r="D1504" t="s">
        <v>11</v>
      </c>
      <c r="E1504" t="s">
        <v>12</v>
      </c>
      <c r="F1504">
        <v>4</v>
      </c>
      <c r="G1504">
        <v>253.98</v>
      </c>
      <c r="H1504">
        <v>1015.92</v>
      </c>
      <c r="I1504">
        <v>203.35</v>
      </c>
      <c r="J1504">
        <v>812.57</v>
      </c>
      <c r="K1504">
        <v>218</v>
      </c>
      <c r="L1504" s="11">
        <v>0.26696759259259262</v>
      </c>
      <c r="M1504">
        <f t="shared" si="116"/>
        <v>24</v>
      </c>
      <c r="N1504">
        <f t="shared" si="117"/>
        <v>7</v>
      </c>
      <c r="O1504">
        <f t="shared" si="118"/>
        <v>2025</v>
      </c>
      <c r="P1504" s="4">
        <f t="shared" si="119"/>
        <v>45862</v>
      </c>
      <c r="Q1504" t="s">
        <v>1139</v>
      </c>
      <c r="R1504" t="s">
        <v>1135</v>
      </c>
      <c r="S1504">
        <v>5</v>
      </c>
      <c r="T1504" t="s">
        <v>1144</v>
      </c>
      <c r="U1504" s="11" t="str">
        <f t="shared" si="115"/>
        <v>06:24:26 AM</v>
      </c>
      <c r="BL1504" s="2" t="s">
        <v>2654</v>
      </c>
    </row>
    <row r="1505" spans="1:64" x14ac:dyDescent="0.35">
      <c r="A1505">
        <v>2218</v>
      </c>
      <c r="B1505" t="s">
        <v>20</v>
      </c>
      <c r="C1505" s="1">
        <v>45676</v>
      </c>
      <c r="D1505" t="s">
        <v>11</v>
      </c>
      <c r="E1505" t="s">
        <v>12</v>
      </c>
      <c r="F1505">
        <v>3</v>
      </c>
      <c r="G1505">
        <v>2429.41</v>
      </c>
      <c r="H1505">
        <v>7288.23</v>
      </c>
      <c r="I1505">
        <v>728.74</v>
      </c>
      <c r="J1505">
        <v>6559.49</v>
      </c>
      <c r="K1505">
        <v>459</v>
      </c>
      <c r="L1505" s="11">
        <v>0.9505555555555556</v>
      </c>
      <c r="M1505">
        <f t="shared" si="116"/>
        <v>19</v>
      </c>
      <c r="N1505">
        <f t="shared" si="117"/>
        <v>1</v>
      </c>
      <c r="O1505">
        <f t="shared" si="118"/>
        <v>2025</v>
      </c>
      <c r="P1505" s="4">
        <f t="shared" si="119"/>
        <v>45676</v>
      </c>
      <c r="Q1505" t="s">
        <v>1134</v>
      </c>
      <c r="R1505" t="s">
        <v>1135</v>
      </c>
      <c r="S1505">
        <v>2</v>
      </c>
      <c r="T1505" t="s">
        <v>1150</v>
      </c>
      <c r="U1505" s="11" t="str">
        <f t="shared" si="115"/>
        <v>10:48:48 PM</v>
      </c>
      <c r="BL1505" s="2" t="s">
        <v>2655</v>
      </c>
    </row>
    <row r="1506" spans="1:64" x14ac:dyDescent="0.35">
      <c r="A1506">
        <v>5593</v>
      </c>
      <c r="B1506" t="s">
        <v>19</v>
      </c>
      <c r="C1506" s="1">
        <v>45843</v>
      </c>
      <c r="D1506" t="s">
        <v>17</v>
      </c>
      <c r="E1506" t="s">
        <v>28</v>
      </c>
      <c r="F1506">
        <v>2</v>
      </c>
      <c r="G1506">
        <v>968.61</v>
      </c>
      <c r="H1506">
        <v>1937.22</v>
      </c>
      <c r="I1506">
        <v>91.3</v>
      </c>
      <c r="J1506">
        <v>1845.92</v>
      </c>
      <c r="K1506">
        <v>148</v>
      </c>
      <c r="L1506" s="11">
        <v>0.14340277777777777</v>
      </c>
      <c r="M1506">
        <f t="shared" si="116"/>
        <v>5</v>
      </c>
      <c r="N1506">
        <f t="shared" si="117"/>
        <v>7</v>
      </c>
      <c r="O1506">
        <f t="shared" si="118"/>
        <v>2025</v>
      </c>
      <c r="P1506" s="4">
        <f t="shared" si="119"/>
        <v>45843</v>
      </c>
      <c r="Q1506" t="s">
        <v>1134</v>
      </c>
      <c r="R1506" t="s">
        <v>1137</v>
      </c>
      <c r="S1506">
        <v>3</v>
      </c>
      <c r="T1506" t="s">
        <v>1145</v>
      </c>
      <c r="U1506" s="11" t="str">
        <f t="shared" si="115"/>
        <v>03:26:30 AM</v>
      </c>
      <c r="BL1506" s="2" t="s">
        <v>2656</v>
      </c>
    </row>
    <row r="1507" spans="1:64" x14ac:dyDescent="0.35">
      <c r="A1507">
        <v>9897</v>
      </c>
      <c r="B1507" t="s">
        <v>31</v>
      </c>
      <c r="C1507" s="1">
        <v>45582</v>
      </c>
      <c r="D1507" t="s">
        <v>11</v>
      </c>
      <c r="E1507" t="s">
        <v>36</v>
      </c>
      <c r="F1507">
        <v>5</v>
      </c>
      <c r="G1507">
        <v>1967.93</v>
      </c>
      <c r="H1507">
        <v>9839.65</v>
      </c>
      <c r="I1507">
        <v>1967.93</v>
      </c>
      <c r="J1507">
        <v>7871.72</v>
      </c>
      <c r="K1507">
        <v>364</v>
      </c>
      <c r="L1507" s="11">
        <v>0.10244212962962963</v>
      </c>
      <c r="M1507">
        <f t="shared" si="116"/>
        <v>17</v>
      </c>
      <c r="N1507">
        <f t="shared" si="117"/>
        <v>10</v>
      </c>
      <c r="O1507">
        <f t="shared" si="118"/>
        <v>2024</v>
      </c>
      <c r="P1507" s="4">
        <f t="shared" si="119"/>
        <v>45582</v>
      </c>
      <c r="Q1507" t="s">
        <v>1134</v>
      </c>
      <c r="R1507" t="s">
        <v>1135</v>
      </c>
      <c r="S1507">
        <v>3</v>
      </c>
      <c r="T1507" t="s">
        <v>1141</v>
      </c>
      <c r="U1507" s="11" t="str">
        <f t="shared" si="115"/>
        <v>02:27:31 AM</v>
      </c>
      <c r="BL1507" s="2" t="s">
        <v>2657</v>
      </c>
    </row>
    <row r="1508" spans="1:64" x14ac:dyDescent="0.35">
      <c r="A1508">
        <v>1539</v>
      </c>
      <c r="B1508" t="s">
        <v>13</v>
      </c>
      <c r="C1508" s="1">
        <v>45284</v>
      </c>
      <c r="D1508" t="s">
        <v>17</v>
      </c>
      <c r="E1508" t="s">
        <v>29</v>
      </c>
      <c r="F1508">
        <v>2</v>
      </c>
      <c r="G1508">
        <v>999.32</v>
      </c>
      <c r="H1508">
        <v>1998.64</v>
      </c>
      <c r="I1508">
        <v>400.89</v>
      </c>
      <c r="J1508">
        <v>1597.75</v>
      </c>
      <c r="K1508">
        <v>332</v>
      </c>
      <c r="L1508" s="11">
        <v>0.56098379629629624</v>
      </c>
      <c r="M1508">
        <f t="shared" si="116"/>
        <v>24</v>
      </c>
      <c r="N1508">
        <f t="shared" si="117"/>
        <v>12</v>
      </c>
      <c r="O1508">
        <f t="shared" si="118"/>
        <v>2023</v>
      </c>
      <c r="P1508" s="4">
        <f t="shared" si="119"/>
        <v>45284</v>
      </c>
      <c r="Q1508" t="s">
        <v>1136</v>
      </c>
      <c r="R1508" t="s">
        <v>1137</v>
      </c>
      <c r="S1508">
        <v>4</v>
      </c>
      <c r="T1508" t="s">
        <v>1146</v>
      </c>
      <c r="U1508" s="11" t="str">
        <f t="shared" si="115"/>
        <v>01:27:49 PM</v>
      </c>
      <c r="BL1508" s="2" t="s">
        <v>2658</v>
      </c>
    </row>
    <row r="1509" spans="1:64" x14ac:dyDescent="0.35">
      <c r="A1509">
        <v>6152</v>
      </c>
      <c r="B1509" t="s">
        <v>31</v>
      </c>
      <c r="C1509" s="1">
        <v>45157</v>
      </c>
      <c r="D1509" t="s">
        <v>17</v>
      </c>
      <c r="E1509" t="s">
        <v>36</v>
      </c>
      <c r="F1509">
        <v>5</v>
      </c>
      <c r="G1509">
        <v>1599.41</v>
      </c>
      <c r="H1509">
        <v>7997.05</v>
      </c>
      <c r="I1509">
        <v>326.19</v>
      </c>
      <c r="J1509">
        <v>7670.86</v>
      </c>
      <c r="K1509">
        <v>375</v>
      </c>
      <c r="L1509" s="11">
        <v>0.66950231481481481</v>
      </c>
      <c r="M1509">
        <f t="shared" si="116"/>
        <v>19</v>
      </c>
      <c r="N1509">
        <f t="shared" si="117"/>
        <v>8</v>
      </c>
      <c r="O1509">
        <f t="shared" si="118"/>
        <v>2023</v>
      </c>
      <c r="P1509" s="4">
        <f t="shared" si="119"/>
        <v>45157</v>
      </c>
      <c r="Q1509" t="s">
        <v>1139</v>
      </c>
      <c r="R1509" t="s">
        <v>1135</v>
      </c>
      <c r="S1509">
        <v>2</v>
      </c>
      <c r="T1509" t="s">
        <v>1141</v>
      </c>
      <c r="U1509" s="11" t="str">
        <f t="shared" si="115"/>
        <v>04:04:05 PM</v>
      </c>
      <c r="BL1509" s="2" t="s">
        <v>2659</v>
      </c>
    </row>
    <row r="1510" spans="1:64" x14ac:dyDescent="0.35">
      <c r="A1510">
        <v>4394</v>
      </c>
      <c r="B1510" t="s">
        <v>3</v>
      </c>
      <c r="C1510" s="1">
        <v>45600</v>
      </c>
      <c r="D1510" t="s">
        <v>1</v>
      </c>
      <c r="E1510" t="s">
        <v>37</v>
      </c>
      <c r="F1510">
        <v>5</v>
      </c>
      <c r="G1510">
        <v>1334.64</v>
      </c>
      <c r="H1510">
        <v>6673.2</v>
      </c>
      <c r="I1510">
        <v>1334.64</v>
      </c>
      <c r="J1510">
        <v>5338.56</v>
      </c>
      <c r="K1510">
        <v>162</v>
      </c>
      <c r="L1510" s="11">
        <v>0.31524305555555554</v>
      </c>
      <c r="M1510">
        <f t="shared" si="116"/>
        <v>4</v>
      </c>
      <c r="N1510">
        <f t="shared" si="117"/>
        <v>11</v>
      </c>
      <c r="O1510">
        <f t="shared" si="118"/>
        <v>2024</v>
      </c>
      <c r="P1510" s="4">
        <f t="shared" si="119"/>
        <v>45600</v>
      </c>
      <c r="Q1510" t="s">
        <v>1136</v>
      </c>
      <c r="R1510" t="s">
        <v>1137</v>
      </c>
      <c r="S1510">
        <v>4</v>
      </c>
      <c r="T1510" t="s">
        <v>1146</v>
      </c>
      <c r="U1510" s="11" t="str">
        <f t="shared" si="115"/>
        <v>07:33:57 AM</v>
      </c>
      <c r="BL1510" s="2" t="s">
        <v>2660</v>
      </c>
    </row>
    <row r="1511" spans="1:64" x14ac:dyDescent="0.35">
      <c r="A1511">
        <v>3362</v>
      </c>
      <c r="B1511" t="s">
        <v>19</v>
      </c>
      <c r="C1511" s="1">
        <v>45729</v>
      </c>
      <c r="D1511" t="s">
        <v>6</v>
      </c>
      <c r="E1511" t="s">
        <v>10</v>
      </c>
      <c r="F1511">
        <v>2</v>
      </c>
      <c r="G1511">
        <v>2005.28</v>
      </c>
      <c r="H1511">
        <v>4010.56</v>
      </c>
      <c r="I1511">
        <v>801.78</v>
      </c>
      <c r="J1511">
        <v>3208.78</v>
      </c>
      <c r="K1511">
        <v>500</v>
      </c>
      <c r="L1511" s="11">
        <v>0.61925925925925929</v>
      </c>
      <c r="M1511">
        <f t="shared" si="116"/>
        <v>13</v>
      </c>
      <c r="N1511">
        <f t="shared" si="117"/>
        <v>3</v>
      </c>
      <c r="O1511">
        <f t="shared" si="118"/>
        <v>2025</v>
      </c>
      <c r="P1511" s="4">
        <f t="shared" si="119"/>
        <v>45729</v>
      </c>
      <c r="Q1511" t="s">
        <v>1136</v>
      </c>
      <c r="R1511" t="s">
        <v>1137</v>
      </c>
      <c r="S1511">
        <v>2</v>
      </c>
      <c r="T1511" t="s">
        <v>1146</v>
      </c>
      <c r="U1511" s="11" t="str">
        <f t="shared" si="115"/>
        <v>02:51:44 PM</v>
      </c>
      <c r="BL1511" s="2" t="s">
        <v>2661</v>
      </c>
    </row>
    <row r="1512" spans="1:64" x14ac:dyDescent="0.35">
      <c r="A1512">
        <v>7525</v>
      </c>
      <c r="B1512" t="s">
        <v>15</v>
      </c>
      <c r="C1512" s="1">
        <v>45866</v>
      </c>
      <c r="D1512" t="s">
        <v>11</v>
      </c>
      <c r="E1512" t="s">
        <v>38</v>
      </c>
      <c r="F1512">
        <v>2</v>
      </c>
      <c r="G1512">
        <v>1153.7</v>
      </c>
      <c r="H1512">
        <v>2307.4</v>
      </c>
      <c r="I1512">
        <v>346.11</v>
      </c>
      <c r="J1512">
        <v>1961.29</v>
      </c>
      <c r="K1512">
        <v>490</v>
      </c>
      <c r="L1512" s="11">
        <v>0.92365740740740743</v>
      </c>
      <c r="M1512">
        <f t="shared" si="116"/>
        <v>28</v>
      </c>
      <c r="N1512">
        <f t="shared" si="117"/>
        <v>7</v>
      </c>
      <c r="O1512">
        <f t="shared" si="118"/>
        <v>2025</v>
      </c>
      <c r="P1512" s="4">
        <f t="shared" si="119"/>
        <v>45866</v>
      </c>
      <c r="Q1512" t="s">
        <v>1134</v>
      </c>
      <c r="R1512" t="s">
        <v>1135</v>
      </c>
      <c r="S1512">
        <v>4</v>
      </c>
      <c r="T1512" t="s">
        <v>1144</v>
      </c>
      <c r="U1512" s="11" t="str">
        <f t="shared" si="115"/>
        <v>10:10:04 PM</v>
      </c>
      <c r="BL1512" s="2" t="s">
        <v>2662</v>
      </c>
    </row>
    <row r="1513" spans="1:64" x14ac:dyDescent="0.35">
      <c r="A1513">
        <v>2260</v>
      </c>
      <c r="B1513" t="s">
        <v>0</v>
      </c>
      <c r="C1513" s="1">
        <v>45377</v>
      </c>
      <c r="D1513" t="s">
        <v>11</v>
      </c>
      <c r="E1513" t="s">
        <v>7</v>
      </c>
      <c r="F1513">
        <v>5</v>
      </c>
      <c r="G1513">
        <v>266.43</v>
      </c>
      <c r="H1513">
        <v>1332.15</v>
      </c>
      <c r="I1513">
        <v>159.36000000000001</v>
      </c>
      <c r="J1513">
        <v>1172.79</v>
      </c>
      <c r="K1513">
        <v>185</v>
      </c>
      <c r="L1513" s="11">
        <v>0.30496527777777777</v>
      </c>
      <c r="M1513">
        <f t="shared" si="116"/>
        <v>26</v>
      </c>
      <c r="N1513">
        <f t="shared" si="117"/>
        <v>3</v>
      </c>
      <c r="O1513">
        <f t="shared" si="118"/>
        <v>2024</v>
      </c>
      <c r="P1513" s="4">
        <f t="shared" si="119"/>
        <v>45377</v>
      </c>
      <c r="Q1513" t="s">
        <v>1134</v>
      </c>
      <c r="R1513" t="s">
        <v>1135</v>
      </c>
      <c r="S1513">
        <v>3</v>
      </c>
      <c r="T1513" t="s">
        <v>1150</v>
      </c>
      <c r="U1513" s="11" t="str">
        <f t="shared" si="115"/>
        <v>07:19:09 AM</v>
      </c>
      <c r="BL1513" s="2" t="s">
        <v>2663</v>
      </c>
    </row>
    <row r="1514" spans="1:64" x14ac:dyDescent="0.35">
      <c r="A1514">
        <v>3661</v>
      </c>
      <c r="B1514" t="s">
        <v>13</v>
      </c>
      <c r="C1514" s="1">
        <v>45583</v>
      </c>
      <c r="D1514" t="s">
        <v>6</v>
      </c>
      <c r="E1514" t="s">
        <v>30</v>
      </c>
      <c r="F1514">
        <v>5</v>
      </c>
      <c r="G1514">
        <v>671.47</v>
      </c>
      <c r="H1514">
        <v>3357.35</v>
      </c>
      <c r="I1514">
        <v>0</v>
      </c>
      <c r="J1514">
        <v>3357.35</v>
      </c>
      <c r="K1514">
        <v>465</v>
      </c>
      <c r="L1514" s="11">
        <v>0.81653935185185189</v>
      </c>
      <c r="M1514">
        <f t="shared" si="116"/>
        <v>18</v>
      </c>
      <c r="N1514">
        <f t="shared" si="117"/>
        <v>10</v>
      </c>
      <c r="O1514">
        <f t="shared" si="118"/>
        <v>2024</v>
      </c>
      <c r="P1514" s="4">
        <f t="shared" si="119"/>
        <v>45583</v>
      </c>
      <c r="Q1514" t="s">
        <v>1138</v>
      </c>
      <c r="R1514" t="s">
        <v>1137</v>
      </c>
      <c r="S1514">
        <v>5</v>
      </c>
      <c r="T1514" t="s">
        <v>1150</v>
      </c>
      <c r="U1514" s="11" t="str">
        <f t="shared" ref="U1514:U1577" si="120">TEXT(L1514,"hh:mm:ss AM/PM")</f>
        <v>07:35:49 PM</v>
      </c>
      <c r="BL1514" s="2" t="s">
        <v>2664</v>
      </c>
    </row>
    <row r="1515" spans="1:64" x14ac:dyDescent="0.35">
      <c r="A1515">
        <v>4939</v>
      </c>
      <c r="B1515" t="s">
        <v>8</v>
      </c>
      <c r="C1515" s="1">
        <v>45585</v>
      </c>
      <c r="D1515" t="s">
        <v>17</v>
      </c>
      <c r="E1515" t="s">
        <v>2</v>
      </c>
      <c r="F1515">
        <v>3</v>
      </c>
      <c r="G1515">
        <v>904.7</v>
      </c>
      <c r="H1515">
        <v>2714.1</v>
      </c>
      <c r="I1515">
        <v>271.41000000000003</v>
      </c>
      <c r="J1515">
        <v>2442.69</v>
      </c>
      <c r="K1515">
        <v>60</v>
      </c>
      <c r="L1515" s="11">
        <v>0.5332986111111111</v>
      </c>
      <c r="M1515">
        <f t="shared" si="116"/>
        <v>20</v>
      </c>
      <c r="N1515">
        <f t="shared" si="117"/>
        <v>10</v>
      </c>
      <c r="O1515">
        <f t="shared" si="118"/>
        <v>2024</v>
      </c>
      <c r="P1515" s="4">
        <f t="shared" si="119"/>
        <v>45585</v>
      </c>
      <c r="Q1515" t="s">
        <v>1138</v>
      </c>
      <c r="R1515" t="s">
        <v>1137</v>
      </c>
      <c r="S1515">
        <v>4</v>
      </c>
      <c r="T1515" t="s">
        <v>1145</v>
      </c>
      <c r="U1515" s="11" t="str">
        <f t="shared" si="120"/>
        <v>12:47:57 PM</v>
      </c>
      <c r="BL1515" s="2" t="s">
        <v>2665</v>
      </c>
    </row>
    <row r="1516" spans="1:64" x14ac:dyDescent="0.35">
      <c r="A1516">
        <v>7375</v>
      </c>
      <c r="B1516" t="s">
        <v>13</v>
      </c>
      <c r="C1516" s="1">
        <v>45670</v>
      </c>
      <c r="D1516" t="s">
        <v>27</v>
      </c>
      <c r="E1516" t="s">
        <v>30</v>
      </c>
      <c r="F1516">
        <v>5</v>
      </c>
      <c r="G1516">
        <v>1271.56</v>
      </c>
      <c r="H1516">
        <v>6357.8</v>
      </c>
      <c r="I1516">
        <v>1271.56</v>
      </c>
      <c r="J1516">
        <v>5086.24</v>
      </c>
      <c r="K1516">
        <v>451</v>
      </c>
      <c r="L1516" s="11">
        <v>0.96813657407407405</v>
      </c>
      <c r="M1516">
        <f t="shared" si="116"/>
        <v>13</v>
      </c>
      <c r="N1516">
        <f t="shared" si="117"/>
        <v>1</v>
      </c>
      <c r="O1516">
        <f t="shared" si="118"/>
        <v>2025</v>
      </c>
      <c r="P1516" s="4">
        <f t="shared" si="119"/>
        <v>45670</v>
      </c>
      <c r="Q1516" t="s">
        <v>1136</v>
      </c>
      <c r="R1516" t="s">
        <v>1135</v>
      </c>
      <c r="S1516">
        <v>2</v>
      </c>
      <c r="T1516" t="s">
        <v>1144</v>
      </c>
      <c r="U1516" s="11" t="str">
        <f t="shared" si="120"/>
        <v>11:14:07 PM</v>
      </c>
      <c r="BL1516" s="2" t="s">
        <v>2666</v>
      </c>
    </row>
    <row r="1517" spans="1:64" x14ac:dyDescent="0.35">
      <c r="A1517">
        <v>9856</v>
      </c>
      <c r="B1517" t="s">
        <v>15</v>
      </c>
      <c r="C1517" s="1">
        <v>45402</v>
      </c>
      <c r="D1517" t="s">
        <v>1</v>
      </c>
      <c r="E1517" t="s">
        <v>18</v>
      </c>
      <c r="F1517">
        <v>1</v>
      </c>
      <c r="G1517">
        <v>1089.79</v>
      </c>
      <c r="H1517">
        <v>1089.79</v>
      </c>
      <c r="I1517">
        <v>0</v>
      </c>
      <c r="J1517">
        <v>1089.79</v>
      </c>
      <c r="K1517">
        <v>391</v>
      </c>
      <c r="L1517" s="11">
        <v>0.38826388888888891</v>
      </c>
      <c r="M1517">
        <f t="shared" si="116"/>
        <v>20</v>
      </c>
      <c r="N1517">
        <f t="shared" si="117"/>
        <v>4</v>
      </c>
      <c r="O1517">
        <f t="shared" si="118"/>
        <v>2024</v>
      </c>
      <c r="P1517" s="4">
        <f t="shared" si="119"/>
        <v>45402</v>
      </c>
      <c r="Q1517" t="s">
        <v>1139</v>
      </c>
      <c r="R1517" t="s">
        <v>1135</v>
      </c>
      <c r="S1517">
        <v>2</v>
      </c>
      <c r="T1517" t="s">
        <v>1141</v>
      </c>
      <c r="U1517" s="11" t="str">
        <f t="shared" si="120"/>
        <v>09:19:06 AM</v>
      </c>
      <c r="BL1517" s="2" t="s">
        <v>2667</v>
      </c>
    </row>
    <row r="1518" spans="1:64" x14ac:dyDescent="0.35">
      <c r="A1518">
        <v>7288</v>
      </c>
      <c r="B1518" t="s">
        <v>0</v>
      </c>
      <c r="C1518" s="1">
        <v>45731</v>
      </c>
      <c r="D1518" t="s">
        <v>23</v>
      </c>
      <c r="E1518" t="s">
        <v>29</v>
      </c>
      <c r="F1518">
        <v>4</v>
      </c>
      <c r="G1518">
        <v>139.44</v>
      </c>
      <c r="H1518">
        <v>557.76</v>
      </c>
      <c r="I1518">
        <v>111.22</v>
      </c>
      <c r="J1518">
        <v>446.54</v>
      </c>
      <c r="K1518">
        <v>85</v>
      </c>
      <c r="L1518" s="11">
        <v>0.8689930555555555</v>
      </c>
      <c r="M1518">
        <f t="shared" si="116"/>
        <v>15</v>
      </c>
      <c r="N1518">
        <f t="shared" si="117"/>
        <v>3</v>
      </c>
      <c r="O1518">
        <f t="shared" si="118"/>
        <v>2025</v>
      </c>
      <c r="P1518" s="4">
        <f t="shared" si="119"/>
        <v>45731</v>
      </c>
      <c r="Q1518" t="s">
        <v>1134</v>
      </c>
      <c r="R1518" t="s">
        <v>1137</v>
      </c>
      <c r="S1518">
        <v>3</v>
      </c>
      <c r="T1518" t="s">
        <v>1145</v>
      </c>
      <c r="U1518" s="11" t="str">
        <f t="shared" si="120"/>
        <v>08:51:21 PM</v>
      </c>
      <c r="BL1518" s="2" t="s">
        <v>2668</v>
      </c>
    </row>
    <row r="1519" spans="1:64" x14ac:dyDescent="0.35">
      <c r="A1519">
        <v>3292</v>
      </c>
      <c r="B1519" t="s">
        <v>3</v>
      </c>
      <c r="C1519" s="1">
        <v>45758</v>
      </c>
      <c r="D1519" t="s">
        <v>27</v>
      </c>
      <c r="E1519" t="s">
        <v>21</v>
      </c>
      <c r="F1519">
        <v>4</v>
      </c>
      <c r="G1519">
        <v>935.41</v>
      </c>
      <c r="H1519">
        <v>3741.64</v>
      </c>
      <c r="I1519">
        <v>0</v>
      </c>
      <c r="J1519">
        <v>3741.64</v>
      </c>
      <c r="K1519">
        <v>205</v>
      </c>
      <c r="L1519" s="11">
        <v>0.96354166666666663</v>
      </c>
      <c r="M1519">
        <f t="shared" si="116"/>
        <v>11</v>
      </c>
      <c r="N1519">
        <f t="shared" si="117"/>
        <v>4</v>
      </c>
      <c r="O1519">
        <f t="shared" si="118"/>
        <v>2025</v>
      </c>
      <c r="P1519" s="4">
        <f t="shared" si="119"/>
        <v>45758</v>
      </c>
      <c r="Q1519" t="s">
        <v>1134</v>
      </c>
      <c r="R1519" t="s">
        <v>1135</v>
      </c>
      <c r="S1519">
        <v>2</v>
      </c>
      <c r="T1519" t="s">
        <v>1143</v>
      </c>
      <c r="U1519" s="11" t="str">
        <f t="shared" si="120"/>
        <v>11:07:30 PM</v>
      </c>
      <c r="BL1519" s="2" t="s">
        <v>2669</v>
      </c>
    </row>
    <row r="1520" spans="1:64" x14ac:dyDescent="0.35">
      <c r="A1520">
        <v>2284</v>
      </c>
      <c r="B1520" t="s">
        <v>19</v>
      </c>
      <c r="C1520" s="1">
        <v>45533</v>
      </c>
      <c r="D1520" t="s">
        <v>4</v>
      </c>
      <c r="E1520" t="s">
        <v>10</v>
      </c>
      <c r="F1520">
        <v>3</v>
      </c>
      <c r="G1520">
        <v>1505.62</v>
      </c>
      <c r="H1520">
        <v>4516.8599999999997</v>
      </c>
      <c r="I1520">
        <v>0</v>
      </c>
      <c r="J1520">
        <v>4516.8599999999997</v>
      </c>
      <c r="K1520">
        <v>315</v>
      </c>
      <c r="L1520" s="11">
        <v>0.53178240740740745</v>
      </c>
      <c r="M1520">
        <f t="shared" si="116"/>
        <v>29</v>
      </c>
      <c r="N1520">
        <f t="shared" si="117"/>
        <v>8</v>
      </c>
      <c r="O1520">
        <f t="shared" si="118"/>
        <v>2024</v>
      </c>
      <c r="P1520" s="4">
        <f t="shared" si="119"/>
        <v>45533</v>
      </c>
      <c r="Q1520" t="s">
        <v>1136</v>
      </c>
      <c r="R1520" t="s">
        <v>1137</v>
      </c>
      <c r="S1520">
        <v>1</v>
      </c>
      <c r="T1520" t="s">
        <v>1144</v>
      </c>
      <c r="U1520" s="11" t="str">
        <f t="shared" si="120"/>
        <v>12:45:46 PM</v>
      </c>
      <c r="BL1520" s="2" t="s">
        <v>2670</v>
      </c>
    </row>
    <row r="1521" spans="1:64" x14ac:dyDescent="0.35">
      <c r="A1521">
        <v>6666</v>
      </c>
      <c r="B1521" t="s">
        <v>20</v>
      </c>
      <c r="C1521" s="1">
        <v>45186</v>
      </c>
      <c r="D1521" t="s">
        <v>4</v>
      </c>
      <c r="E1521" t="s">
        <v>12</v>
      </c>
      <c r="F1521">
        <v>4</v>
      </c>
      <c r="G1521">
        <v>2274.1999999999998</v>
      </c>
      <c r="H1521">
        <v>9096.7999999999993</v>
      </c>
      <c r="I1521">
        <v>0</v>
      </c>
      <c r="J1521">
        <v>9096.7999999999993</v>
      </c>
      <c r="K1521">
        <v>322</v>
      </c>
      <c r="L1521" s="11">
        <v>0.21834490740740742</v>
      </c>
      <c r="M1521">
        <f t="shared" si="116"/>
        <v>17</v>
      </c>
      <c r="N1521">
        <f t="shared" si="117"/>
        <v>9</v>
      </c>
      <c r="O1521">
        <f t="shared" si="118"/>
        <v>2023</v>
      </c>
      <c r="P1521" s="4">
        <f t="shared" si="119"/>
        <v>45186</v>
      </c>
      <c r="Q1521" t="s">
        <v>1138</v>
      </c>
      <c r="R1521" t="s">
        <v>1137</v>
      </c>
      <c r="S1521">
        <v>5</v>
      </c>
      <c r="T1521" t="s">
        <v>1145</v>
      </c>
      <c r="U1521" s="11" t="str">
        <f t="shared" si="120"/>
        <v>05:14:25 AM</v>
      </c>
      <c r="BL1521" s="2" t="s">
        <v>2671</v>
      </c>
    </row>
    <row r="1522" spans="1:64" x14ac:dyDescent="0.35">
      <c r="A1522">
        <v>2600</v>
      </c>
      <c r="B1522" t="s">
        <v>13</v>
      </c>
      <c r="C1522" s="1">
        <v>45484</v>
      </c>
      <c r="D1522" t="s">
        <v>24</v>
      </c>
      <c r="E1522" t="s">
        <v>37</v>
      </c>
      <c r="F1522">
        <v>2</v>
      </c>
      <c r="G1522">
        <v>1847.58</v>
      </c>
      <c r="H1522">
        <v>3695.16</v>
      </c>
      <c r="I1522">
        <v>738.7</v>
      </c>
      <c r="J1522">
        <v>2956.46</v>
      </c>
      <c r="K1522">
        <v>370</v>
      </c>
      <c r="L1522" s="11">
        <v>0.14765046296296297</v>
      </c>
      <c r="M1522">
        <f t="shared" si="116"/>
        <v>11</v>
      </c>
      <c r="N1522">
        <f t="shared" si="117"/>
        <v>7</v>
      </c>
      <c r="O1522">
        <f t="shared" si="118"/>
        <v>2024</v>
      </c>
      <c r="P1522" s="4">
        <f t="shared" si="119"/>
        <v>45484</v>
      </c>
      <c r="Q1522" t="s">
        <v>1139</v>
      </c>
      <c r="R1522" t="s">
        <v>1135</v>
      </c>
      <c r="S1522">
        <v>4</v>
      </c>
      <c r="T1522" t="s">
        <v>1147</v>
      </c>
      <c r="U1522" s="11" t="str">
        <f t="shared" si="120"/>
        <v>03:32:37 AM</v>
      </c>
      <c r="BL1522" s="2" t="s">
        <v>2672</v>
      </c>
    </row>
    <row r="1523" spans="1:64" x14ac:dyDescent="0.35">
      <c r="A1523">
        <v>4803</v>
      </c>
      <c r="B1523" t="s">
        <v>20</v>
      </c>
      <c r="C1523" s="1">
        <v>45796</v>
      </c>
      <c r="D1523" t="s">
        <v>17</v>
      </c>
      <c r="E1523" t="s">
        <v>12</v>
      </c>
      <c r="F1523">
        <v>4</v>
      </c>
      <c r="G1523">
        <v>995.17</v>
      </c>
      <c r="H1523">
        <v>3980.68</v>
      </c>
      <c r="I1523">
        <v>322.87</v>
      </c>
      <c r="J1523">
        <v>3657.81</v>
      </c>
      <c r="K1523">
        <v>224</v>
      </c>
      <c r="L1523" s="11">
        <v>0.71722222222222221</v>
      </c>
      <c r="M1523">
        <f t="shared" si="116"/>
        <v>19</v>
      </c>
      <c r="N1523">
        <f t="shared" si="117"/>
        <v>5</v>
      </c>
      <c r="O1523">
        <f t="shared" si="118"/>
        <v>2025</v>
      </c>
      <c r="P1523" s="4">
        <f t="shared" si="119"/>
        <v>45796</v>
      </c>
      <c r="Q1523" t="s">
        <v>1138</v>
      </c>
      <c r="R1523" t="s">
        <v>1135</v>
      </c>
      <c r="S1523">
        <v>5</v>
      </c>
      <c r="T1523" t="s">
        <v>1145</v>
      </c>
      <c r="U1523" s="11" t="str">
        <f t="shared" si="120"/>
        <v>05:12:48 PM</v>
      </c>
      <c r="BL1523" s="2" t="s">
        <v>2673</v>
      </c>
    </row>
    <row r="1524" spans="1:64" x14ac:dyDescent="0.35">
      <c r="A1524">
        <v>2245</v>
      </c>
      <c r="B1524" t="s">
        <v>19</v>
      </c>
      <c r="C1524" s="1">
        <v>45409</v>
      </c>
      <c r="D1524" t="s">
        <v>4</v>
      </c>
      <c r="E1524" t="s">
        <v>14</v>
      </c>
      <c r="F1524">
        <v>3</v>
      </c>
      <c r="G1524">
        <v>1269.9000000000001</v>
      </c>
      <c r="H1524">
        <v>3809.7</v>
      </c>
      <c r="I1524">
        <v>571.04</v>
      </c>
      <c r="J1524">
        <v>3238.66</v>
      </c>
      <c r="K1524">
        <v>24</v>
      </c>
      <c r="L1524" s="11">
        <v>0.79109953703703706</v>
      </c>
      <c r="M1524">
        <f t="shared" si="116"/>
        <v>27</v>
      </c>
      <c r="N1524">
        <f t="shared" si="117"/>
        <v>4</v>
      </c>
      <c r="O1524">
        <f t="shared" si="118"/>
        <v>2024</v>
      </c>
      <c r="P1524" s="4">
        <f t="shared" si="119"/>
        <v>45409</v>
      </c>
      <c r="Q1524" t="s">
        <v>1138</v>
      </c>
      <c r="R1524" t="s">
        <v>1135</v>
      </c>
      <c r="S1524">
        <v>3</v>
      </c>
      <c r="T1524" t="s">
        <v>1141</v>
      </c>
      <c r="U1524" s="11" t="str">
        <f t="shared" si="120"/>
        <v>06:59:11 PM</v>
      </c>
      <c r="BL1524" s="2" t="s">
        <v>2674</v>
      </c>
    </row>
    <row r="1525" spans="1:64" x14ac:dyDescent="0.35">
      <c r="A1525">
        <v>7499</v>
      </c>
      <c r="B1525" t="s">
        <v>25</v>
      </c>
      <c r="C1525" s="1">
        <v>45745</v>
      </c>
      <c r="D1525" t="s">
        <v>9</v>
      </c>
      <c r="E1525" t="s">
        <v>10</v>
      </c>
      <c r="F1525">
        <v>2</v>
      </c>
      <c r="G1525">
        <v>2377.12</v>
      </c>
      <c r="H1525">
        <v>4754.24</v>
      </c>
      <c r="I1525">
        <v>475.59</v>
      </c>
      <c r="J1525">
        <v>4278.6499999999996</v>
      </c>
      <c r="K1525">
        <v>21</v>
      </c>
      <c r="L1525" s="11">
        <v>0.40910879629629632</v>
      </c>
      <c r="M1525">
        <f t="shared" si="116"/>
        <v>29</v>
      </c>
      <c r="N1525">
        <f t="shared" si="117"/>
        <v>3</v>
      </c>
      <c r="O1525">
        <f t="shared" si="118"/>
        <v>2025</v>
      </c>
      <c r="P1525" s="4">
        <f t="shared" si="119"/>
        <v>45745</v>
      </c>
      <c r="Q1525" t="s">
        <v>1138</v>
      </c>
      <c r="R1525" t="s">
        <v>1135</v>
      </c>
      <c r="S1525">
        <v>4</v>
      </c>
      <c r="T1525" t="s">
        <v>1145</v>
      </c>
      <c r="U1525" s="11" t="str">
        <f t="shared" si="120"/>
        <v>09:49:07 AM</v>
      </c>
      <c r="BL1525" s="2" t="s">
        <v>2675</v>
      </c>
    </row>
    <row r="1526" spans="1:64" x14ac:dyDescent="0.35">
      <c r="A1526">
        <v>6347</v>
      </c>
      <c r="B1526" t="s">
        <v>3</v>
      </c>
      <c r="C1526" s="1">
        <v>45168</v>
      </c>
      <c r="D1526" t="s">
        <v>24</v>
      </c>
      <c r="E1526" t="s">
        <v>10</v>
      </c>
      <c r="F1526">
        <v>1</v>
      </c>
      <c r="G1526">
        <v>917.98</v>
      </c>
      <c r="H1526">
        <v>917.98</v>
      </c>
      <c r="I1526">
        <v>137.78</v>
      </c>
      <c r="J1526">
        <v>780.2</v>
      </c>
      <c r="K1526">
        <v>84</v>
      </c>
      <c r="L1526" s="11">
        <v>0.91042824074074069</v>
      </c>
      <c r="M1526">
        <f t="shared" si="116"/>
        <v>30</v>
      </c>
      <c r="N1526">
        <f t="shared" si="117"/>
        <v>8</v>
      </c>
      <c r="O1526">
        <f t="shared" si="118"/>
        <v>2023</v>
      </c>
      <c r="P1526" s="4">
        <f t="shared" si="119"/>
        <v>45168</v>
      </c>
      <c r="Q1526" t="s">
        <v>1138</v>
      </c>
      <c r="R1526" t="s">
        <v>1135</v>
      </c>
      <c r="S1526">
        <v>4</v>
      </c>
      <c r="T1526" t="s">
        <v>1149</v>
      </c>
      <c r="U1526" s="11" t="str">
        <f t="shared" si="120"/>
        <v>09:51:01 PM</v>
      </c>
      <c r="BL1526" s="2" t="s">
        <v>2676</v>
      </c>
    </row>
    <row r="1527" spans="1:64" x14ac:dyDescent="0.35">
      <c r="A1527">
        <v>5478</v>
      </c>
      <c r="B1527" t="s">
        <v>19</v>
      </c>
      <c r="C1527" s="1">
        <v>45753</v>
      </c>
      <c r="D1527" t="s">
        <v>34</v>
      </c>
      <c r="E1527" t="s">
        <v>22</v>
      </c>
      <c r="F1527">
        <v>2</v>
      </c>
      <c r="G1527">
        <v>2213.61</v>
      </c>
      <c r="H1527">
        <v>4427.22</v>
      </c>
      <c r="I1527">
        <v>332.83</v>
      </c>
      <c r="J1527">
        <v>4094.39</v>
      </c>
      <c r="K1527">
        <v>147</v>
      </c>
      <c r="L1527" s="11">
        <v>0.82527777777777778</v>
      </c>
      <c r="M1527">
        <f t="shared" si="116"/>
        <v>6</v>
      </c>
      <c r="N1527">
        <f t="shared" si="117"/>
        <v>4</v>
      </c>
      <c r="O1527">
        <f t="shared" si="118"/>
        <v>2025</v>
      </c>
      <c r="P1527" s="4">
        <f t="shared" si="119"/>
        <v>45753</v>
      </c>
      <c r="Q1527" t="s">
        <v>1134</v>
      </c>
      <c r="R1527" t="s">
        <v>1137</v>
      </c>
      <c r="S1527">
        <v>1</v>
      </c>
      <c r="T1527" t="s">
        <v>1149</v>
      </c>
      <c r="U1527" s="11" t="str">
        <f t="shared" si="120"/>
        <v>07:48:24 PM</v>
      </c>
      <c r="BL1527" s="2" t="s">
        <v>2677</v>
      </c>
    </row>
    <row r="1528" spans="1:64" x14ac:dyDescent="0.35">
      <c r="A1528">
        <v>8381</v>
      </c>
      <c r="B1528" t="s">
        <v>31</v>
      </c>
      <c r="C1528" s="1">
        <v>45526</v>
      </c>
      <c r="D1528" t="s">
        <v>16</v>
      </c>
      <c r="E1528" t="s">
        <v>2</v>
      </c>
      <c r="F1528">
        <v>2</v>
      </c>
      <c r="G1528">
        <v>312.91000000000003</v>
      </c>
      <c r="H1528">
        <v>625.82000000000005</v>
      </c>
      <c r="I1528">
        <v>281.37</v>
      </c>
      <c r="J1528">
        <v>344.45</v>
      </c>
      <c r="K1528">
        <v>282</v>
      </c>
      <c r="L1528" s="11">
        <v>0.93631944444444448</v>
      </c>
      <c r="M1528">
        <f t="shared" si="116"/>
        <v>22</v>
      </c>
      <c r="N1528">
        <f t="shared" si="117"/>
        <v>8</v>
      </c>
      <c r="O1528">
        <f t="shared" si="118"/>
        <v>2024</v>
      </c>
      <c r="P1528" s="4">
        <f t="shared" si="119"/>
        <v>45526</v>
      </c>
      <c r="Q1528" t="s">
        <v>1134</v>
      </c>
      <c r="R1528" t="s">
        <v>1137</v>
      </c>
      <c r="S1528">
        <v>3</v>
      </c>
      <c r="T1528" t="s">
        <v>1147</v>
      </c>
      <c r="U1528" s="11" t="str">
        <f t="shared" si="120"/>
        <v>10:28:18 PM</v>
      </c>
      <c r="BL1528" s="2" t="s">
        <v>2678</v>
      </c>
    </row>
    <row r="1529" spans="1:64" x14ac:dyDescent="0.35">
      <c r="A1529">
        <v>4737</v>
      </c>
      <c r="B1529" t="s">
        <v>20</v>
      </c>
      <c r="C1529" s="1">
        <v>45421</v>
      </c>
      <c r="D1529" t="s">
        <v>27</v>
      </c>
      <c r="E1529" t="s">
        <v>7</v>
      </c>
      <c r="F1529">
        <v>2</v>
      </c>
      <c r="G1529">
        <v>97.94</v>
      </c>
      <c r="H1529">
        <v>195.88</v>
      </c>
      <c r="I1529">
        <v>29.05</v>
      </c>
      <c r="J1529">
        <v>166.83</v>
      </c>
      <c r="K1529">
        <v>426</v>
      </c>
      <c r="L1529" s="11">
        <v>0.44048611111111113</v>
      </c>
      <c r="M1529">
        <f t="shared" si="116"/>
        <v>9</v>
      </c>
      <c r="N1529">
        <f t="shared" si="117"/>
        <v>5</v>
      </c>
      <c r="O1529">
        <f t="shared" si="118"/>
        <v>2024</v>
      </c>
      <c r="P1529" s="4">
        <f t="shared" si="119"/>
        <v>45421</v>
      </c>
      <c r="Q1529" t="s">
        <v>1138</v>
      </c>
      <c r="R1529" t="s">
        <v>1135</v>
      </c>
      <c r="S1529">
        <v>2</v>
      </c>
      <c r="T1529" t="s">
        <v>1147</v>
      </c>
      <c r="U1529" s="11" t="str">
        <f t="shared" si="120"/>
        <v>10:34:18 AM</v>
      </c>
      <c r="BL1529" s="2" t="s">
        <v>2679</v>
      </c>
    </row>
    <row r="1530" spans="1:64" x14ac:dyDescent="0.35">
      <c r="A1530">
        <v>7150</v>
      </c>
      <c r="B1530" t="s">
        <v>31</v>
      </c>
      <c r="C1530" s="1">
        <v>45480</v>
      </c>
      <c r="D1530" t="s">
        <v>24</v>
      </c>
      <c r="E1530" t="s">
        <v>5</v>
      </c>
      <c r="F1530">
        <v>4</v>
      </c>
      <c r="G1530">
        <v>1336.3</v>
      </c>
      <c r="H1530">
        <v>5345.2</v>
      </c>
      <c r="I1530">
        <v>801.78</v>
      </c>
      <c r="J1530">
        <v>4543.42</v>
      </c>
      <c r="K1530">
        <v>425</v>
      </c>
      <c r="L1530" s="11">
        <v>0.34863425925925928</v>
      </c>
      <c r="M1530">
        <f t="shared" si="116"/>
        <v>7</v>
      </c>
      <c r="N1530">
        <f t="shared" si="117"/>
        <v>7</v>
      </c>
      <c r="O1530">
        <f t="shared" si="118"/>
        <v>2024</v>
      </c>
      <c r="P1530" s="4">
        <f t="shared" si="119"/>
        <v>45480</v>
      </c>
      <c r="Q1530" t="s">
        <v>1139</v>
      </c>
      <c r="R1530" t="s">
        <v>1135</v>
      </c>
      <c r="S1530">
        <v>1</v>
      </c>
      <c r="T1530" t="s">
        <v>1149</v>
      </c>
      <c r="U1530" s="11" t="str">
        <f t="shared" si="120"/>
        <v>08:22:02 AM</v>
      </c>
      <c r="BL1530" s="2" t="s">
        <v>2680</v>
      </c>
    </row>
    <row r="1531" spans="1:64" x14ac:dyDescent="0.35">
      <c r="A1531">
        <v>4043</v>
      </c>
      <c r="B1531" t="s">
        <v>0</v>
      </c>
      <c r="C1531" s="1">
        <v>45672</v>
      </c>
      <c r="D1531" t="s">
        <v>4</v>
      </c>
      <c r="E1531" t="s">
        <v>22</v>
      </c>
      <c r="F1531">
        <v>4</v>
      </c>
      <c r="G1531">
        <v>1269.07</v>
      </c>
      <c r="H1531">
        <v>5076.28</v>
      </c>
      <c r="I1531">
        <v>761.11</v>
      </c>
      <c r="J1531">
        <v>4315.17</v>
      </c>
      <c r="K1531">
        <v>44</v>
      </c>
      <c r="L1531" s="11">
        <v>8.0972222222222223E-2</v>
      </c>
      <c r="M1531">
        <f t="shared" si="116"/>
        <v>15</v>
      </c>
      <c r="N1531">
        <f t="shared" si="117"/>
        <v>1</v>
      </c>
      <c r="O1531">
        <f t="shared" si="118"/>
        <v>2025</v>
      </c>
      <c r="P1531" s="4">
        <f t="shared" si="119"/>
        <v>45672</v>
      </c>
      <c r="Q1531" t="s">
        <v>1136</v>
      </c>
      <c r="R1531" t="s">
        <v>1135</v>
      </c>
      <c r="S1531">
        <v>1</v>
      </c>
      <c r="T1531" t="s">
        <v>1147</v>
      </c>
      <c r="U1531" s="11" t="str">
        <f t="shared" si="120"/>
        <v>01:56:36 AM</v>
      </c>
      <c r="BL1531" s="2" t="s">
        <v>2681</v>
      </c>
    </row>
    <row r="1532" spans="1:64" x14ac:dyDescent="0.35">
      <c r="A1532">
        <v>7227</v>
      </c>
      <c r="B1532" t="s">
        <v>0</v>
      </c>
      <c r="C1532" s="1">
        <v>45211</v>
      </c>
      <c r="D1532" t="s">
        <v>11</v>
      </c>
      <c r="E1532" t="s">
        <v>32</v>
      </c>
      <c r="F1532">
        <v>2</v>
      </c>
      <c r="G1532">
        <v>1832.64</v>
      </c>
      <c r="H1532">
        <v>3665.28</v>
      </c>
      <c r="I1532">
        <v>194.22</v>
      </c>
      <c r="J1532">
        <v>3471.06</v>
      </c>
      <c r="K1532">
        <v>167</v>
      </c>
      <c r="L1532" s="11">
        <v>0.74034722222222227</v>
      </c>
      <c r="M1532">
        <f t="shared" si="116"/>
        <v>12</v>
      </c>
      <c r="N1532">
        <f t="shared" si="117"/>
        <v>10</v>
      </c>
      <c r="O1532">
        <f t="shared" si="118"/>
        <v>2023</v>
      </c>
      <c r="P1532" s="4">
        <f t="shared" si="119"/>
        <v>45211</v>
      </c>
      <c r="Q1532" t="s">
        <v>1139</v>
      </c>
      <c r="R1532" t="s">
        <v>1137</v>
      </c>
      <c r="S1532">
        <v>5</v>
      </c>
      <c r="T1532" t="s">
        <v>1147</v>
      </c>
      <c r="U1532" s="11" t="str">
        <f t="shared" si="120"/>
        <v>05:46:06 PM</v>
      </c>
      <c r="BL1532" s="2" t="s">
        <v>2682</v>
      </c>
    </row>
    <row r="1533" spans="1:64" x14ac:dyDescent="0.35">
      <c r="A1533">
        <v>5839</v>
      </c>
      <c r="B1533" t="s">
        <v>15</v>
      </c>
      <c r="C1533" s="1">
        <v>45764</v>
      </c>
      <c r="D1533" t="s">
        <v>16</v>
      </c>
      <c r="E1533" t="s">
        <v>36</v>
      </c>
      <c r="F1533">
        <v>1</v>
      </c>
      <c r="G1533">
        <v>1783.67</v>
      </c>
      <c r="H1533">
        <v>1783.67</v>
      </c>
      <c r="I1533">
        <v>178.45</v>
      </c>
      <c r="J1533">
        <v>1605.22</v>
      </c>
      <c r="K1533">
        <v>161</v>
      </c>
      <c r="L1533" s="11">
        <v>0.17021990740740742</v>
      </c>
      <c r="M1533">
        <f t="shared" si="116"/>
        <v>17</v>
      </c>
      <c r="N1533">
        <f t="shared" si="117"/>
        <v>4</v>
      </c>
      <c r="O1533">
        <f t="shared" si="118"/>
        <v>2025</v>
      </c>
      <c r="P1533" s="4">
        <f t="shared" si="119"/>
        <v>45764</v>
      </c>
      <c r="Q1533" t="s">
        <v>1139</v>
      </c>
      <c r="R1533" t="s">
        <v>1135</v>
      </c>
      <c r="S1533">
        <v>5</v>
      </c>
      <c r="T1533" t="s">
        <v>1150</v>
      </c>
      <c r="U1533" s="11" t="str">
        <f t="shared" si="120"/>
        <v>04:05:07 AM</v>
      </c>
      <c r="BL1533" s="2" t="s">
        <v>2683</v>
      </c>
    </row>
    <row r="1534" spans="1:64" x14ac:dyDescent="0.35">
      <c r="A1534">
        <v>5037</v>
      </c>
      <c r="B1534" t="s">
        <v>0</v>
      </c>
      <c r="C1534" s="1">
        <v>45698</v>
      </c>
      <c r="D1534" t="s">
        <v>27</v>
      </c>
      <c r="E1534" t="s">
        <v>10</v>
      </c>
      <c r="F1534">
        <v>2</v>
      </c>
      <c r="G1534">
        <v>2107.37</v>
      </c>
      <c r="H1534">
        <v>4214.74</v>
      </c>
      <c r="I1534">
        <v>0</v>
      </c>
      <c r="J1534">
        <v>4214.74</v>
      </c>
      <c r="K1534">
        <v>338</v>
      </c>
      <c r="L1534" s="11">
        <v>0.47495370370370371</v>
      </c>
      <c r="M1534">
        <f t="shared" si="116"/>
        <v>10</v>
      </c>
      <c r="N1534">
        <f t="shared" si="117"/>
        <v>2</v>
      </c>
      <c r="O1534">
        <f t="shared" si="118"/>
        <v>2025</v>
      </c>
      <c r="P1534" s="4">
        <f t="shared" si="119"/>
        <v>45698</v>
      </c>
      <c r="Q1534" t="s">
        <v>1139</v>
      </c>
      <c r="R1534" t="s">
        <v>1135</v>
      </c>
      <c r="S1534">
        <v>5</v>
      </c>
      <c r="T1534" t="s">
        <v>1150</v>
      </c>
      <c r="U1534" s="11" t="str">
        <f t="shared" si="120"/>
        <v>11:23:56 AM</v>
      </c>
      <c r="BL1534" s="2" t="s">
        <v>2684</v>
      </c>
    </row>
    <row r="1535" spans="1:64" x14ac:dyDescent="0.35">
      <c r="A1535">
        <v>2204</v>
      </c>
      <c r="B1535" t="s">
        <v>20</v>
      </c>
      <c r="C1535" s="1">
        <v>45208</v>
      </c>
      <c r="D1535" t="s">
        <v>6</v>
      </c>
      <c r="E1535" t="s">
        <v>30</v>
      </c>
      <c r="F1535">
        <v>5</v>
      </c>
      <c r="G1535">
        <v>987.7</v>
      </c>
      <c r="H1535">
        <v>4938.5</v>
      </c>
      <c r="I1535">
        <v>0</v>
      </c>
      <c r="J1535">
        <v>4938.5</v>
      </c>
      <c r="K1535">
        <v>482</v>
      </c>
      <c r="L1535" s="11">
        <v>0.68620370370370365</v>
      </c>
      <c r="M1535">
        <f t="shared" si="116"/>
        <v>9</v>
      </c>
      <c r="N1535">
        <f t="shared" si="117"/>
        <v>10</v>
      </c>
      <c r="O1535">
        <f t="shared" si="118"/>
        <v>2023</v>
      </c>
      <c r="P1535" s="4">
        <f t="shared" si="119"/>
        <v>45208</v>
      </c>
      <c r="Q1535" t="s">
        <v>1138</v>
      </c>
      <c r="R1535" t="s">
        <v>1137</v>
      </c>
      <c r="S1535">
        <v>1</v>
      </c>
      <c r="T1535" t="s">
        <v>1145</v>
      </c>
      <c r="U1535" s="11" t="str">
        <f t="shared" si="120"/>
        <v>04:28:08 PM</v>
      </c>
      <c r="BL1535" s="2" t="s">
        <v>2685</v>
      </c>
    </row>
    <row r="1536" spans="1:64" x14ac:dyDescent="0.35">
      <c r="A1536">
        <v>5390</v>
      </c>
      <c r="B1536" t="s">
        <v>31</v>
      </c>
      <c r="C1536" s="1">
        <v>45264</v>
      </c>
      <c r="D1536" t="s">
        <v>24</v>
      </c>
      <c r="E1536" t="s">
        <v>37</v>
      </c>
      <c r="F1536">
        <v>2</v>
      </c>
      <c r="G1536">
        <v>1248.32</v>
      </c>
      <c r="H1536">
        <v>2496.64</v>
      </c>
      <c r="I1536">
        <v>374.33</v>
      </c>
      <c r="J1536">
        <v>2122.31</v>
      </c>
      <c r="K1536">
        <v>95</v>
      </c>
      <c r="L1536" s="11">
        <v>0.32494212962962965</v>
      </c>
      <c r="M1536">
        <f t="shared" si="116"/>
        <v>4</v>
      </c>
      <c r="N1536">
        <f t="shared" si="117"/>
        <v>12</v>
      </c>
      <c r="O1536">
        <f t="shared" si="118"/>
        <v>2023</v>
      </c>
      <c r="P1536" s="4">
        <f t="shared" si="119"/>
        <v>45264</v>
      </c>
      <c r="Q1536" t="s">
        <v>1134</v>
      </c>
      <c r="R1536" t="s">
        <v>1137</v>
      </c>
      <c r="S1536">
        <v>2</v>
      </c>
      <c r="T1536" t="s">
        <v>1149</v>
      </c>
      <c r="U1536" s="11" t="str">
        <f t="shared" si="120"/>
        <v>07:47:55 AM</v>
      </c>
      <c r="BL1536" s="2" t="s">
        <v>2686</v>
      </c>
    </row>
    <row r="1537" spans="1:64" x14ac:dyDescent="0.35">
      <c r="A1537">
        <v>7225</v>
      </c>
      <c r="B1537" t="s">
        <v>8</v>
      </c>
      <c r="C1537" s="1">
        <v>45697</v>
      </c>
      <c r="D1537" t="s">
        <v>6</v>
      </c>
      <c r="E1537" t="s">
        <v>32</v>
      </c>
      <c r="F1537">
        <v>5</v>
      </c>
      <c r="G1537">
        <v>2145.5500000000002</v>
      </c>
      <c r="H1537">
        <v>10727.75</v>
      </c>
      <c r="I1537">
        <v>227.42</v>
      </c>
      <c r="J1537">
        <v>10500.33</v>
      </c>
      <c r="K1537">
        <v>383</v>
      </c>
      <c r="L1537" s="11">
        <v>0.55472222222222223</v>
      </c>
      <c r="M1537">
        <f t="shared" si="116"/>
        <v>9</v>
      </c>
      <c r="N1537">
        <f t="shared" si="117"/>
        <v>2</v>
      </c>
      <c r="O1537">
        <f t="shared" si="118"/>
        <v>2025</v>
      </c>
      <c r="P1537" s="4">
        <f t="shared" si="119"/>
        <v>45697</v>
      </c>
      <c r="Q1537" t="s">
        <v>1139</v>
      </c>
      <c r="R1537" t="s">
        <v>1135</v>
      </c>
      <c r="S1537">
        <v>4</v>
      </c>
      <c r="T1537" t="s">
        <v>1141</v>
      </c>
      <c r="U1537" s="11" t="str">
        <f t="shared" si="120"/>
        <v>01:18:48 PM</v>
      </c>
      <c r="BL1537" s="2" t="s">
        <v>2687</v>
      </c>
    </row>
    <row r="1538" spans="1:64" x14ac:dyDescent="0.35">
      <c r="A1538">
        <v>3527</v>
      </c>
      <c r="B1538" t="s">
        <v>15</v>
      </c>
      <c r="C1538" s="1">
        <v>45719</v>
      </c>
      <c r="D1538" t="s">
        <v>27</v>
      </c>
      <c r="E1538" t="s">
        <v>33</v>
      </c>
      <c r="F1538">
        <v>2</v>
      </c>
      <c r="G1538">
        <v>175.96</v>
      </c>
      <c r="H1538">
        <v>351.92</v>
      </c>
      <c r="I1538">
        <v>209.16</v>
      </c>
      <c r="J1538">
        <v>142.76</v>
      </c>
      <c r="K1538">
        <v>352</v>
      </c>
      <c r="L1538" s="11">
        <v>0.49071759259259257</v>
      </c>
      <c r="M1538">
        <f t="shared" ref="M1538:M1601" si="121">DAY(C1538)</f>
        <v>3</v>
      </c>
      <c r="N1538">
        <f t="shared" ref="N1538:N1601" si="122">MONTH(C1538)</f>
        <v>3</v>
      </c>
      <c r="O1538">
        <f t="shared" ref="O1538:O1601" si="123">YEAR(C1538)</f>
        <v>2025</v>
      </c>
      <c r="P1538" s="4">
        <f t="shared" si="119"/>
        <v>45719</v>
      </c>
      <c r="Q1538" t="s">
        <v>1138</v>
      </c>
      <c r="R1538" t="s">
        <v>1135</v>
      </c>
      <c r="S1538">
        <v>5</v>
      </c>
      <c r="T1538" t="s">
        <v>1149</v>
      </c>
      <c r="U1538" s="11" t="str">
        <f t="shared" si="120"/>
        <v>11:46:38 AM</v>
      </c>
      <c r="BL1538" s="2" t="s">
        <v>2688</v>
      </c>
    </row>
    <row r="1539" spans="1:64" x14ac:dyDescent="0.35">
      <c r="A1539">
        <v>7383</v>
      </c>
      <c r="B1539" t="s">
        <v>31</v>
      </c>
      <c r="C1539" s="1">
        <v>45390</v>
      </c>
      <c r="D1539" t="s">
        <v>16</v>
      </c>
      <c r="E1539" t="s">
        <v>12</v>
      </c>
      <c r="F1539">
        <v>4</v>
      </c>
      <c r="G1539">
        <v>1358.71</v>
      </c>
      <c r="H1539">
        <v>5434.84</v>
      </c>
      <c r="I1539">
        <v>815.06</v>
      </c>
      <c r="J1539">
        <v>4619.78</v>
      </c>
      <c r="K1539">
        <v>488</v>
      </c>
      <c r="L1539" s="11">
        <v>0.54320601851851846</v>
      </c>
      <c r="M1539">
        <f t="shared" si="121"/>
        <v>8</v>
      </c>
      <c r="N1539">
        <f t="shared" si="122"/>
        <v>4</v>
      </c>
      <c r="O1539">
        <f t="shared" si="123"/>
        <v>2024</v>
      </c>
      <c r="P1539" s="4">
        <f t="shared" ref="P1539:P1602" si="124">DATE(O1539,N1539,M1539)</f>
        <v>45390</v>
      </c>
      <c r="Q1539" t="s">
        <v>1139</v>
      </c>
      <c r="R1539" t="s">
        <v>1135</v>
      </c>
      <c r="S1539">
        <v>2</v>
      </c>
      <c r="T1539" t="s">
        <v>1149</v>
      </c>
      <c r="U1539" s="11" t="str">
        <f t="shared" si="120"/>
        <v>01:02:13 PM</v>
      </c>
      <c r="BL1539" s="2" t="s">
        <v>2689</v>
      </c>
    </row>
    <row r="1540" spans="1:64" x14ac:dyDescent="0.35">
      <c r="A1540">
        <v>6909</v>
      </c>
      <c r="B1540" t="s">
        <v>31</v>
      </c>
      <c r="C1540" s="1">
        <v>45227</v>
      </c>
      <c r="D1540" t="s">
        <v>24</v>
      </c>
      <c r="E1540" t="s">
        <v>37</v>
      </c>
      <c r="F1540">
        <v>4</v>
      </c>
      <c r="G1540">
        <v>2000.3</v>
      </c>
      <c r="H1540">
        <v>8001.2</v>
      </c>
      <c r="I1540">
        <v>242.36</v>
      </c>
      <c r="J1540">
        <v>7758.84</v>
      </c>
      <c r="K1540">
        <v>200</v>
      </c>
      <c r="L1540" s="11">
        <v>0.93526620370370372</v>
      </c>
      <c r="M1540">
        <f t="shared" si="121"/>
        <v>28</v>
      </c>
      <c r="N1540">
        <f t="shared" si="122"/>
        <v>10</v>
      </c>
      <c r="O1540">
        <f t="shared" si="123"/>
        <v>2023</v>
      </c>
      <c r="P1540" s="4">
        <f t="shared" si="124"/>
        <v>45227</v>
      </c>
      <c r="Q1540" t="s">
        <v>1139</v>
      </c>
      <c r="R1540" t="s">
        <v>1137</v>
      </c>
      <c r="S1540">
        <v>3</v>
      </c>
      <c r="T1540" t="s">
        <v>1143</v>
      </c>
      <c r="U1540" s="11" t="str">
        <f t="shared" si="120"/>
        <v>10:26:47 PM</v>
      </c>
      <c r="BL1540" s="2" t="s">
        <v>2690</v>
      </c>
    </row>
    <row r="1541" spans="1:64" x14ac:dyDescent="0.35">
      <c r="A1541">
        <v>2499</v>
      </c>
      <c r="B1541" t="s">
        <v>0</v>
      </c>
      <c r="C1541" s="1">
        <v>45149</v>
      </c>
      <c r="D1541" t="s">
        <v>6</v>
      </c>
      <c r="E1541" t="s">
        <v>38</v>
      </c>
      <c r="F1541">
        <v>3</v>
      </c>
      <c r="G1541">
        <v>1092.28</v>
      </c>
      <c r="H1541">
        <v>3276.84</v>
      </c>
      <c r="I1541">
        <v>655.7</v>
      </c>
      <c r="J1541">
        <v>2621.14</v>
      </c>
      <c r="K1541">
        <v>228</v>
      </c>
      <c r="L1541" s="11">
        <v>0.80828703703703708</v>
      </c>
      <c r="M1541">
        <f t="shared" si="121"/>
        <v>11</v>
      </c>
      <c r="N1541">
        <f t="shared" si="122"/>
        <v>8</v>
      </c>
      <c r="O1541">
        <f t="shared" si="123"/>
        <v>2023</v>
      </c>
      <c r="P1541" s="4">
        <f t="shared" si="124"/>
        <v>45149</v>
      </c>
      <c r="Q1541" t="s">
        <v>1138</v>
      </c>
      <c r="R1541" t="s">
        <v>1135</v>
      </c>
      <c r="S1541">
        <v>5</v>
      </c>
      <c r="T1541" t="s">
        <v>1143</v>
      </c>
      <c r="U1541" s="11" t="str">
        <f t="shared" si="120"/>
        <v>07:23:56 PM</v>
      </c>
      <c r="BL1541" s="2" t="s">
        <v>2691</v>
      </c>
    </row>
    <row r="1542" spans="1:64" x14ac:dyDescent="0.35">
      <c r="A1542">
        <v>6050</v>
      </c>
      <c r="B1542" t="s">
        <v>13</v>
      </c>
      <c r="C1542" s="1">
        <v>45490</v>
      </c>
      <c r="D1542" t="s">
        <v>4</v>
      </c>
      <c r="E1542" t="s">
        <v>18</v>
      </c>
      <c r="F1542">
        <v>4</v>
      </c>
      <c r="G1542">
        <v>2383.7600000000002</v>
      </c>
      <c r="H1542">
        <v>9535.0400000000009</v>
      </c>
      <c r="I1542">
        <v>1430.09</v>
      </c>
      <c r="J1542">
        <v>8104.95</v>
      </c>
      <c r="K1542">
        <v>338</v>
      </c>
      <c r="L1542" s="11">
        <v>0.87611111111111106</v>
      </c>
      <c r="M1542">
        <f t="shared" si="121"/>
        <v>17</v>
      </c>
      <c r="N1542">
        <f t="shared" si="122"/>
        <v>7</v>
      </c>
      <c r="O1542">
        <f t="shared" si="123"/>
        <v>2024</v>
      </c>
      <c r="P1542" s="4">
        <f t="shared" si="124"/>
        <v>45490</v>
      </c>
      <c r="Q1542" t="s">
        <v>1134</v>
      </c>
      <c r="R1542" t="s">
        <v>1135</v>
      </c>
      <c r="S1542">
        <v>4</v>
      </c>
      <c r="T1542" t="s">
        <v>1147</v>
      </c>
      <c r="U1542" s="11" t="str">
        <f t="shared" si="120"/>
        <v>09:01:36 PM</v>
      </c>
      <c r="BL1542" s="2" t="s">
        <v>2692</v>
      </c>
    </row>
    <row r="1543" spans="1:64" x14ac:dyDescent="0.35">
      <c r="A1543">
        <v>6896</v>
      </c>
      <c r="B1543" t="s">
        <v>13</v>
      </c>
      <c r="C1543" s="1">
        <v>45736</v>
      </c>
      <c r="D1543" t="s">
        <v>23</v>
      </c>
      <c r="E1543" t="s">
        <v>37</v>
      </c>
      <c r="F1543">
        <v>4</v>
      </c>
      <c r="G1543">
        <v>1528.86</v>
      </c>
      <c r="H1543">
        <v>6115.44</v>
      </c>
      <c r="I1543">
        <v>179.28</v>
      </c>
      <c r="J1543">
        <v>5936.16</v>
      </c>
      <c r="K1543">
        <v>351</v>
      </c>
      <c r="L1543" s="11">
        <v>0.92445601851851855</v>
      </c>
      <c r="M1543">
        <f t="shared" si="121"/>
        <v>20</v>
      </c>
      <c r="N1543">
        <f t="shared" si="122"/>
        <v>3</v>
      </c>
      <c r="O1543">
        <f t="shared" si="123"/>
        <v>2025</v>
      </c>
      <c r="P1543" s="4">
        <f t="shared" si="124"/>
        <v>45736</v>
      </c>
      <c r="Q1543" t="s">
        <v>1134</v>
      </c>
      <c r="R1543" t="s">
        <v>1135</v>
      </c>
      <c r="S1543">
        <v>3</v>
      </c>
      <c r="T1543" t="s">
        <v>1142</v>
      </c>
      <c r="U1543" s="11" t="str">
        <f t="shared" si="120"/>
        <v>10:11:13 PM</v>
      </c>
      <c r="BL1543" s="2" t="s">
        <v>2693</v>
      </c>
    </row>
    <row r="1544" spans="1:64" x14ac:dyDescent="0.35">
      <c r="A1544">
        <v>5419</v>
      </c>
      <c r="B1544" t="s">
        <v>3</v>
      </c>
      <c r="C1544" s="1">
        <v>45224</v>
      </c>
      <c r="D1544" t="s">
        <v>6</v>
      </c>
      <c r="E1544" t="s">
        <v>5</v>
      </c>
      <c r="F1544">
        <v>1</v>
      </c>
      <c r="G1544">
        <v>1435.9</v>
      </c>
      <c r="H1544">
        <v>1435.9</v>
      </c>
      <c r="I1544">
        <v>0</v>
      </c>
      <c r="J1544">
        <v>1435.9</v>
      </c>
      <c r="K1544">
        <v>165</v>
      </c>
      <c r="L1544" s="11">
        <v>0.23413194444444443</v>
      </c>
      <c r="M1544">
        <f t="shared" si="121"/>
        <v>25</v>
      </c>
      <c r="N1544">
        <f t="shared" si="122"/>
        <v>10</v>
      </c>
      <c r="O1544">
        <f t="shared" si="123"/>
        <v>2023</v>
      </c>
      <c r="P1544" s="4">
        <f t="shared" si="124"/>
        <v>45224</v>
      </c>
      <c r="Q1544" t="s">
        <v>1136</v>
      </c>
      <c r="R1544" t="s">
        <v>1137</v>
      </c>
      <c r="S1544">
        <v>3</v>
      </c>
      <c r="T1544" t="s">
        <v>1150</v>
      </c>
      <c r="U1544" s="11" t="str">
        <f t="shared" si="120"/>
        <v>05:37:09 AM</v>
      </c>
      <c r="BL1544" s="2" t="s">
        <v>2694</v>
      </c>
    </row>
    <row r="1545" spans="1:64" x14ac:dyDescent="0.35">
      <c r="A1545">
        <v>3170</v>
      </c>
      <c r="B1545" t="s">
        <v>25</v>
      </c>
      <c r="C1545" s="1">
        <v>45212</v>
      </c>
      <c r="D1545" t="s">
        <v>9</v>
      </c>
      <c r="E1545" t="s">
        <v>21</v>
      </c>
      <c r="F1545">
        <v>4</v>
      </c>
      <c r="G1545">
        <v>1105.56</v>
      </c>
      <c r="H1545">
        <v>4422.24</v>
      </c>
      <c r="I1545">
        <v>663.17</v>
      </c>
      <c r="J1545">
        <v>3759.07</v>
      </c>
      <c r="K1545">
        <v>133</v>
      </c>
      <c r="L1545" s="11">
        <v>6.9930555555555551E-2</v>
      </c>
      <c r="M1545">
        <f t="shared" si="121"/>
        <v>13</v>
      </c>
      <c r="N1545">
        <f t="shared" si="122"/>
        <v>10</v>
      </c>
      <c r="O1545">
        <f t="shared" si="123"/>
        <v>2023</v>
      </c>
      <c r="P1545" s="4">
        <f t="shared" si="124"/>
        <v>45212</v>
      </c>
      <c r="Q1545" t="s">
        <v>1138</v>
      </c>
      <c r="R1545" t="s">
        <v>1137</v>
      </c>
      <c r="S1545">
        <v>4</v>
      </c>
      <c r="T1545" t="s">
        <v>1146</v>
      </c>
      <c r="U1545" s="11" t="str">
        <f t="shared" si="120"/>
        <v>01:40:42 AM</v>
      </c>
      <c r="BL1545" s="2" t="s">
        <v>2695</v>
      </c>
    </row>
    <row r="1546" spans="1:64" x14ac:dyDescent="0.35">
      <c r="A1546">
        <v>4070</v>
      </c>
      <c r="B1546" t="s">
        <v>15</v>
      </c>
      <c r="C1546" s="1">
        <v>45479</v>
      </c>
      <c r="D1546" t="s">
        <v>6</v>
      </c>
      <c r="E1546" t="s">
        <v>10</v>
      </c>
      <c r="F1546">
        <v>1</v>
      </c>
      <c r="G1546">
        <v>825.02</v>
      </c>
      <c r="H1546">
        <v>825.02</v>
      </c>
      <c r="I1546">
        <v>373.5</v>
      </c>
      <c r="J1546">
        <v>451.52</v>
      </c>
      <c r="K1546">
        <v>209</v>
      </c>
      <c r="L1546" s="11">
        <v>0.20090277777777779</v>
      </c>
      <c r="M1546">
        <f t="shared" si="121"/>
        <v>6</v>
      </c>
      <c r="N1546">
        <f t="shared" si="122"/>
        <v>7</v>
      </c>
      <c r="O1546">
        <f t="shared" si="123"/>
        <v>2024</v>
      </c>
      <c r="P1546" s="4">
        <f t="shared" si="124"/>
        <v>45479</v>
      </c>
      <c r="Q1546" t="s">
        <v>1136</v>
      </c>
      <c r="R1546" t="s">
        <v>1135</v>
      </c>
      <c r="S1546">
        <v>5</v>
      </c>
      <c r="T1546" t="s">
        <v>1141</v>
      </c>
      <c r="U1546" s="11" t="str">
        <f t="shared" si="120"/>
        <v>04:49:18 AM</v>
      </c>
      <c r="BL1546" s="2" t="s">
        <v>2696</v>
      </c>
    </row>
    <row r="1547" spans="1:64" x14ac:dyDescent="0.35">
      <c r="A1547">
        <v>8353</v>
      </c>
      <c r="B1547" t="s">
        <v>3</v>
      </c>
      <c r="C1547" s="1">
        <v>45577</v>
      </c>
      <c r="D1547" t="s">
        <v>6</v>
      </c>
      <c r="E1547" t="s">
        <v>38</v>
      </c>
      <c r="F1547">
        <v>5</v>
      </c>
      <c r="G1547">
        <v>1552.1</v>
      </c>
      <c r="H1547">
        <v>7760.5</v>
      </c>
      <c r="I1547">
        <v>0</v>
      </c>
      <c r="J1547">
        <v>7760.5</v>
      </c>
      <c r="K1547">
        <v>66</v>
      </c>
      <c r="L1547" s="11">
        <v>0.88429398148148153</v>
      </c>
      <c r="M1547">
        <f t="shared" si="121"/>
        <v>12</v>
      </c>
      <c r="N1547">
        <f t="shared" si="122"/>
        <v>10</v>
      </c>
      <c r="O1547">
        <f t="shared" si="123"/>
        <v>2024</v>
      </c>
      <c r="P1547" s="4">
        <f t="shared" si="124"/>
        <v>45577</v>
      </c>
      <c r="Q1547" t="s">
        <v>1136</v>
      </c>
      <c r="R1547" t="s">
        <v>1135</v>
      </c>
      <c r="S1547">
        <v>1</v>
      </c>
      <c r="T1547" t="s">
        <v>1143</v>
      </c>
      <c r="U1547" s="11" t="str">
        <f t="shared" si="120"/>
        <v>09:13:23 PM</v>
      </c>
      <c r="BL1547" s="2" t="s">
        <v>2697</v>
      </c>
    </row>
    <row r="1548" spans="1:64" x14ac:dyDescent="0.35">
      <c r="A1548">
        <v>9395</v>
      </c>
      <c r="B1548" t="s">
        <v>20</v>
      </c>
      <c r="C1548" s="1">
        <v>45461</v>
      </c>
      <c r="D1548" t="s">
        <v>9</v>
      </c>
      <c r="E1548" t="s">
        <v>32</v>
      </c>
      <c r="F1548">
        <v>3</v>
      </c>
      <c r="G1548">
        <v>2277.52</v>
      </c>
      <c r="H1548">
        <v>6832.56</v>
      </c>
      <c r="I1548">
        <v>0</v>
      </c>
      <c r="J1548">
        <v>6832.56</v>
      </c>
      <c r="K1548">
        <v>392</v>
      </c>
      <c r="L1548" s="11">
        <v>0.33994212962962961</v>
      </c>
      <c r="M1548">
        <f t="shared" si="121"/>
        <v>18</v>
      </c>
      <c r="N1548">
        <f t="shared" si="122"/>
        <v>6</v>
      </c>
      <c r="O1548">
        <f t="shared" si="123"/>
        <v>2024</v>
      </c>
      <c r="P1548" s="4">
        <f t="shared" si="124"/>
        <v>45461</v>
      </c>
      <c r="Q1548" t="s">
        <v>1136</v>
      </c>
      <c r="R1548" t="s">
        <v>1137</v>
      </c>
      <c r="S1548">
        <v>4</v>
      </c>
      <c r="T1548" t="s">
        <v>1149</v>
      </c>
      <c r="U1548" s="11" t="str">
        <f t="shared" si="120"/>
        <v>08:09:31 AM</v>
      </c>
      <c r="BL1548" s="2" t="s">
        <v>2698</v>
      </c>
    </row>
    <row r="1549" spans="1:64" x14ac:dyDescent="0.35">
      <c r="A1549">
        <v>2692</v>
      </c>
      <c r="B1549" t="s">
        <v>20</v>
      </c>
      <c r="C1549" s="1">
        <v>45165</v>
      </c>
      <c r="D1549" t="s">
        <v>27</v>
      </c>
      <c r="E1549" t="s">
        <v>33</v>
      </c>
      <c r="F1549">
        <v>3</v>
      </c>
      <c r="G1549">
        <v>1371.16</v>
      </c>
      <c r="H1549">
        <v>4113.4799999999996</v>
      </c>
      <c r="I1549">
        <v>0</v>
      </c>
      <c r="J1549">
        <v>4113.4799999999996</v>
      </c>
      <c r="K1549">
        <v>80</v>
      </c>
      <c r="L1549" s="11">
        <v>0.76832175925925927</v>
      </c>
      <c r="M1549">
        <f t="shared" si="121"/>
        <v>27</v>
      </c>
      <c r="N1549">
        <f t="shared" si="122"/>
        <v>8</v>
      </c>
      <c r="O1549">
        <f t="shared" si="123"/>
        <v>2023</v>
      </c>
      <c r="P1549" s="4">
        <f t="shared" si="124"/>
        <v>45165</v>
      </c>
      <c r="Q1549" t="s">
        <v>1134</v>
      </c>
      <c r="R1549" t="s">
        <v>1137</v>
      </c>
      <c r="S1549">
        <v>4</v>
      </c>
      <c r="T1549" t="s">
        <v>1149</v>
      </c>
      <c r="U1549" s="11" t="str">
        <f t="shared" si="120"/>
        <v>06:26:23 PM</v>
      </c>
      <c r="BL1549" s="2" t="s">
        <v>2699</v>
      </c>
    </row>
    <row r="1550" spans="1:64" x14ac:dyDescent="0.35">
      <c r="A1550">
        <v>2468</v>
      </c>
      <c r="B1550" t="s">
        <v>31</v>
      </c>
      <c r="C1550" s="1">
        <v>45419</v>
      </c>
      <c r="D1550" t="s">
        <v>24</v>
      </c>
      <c r="E1550" t="s">
        <v>18</v>
      </c>
      <c r="F1550">
        <v>3</v>
      </c>
      <c r="G1550">
        <v>879.8</v>
      </c>
      <c r="H1550">
        <v>2639.4</v>
      </c>
      <c r="I1550">
        <v>94.62</v>
      </c>
      <c r="J1550">
        <v>2544.7800000000002</v>
      </c>
      <c r="K1550">
        <v>110</v>
      </c>
      <c r="L1550" s="11">
        <v>0.4022337962962963</v>
      </c>
      <c r="M1550">
        <f t="shared" si="121"/>
        <v>7</v>
      </c>
      <c r="N1550">
        <f t="shared" si="122"/>
        <v>5</v>
      </c>
      <c r="O1550">
        <f t="shared" si="123"/>
        <v>2024</v>
      </c>
      <c r="P1550" s="4">
        <f t="shared" si="124"/>
        <v>45419</v>
      </c>
      <c r="Q1550" t="s">
        <v>1138</v>
      </c>
      <c r="R1550" t="s">
        <v>1137</v>
      </c>
      <c r="S1550">
        <v>4</v>
      </c>
      <c r="T1550" t="s">
        <v>1142</v>
      </c>
      <c r="U1550" s="11" t="str">
        <f t="shared" si="120"/>
        <v>09:39:13 AM</v>
      </c>
      <c r="BL1550" s="2" t="s">
        <v>2700</v>
      </c>
    </row>
    <row r="1551" spans="1:64" x14ac:dyDescent="0.35">
      <c r="A1551">
        <v>2524</v>
      </c>
      <c r="B1551" t="s">
        <v>20</v>
      </c>
      <c r="C1551" s="1">
        <v>45608</v>
      </c>
      <c r="D1551" t="s">
        <v>27</v>
      </c>
      <c r="E1551" t="s">
        <v>38</v>
      </c>
      <c r="F1551">
        <v>5</v>
      </c>
      <c r="G1551">
        <v>1039.99</v>
      </c>
      <c r="H1551">
        <v>5199.95</v>
      </c>
      <c r="I1551">
        <v>1039.99</v>
      </c>
      <c r="J1551">
        <v>4159.96</v>
      </c>
      <c r="K1551">
        <v>248</v>
      </c>
      <c r="L1551" s="11">
        <v>0.16401620370370371</v>
      </c>
      <c r="M1551">
        <f t="shared" si="121"/>
        <v>12</v>
      </c>
      <c r="N1551">
        <f t="shared" si="122"/>
        <v>11</v>
      </c>
      <c r="O1551">
        <f t="shared" si="123"/>
        <v>2024</v>
      </c>
      <c r="P1551" s="4">
        <f t="shared" si="124"/>
        <v>45608</v>
      </c>
      <c r="Q1551" t="s">
        <v>1136</v>
      </c>
      <c r="R1551" t="s">
        <v>1137</v>
      </c>
      <c r="S1551">
        <v>3</v>
      </c>
      <c r="T1551" t="s">
        <v>1142</v>
      </c>
      <c r="U1551" s="11" t="str">
        <f t="shared" si="120"/>
        <v>03:56:11 AM</v>
      </c>
      <c r="BL1551" s="2" t="s">
        <v>2701</v>
      </c>
    </row>
    <row r="1552" spans="1:64" x14ac:dyDescent="0.35">
      <c r="A1552">
        <v>6315</v>
      </c>
      <c r="B1552" t="s">
        <v>19</v>
      </c>
      <c r="C1552" s="1">
        <v>45815</v>
      </c>
      <c r="D1552" t="s">
        <v>24</v>
      </c>
      <c r="E1552" t="s">
        <v>28</v>
      </c>
      <c r="F1552">
        <v>2</v>
      </c>
      <c r="G1552">
        <v>1602.73</v>
      </c>
      <c r="H1552">
        <v>3205.46</v>
      </c>
      <c r="I1552">
        <v>173.47</v>
      </c>
      <c r="J1552">
        <v>3031.99</v>
      </c>
      <c r="K1552">
        <v>352</v>
      </c>
      <c r="L1552" s="11">
        <v>0.97112268518518519</v>
      </c>
      <c r="M1552">
        <f t="shared" si="121"/>
        <v>7</v>
      </c>
      <c r="N1552">
        <f t="shared" si="122"/>
        <v>6</v>
      </c>
      <c r="O1552">
        <f t="shared" si="123"/>
        <v>2025</v>
      </c>
      <c r="P1552" s="4">
        <f t="shared" si="124"/>
        <v>45815</v>
      </c>
      <c r="Q1552" t="s">
        <v>1138</v>
      </c>
      <c r="R1552" t="s">
        <v>1137</v>
      </c>
      <c r="S1552">
        <v>2</v>
      </c>
      <c r="T1552" t="s">
        <v>1150</v>
      </c>
      <c r="U1552" s="11" t="str">
        <f t="shared" si="120"/>
        <v>11:18:25 PM</v>
      </c>
      <c r="BL1552" s="2" t="s">
        <v>2702</v>
      </c>
    </row>
    <row r="1553" spans="1:64" x14ac:dyDescent="0.35">
      <c r="A1553">
        <v>7311</v>
      </c>
      <c r="B1553" t="s">
        <v>0</v>
      </c>
      <c r="C1553" s="1">
        <v>45154</v>
      </c>
      <c r="D1553" t="s">
        <v>9</v>
      </c>
      <c r="E1553" t="s">
        <v>21</v>
      </c>
      <c r="F1553">
        <v>2</v>
      </c>
      <c r="G1553">
        <v>2051.7600000000002</v>
      </c>
      <c r="H1553">
        <v>4103.5200000000004</v>
      </c>
      <c r="I1553">
        <v>108.73</v>
      </c>
      <c r="J1553">
        <v>3994.79</v>
      </c>
      <c r="K1553">
        <v>448</v>
      </c>
      <c r="L1553" s="11">
        <v>0.5700115740740741</v>
      </c>
      <c r="M1553">
        <f t="shared" si="121"/>
        <v>16</v>
      </c>
      <c r="N1553">
        <f t="shared" si="122"/>
        <v>8</v>
      </c>
      <c r="O1553">
        <f t="shared" si="123"/>
        <v>2023</v>
      </c>
      <c r="P1553" s="4">
        <f t="shared" si="124"/>
        <v>45154</v>
      </c>
      <c r="Q1553" t="s">
        <v>1138</v>
      </c>
      <c r="R1553" t="s">
        <v>1137</v>
      </c>
      <c r="S1553">
        <v>1</v>
      </c>
      <c r="T1553" t="s">
        <v>1143</v>
      </c>
      <c r="U1553" s="11" t="str">
        <f t="shared" si="120"/>
        <v>01:40:49 PM</v>
      </c>
      <c r="BL1553" s="2" t="s">
        <v>2703</v>
      </c>
    </row>
    <row r="1554" spans="1:64" x14ac:dyDescent="0.35">
      <c r="A1554">
        <v>5781</v>
      </c>
      <c r="B1554" t="s">
        <v>3</v>
      </c>
      <c r="C1554" s="1">
        <v>45466</v>
      </c>
      <c r="D1554" t="s">
        <v>9</v>
      </c>
      <c r="E1554" t="s">
        <v>28</v>
      </c>
      <c r="F1554">
        <v>1</v>
      </c>
      <c r="G1554">
        <v>1869.99</v>
      </c>
      <c r="H1554">
        <v>1869.99</v>
      </c>
      <c r="I1554">
        <v>327.02</v>
      </c>
      <c r="J1554">
        <v>1542.97</v>
      </c>
      <c r="K1554">
        <v>277</v>
      </c>
      <c r="L1554" s="11">
        <v>0.33010416666666664</v>
      </c>
      <c r="M1554">
        <f t="shared" si="121"/>
        <v>23</v>
      </c>
      <c r="N1554">
        <f t="shared" si="122"/>
        <v>6</v>
      </c>
      <c r="O1554">
        <f t="shared" si="123"/>
        <v>2024</v>
      </c>
      <c r="P1554" s="4">
        <f t="shared" si="124"/>
        <v>45466</v>
      </c>
      <c r="Q1554" t="s">
        <v>1134</v>
      </c>
      <c r="R1554" t="s">
        <v>1137</v>
      </c>
      <c r="S1554">
        <v>5</v>
      </c>
      <c r="T1554" t="s">
        <v>1141</v>
      </c>
      <c r="U1554" s="11" t="str">
        <f t="shared" si="120"/>
        <v>07:55:21 AM</v>
      </c>
      <c r="BL1554" s="2" t="s">
        <v>2704</v>
      </c>
    </row>
    <row r="1555" spans="1:64" x14ac:dyDescent="0.35">
      <c r="A1555">
        <v>7353</v>
      </c>
      <c r="B1555" t="s">
        <v>13</v>
      </c>
      <c r="C1555" s="1">
        <v>45750</v>
      </c>
      <c r="D1555" t="s">
        <v>6</v>
      </c>
      <c r="E1555" t="s">
        <v>26</v>
      </c>
      <c r="F1555">
        <v>3</v>
      </c>
      <c r="G1555">
        <v>1105.56</v>
      </c>
      <c r="H1555">
        <v>3316.68</v>
      </c>
      <c r="I1555">
        <v>497.17</v>
      </c>
      <c r="J1555">
        <v>2819.51</v>
      </c>
      <c r="K1555">
        <v>380</v>
      </c>
      <c r="L1555" s="11">
        <v>0.38359953703703703</v>
      </c>
      <c r="M1555">
        <f t="shared" si="121"/>
        <v>3</v>
      </c>
      <c r="N1555">
        <f t="shared" si="122"/>
        <v>4</v>
      </c>
      <c r="O1555">
        <f t="shared" si="123"/>
        <v>2025</v>
      </c>
      <c r="P1555" s="4">
        <f t="shared" si="124"/>
        <v>45750</v>
      </c>
      <c r="Q1555" t="s">
        <v>1136</v>
      </c>
      <c r="R1555" t="s">
        <v>1137</v>
      </c>
      <c r="S1555">
        <v>5</v>
      </c>
      <c r="T1555" t="s">
        <v>1141</v>
      </c>
      <c r="U1555" s="11" t="str">
        <f t="shared" si="120"/>
        <v>09:12:23 AM</v>
      </c>
      <c r="BL1555" s="2" t="s">
        <v>2705</v>
      </c>
    </row>
    <row r="1556" spans="1:64" x14ac:dyDescent="0.35">
      <c r="A1556">
        <v>2387</v>
      </c>
      <c r="B1556" t="s">
        <v>19</v>
      </c>
      <c r="C1556" s="1">
        <v>45708</v>
      </c>
      <c r="D1556" t="s">
        <v>34</v>
      </c>
      <c r="E1556" t="s">
        <v>33</v>
      </c>
      <c r="F1556">
        <v>1</v>
      </c>
      <c r="G1556">
        <v>717.95</v>
      </c>
      <c r="H1556">
        <v>717.95</v>
      </c>
      <c r="I1556">
        <v>72.209999999999994</v>
      </c>
      <c r="J1556">
        <v>645.74</v>
      </c>
      <c r="K1556">
        <v>335</v>
      </c>
      <c r="L1556" s="11">
        <v>0.43412037037037038</v>
      </c>
      <c r="M1556">
        <f t="shared" si="121"/>
        <v>20</v>
      </c>
      <c r="N1556">
        <f t="shared" si="122"/>
        <v>2</v>
      </c>
      <c r="O1556">
        <f t="shared" si="123"/>
        <v>2025</v>
      </c>
      <c r="P1556" s="4">
        <f t="shared" si="124"/>
        <v>45708</v>
      </c>
      <c r="Q1556" t="s">
        <v>1136</v>
      </c>
      <c r="R1556" t="s">
        <v>1137</v>
      </c>
      <c r="S1556">
        <v>2</v>
      </c>
      <c r="T1556" t="s">
        <v>1147</v>
      </c>
      <c r="U1556" s="11" t="str">
        <f t="shared" si="120"/>
        <v>10:25:08 AM</v>
      </c>
      <c r="BL1556" s="2" t="s">
        <v>2706</v>
      </c>
    </row>
    <row r="1557" spans="1:64" x14ac:dyDescent="0.35">
      <c r="A1557">
        <v>4977</v>
      </c>
      <c r="B1557" t="s">
        <v>19</v>
      </c>
      <c r="C1557" s="1">
        <v>45589</v>
      </c>
      <c r="D1557" t="s">
        <v>9</v>
      </c>
      <c r="E1557" t="s">
        <v>32</v>
      </c>
      <c r="F1557">
        <v>2</v>
      </c>
      <c r="G1557">
        <v>2409.4899999999998</v>
      </c>
      <c r="H1557">
        <v>4818.9799999999996</v>
      </c>
      <c r="I1557">
        <v>482.23</v>
      </c>
      <c r="J1557">
        <v>4336.75</v>
      </c>
      <c r="K1557">
        <v>287</v>
      </c>
      <c r="L1557" s="11">
        <v>0.78618055555555555</v>
      </c>
      <c r="M1557">
        <f t="shared" si="121"/>
        <v>24</v>
      </c>
      <c r="N1557">
        <f t="shared" si="122"/>
        <v>10</v>
      </c>
      <c r="O1557">
        <f t="shared" si="123"/>
        <v>2024</v>
      </c>
      <c r="P1557" s="4">
        <f t="shared" si="124"/>
        <v>45589</v>
      </c>
      <c r="Q1557" t="s">
        <v>1138</v>
      </c>
      <c r="R1557" t="s">
        <v>1135</v>
      </c>
      <c r="S1557">
        <v>4</v>
      </c>
      <c r="T1557" t="s">
        <v>1147</v>
      </c>
      <c r="U1557" s="11" t="str">
        <f t="shared" si="120"/>
        <v>06:52:06 PM</v>
      </c>
      <c r="BL1557" s="2" t="s">
        <v>2707</v>
      </c>
    </row>
    <row r="1558" spans="1:64" x14ac:dyDescent="0.35">
      <c r="A1558">
        <v>9537</v>
      </c>
      <c r="B1558" t="s">
        <v>19</v>
      </c>
      <c r="C1558" s="1">
        <v>45276</v>
      </c>
      <c r="D1558" t="s">
        <v>27</v>
      </c>
      <c r="E1558" t="s">
        <v>36</v>
      </c>
      <c r="F1558">
        <v>2</v>
      </c>
      <c r="G1558">
        <v>1002.64</v>
      </c>
      <c r="H1558">
        <v>2005.28</v>
      </c>
      <c r="I1558">
        <v>300.45999999999998</v>
      </c>
      <c r="J1558">
        <v>1704.82</v>
      </c>
      <c r="K1558">
        <v>254</v>
      </c>
      <c r="L1558" s="11">
        <v>0.82596064814814818</v>
      </c>
      <c r="M1558">
        <f t="shared" si="121"/>
        <v>16</v>
      </c>
      <c r="N1558">
        <f t="shared" si="122"/>
        <v>12</v>
      </c>
      <c r="O1558">
        <f t="shared" si="123"/>
        <v>2023</v>
      </c>
      <c r="P1558" s="4">
        <f t="shared" si="124"/>
        <v>45276</v>
      </c>
      <c r="Q1558" t="s">
        <v>1139</v>
      </c>
      <c r="R1558" t="s">
        <v>1135</v>
      </c>
      <c r="S1558">
        <v>1</v>
      </c>
      <c r="T1558" t="s">
        <v>1146</v>
      </c>
      <c r="U1558" s="11" t="str">
        <f t="shared" si="120"/>
        <v>07:49:23 PM</v>
      </c>
      <c r="BL1558" s="2" t="s">
        <v>2708</v>
      </c>
    </row>
    <row r="1559" spans="1:64" x14ac:dyDescent="0.35">
      <c r="A1559">
        <v>7237</v>
      </c>
      <c r="B1559" t="s">
        <v>3</v>
      </c>
      <c r="C1559" s="1">
        <v>45276</v>
      </c>
      <c r="D1559" t="s">
        <v>4</v>
      </c>
      <c r="E1559" t="s">
        <v>22</v>
      </c>
      <c r="F1559">
        <v>2</v>
      </c>
      <c r="G1559">
        <v>1473.25</v>
      </c>
      <c r="H1559">
        <v>2946.5</v>
      </c>
      <c r="I1559">
        <v>589.29999999999995</v>
      </c>
      <c r="J1559">
        <v>2357.1999999999998</v>
      </c>
      <c r="K1559">
        <v>12</v>
      </c>
      <c r="L1559" s="11">
        <v>1.0659722222222221E-2</v>
      </c>
      <c r="M1559">
        <f t="shared" si="121"/>
        <v>16</v>
      </c>
      <c r="N1559">
        <f t="shared" si="122"/>
        <v>12</v>
      </c>
      <c r="O1559">
        <f t="shared" si="123"/>
        <v>2023</v>
      </c>
      <c r="P1559" s="4">
        <f t="shared" si="124"/>
        <v>45276</v>
      </c>
      <c r="Q1559" t="s">
        <v>1134</v>
      </c>
      <c r="R1559" t="s">
        <v>1135</v>
      </c>
      <c r="S1559">
        <v>5</v>
      </c>
      <c r="T1559" t="s">
        <v>1148</v>
      </c>
      <c r="U1559" s="11" t="str">
        <f t="shared" si="120"/>
        <v>12:15:21 AM</v>
      </c>
      <c r="BL1559" s="2" t="s">
        <v>2709</v>
      </c>
    </row>
    <row r="1560" spans="1:64" x14ac:dyDescent="0.35">
      <c r="A1560">
        <v>3274</v>
      </c>
      <c r="B1560" t="s">
        <v>15</v>
      </c>
      <c r="C1560" s="1">
        <v>45353</v>
      </c>
      <c r="D1560" t="s">
        <v>11</v>
      </c>
      <c r="E1560" t="s">
        <v>37</v>
      </c>
      <c r="F1560">
        <v>5</v>
      </c>
      <c r="G1560">
        <v>344.45</v>
      </c>
      <c r="H1560">
        <v>1722.25</v>
      </c>
      <c r="I1560">
        <v>344.45</v>
      </c>
      <c r="J1560">
        <v>1377.8</v>
      </c>
      <c r="K1560">
        <v>159</v>
      </c>
      <c r="L1560" s="11">
        <v>0.69196759259259255</v>
      </c>
      <c r="M1560">
        <f t="shared" si="121"/>
        <v>2</v>
      </c>
      <c r="N1560">
        <f t="shared" si="122"/>
        <v>3</v>
      </c>
      <c r="O1560">
        <f t="shared" si="123"/>
        <v>2024</v>
      </c>
      <c r="P1560" s="4">
        <f t="shared" si="124"/>
        <v>45353</v>
      </c>
      <c r="Q1560" t="s">
        <v>1134</v>
      </c>
      <c r="R1560" t="s">
        <v>1137</v>
      </c>
      <c r="S1560">
        <v>5</v>
      </c>
      <c r="T1560" t="s">
        <v>1149</v>
      </c>
      <c r="U1560" s="11" t="str">
        <f t="shared" si="120"/>
        <v>04:36:26 PM</v>
      </c>
      <c r="BL1560" s="2" t="s">
        <v>2710</v>
      </c>
    </row>
    <row r="1561" spans="1:64" x14ac:dyDescent="0.35">
      <c r="A1561">
        <v>5933</v>
      </c>
      <c r="B1561" t="s">
        <v>0</v>
      </c>
      <c r="C1561" s="1">
        <v>45353</v>
      </c>
      <c r="D1561" t="s">
        <v>4</v>
      </c>
      <c r="E1561" t="s">
        <v>7</v>
      </c>
      <c r="F1561">
        <v>2</v>
      </c>
      <c r="G1561">
        <v>581.83000000000004</v>
      </c>
      <c r="H1561">
        <v>1163.6600000000001</v>
      </c>
      <c r="I1561">
        <v>166</v>
      </c>
      <c r="J1561">
        <v>997.66</v>
      </c>
      <c r="K1561">
        <v>482</v>
      </c>
      <c r="L1561" s="11">
        <v>0.56835648148148143</v>
      </c>
      <c r="M1561">
        <f t="shared" si="121"/>
        <v>2</v>
      </c>
      <c r="N1561">
        <f t="shared" si="122"/>
        <v>3</v>
      </c>
      <c r="O1561">
        <f t="shared" si="123"/>
        <v>2024</v>
      </c>
      <c r="P1561" s="4">
        <f t="shared" si="124"/>
        <v>45353</v>
      </c>
      <c r="Q1561" t="s">
        <v>1134</v>
      </c>
      <c r="R1561" t="s">
        <v>1135</v>
      </c>
      <c r="S1561">
        <v>4</v>
      </c>
      <c r="T1561" t="s">
        <v>1147</v>
      </c>
      <c r="U1561" s="11" t="str">
        <f t="shared" si="120"/>
        <v>01:38:26 PM</v>
      </c>
      <c r="BL1561" s="2" t="s">
        <v>2711</v>
      </c>
    </row>
    <row r="1562" spans="1:64" x14ac:dyDescent="0.35">
      <c r="A1562">
        <v>9079</v>
      </c>
      <c r="B1562" t="s">
        <v>8</v>
      </c>
      <c r="C1562" s="1">
        <v>45258</v>
      </c>
      <c r="D1562" t="s">
        <v>9</v>
      </c>
      <c r="E1562" t="s">
        <v>37</v>
      </c>
      <c r="F1562">
        <v>5</v>
      </c>
      <c r="G1562">
        <v>1822.68</v>
      </c>
      <c r="H1562">
        <v>9113.4</v>
      </c>
      <c r="I1562">
        <v>337.81</v>
      </c>
      <c r="J1562">
        <v>8775.59</v>
      </c>
      <c r="K1562">
        <v>290</v>
      </c>
      <c r="L1562" s="11">
        <v>0.26928240740740739</v>
      </c>
      <c r="M1562">
        <f t="shared" si="121"/>
        <v>28</v>
      </c>
      <c r="N1562">
        <f t="shared" si="122"/>
        <v>11</v>
      </c>
      <c r="O1562">
        <f t="shared" si="123"/>
        <v>2023</v>
      </c>
      <c r="P1562" s="4">
        <f t="shared" si="124"/>
        <v>45258</v>
      </c>
      <c r="Q1562" t="s">
        <v>1134</v>
      </c>
      <c r="R1562" t="s">
        <v>1137</v>
      </c>
      <c r="S1562">
        <v>2</v>
      </c>
      <c r="T1562" t="s">
        <v>1146</v>
      </c>
      <c r="U1562" s="11" t="str">
        <f t="shared" si="120"/>
        <v>06:27:46 AM</v>
      </c>
      <c r="BL1562" s="2" t="s">
        <v>2712</v>
      </c>
    </row>
    <row r="1563" spans="1:64" x14ac:dyDescent="0.35">
      <c r="A1563">
        <v>2036</v>
      </c>
      <c r="B1563" t="s">
        <v>19</v>
      </c>
      <c r="C1563" s="1">
        <v>45274</v>
      </c>
      <c r="D1563" t="s">
        <v>9</v>
      </c>
      <c r="E1563" t="s">
        <v>26</v>
      </c>
      <c r="F1563">
        <v>3</v>
      </c>
      <c r="G1563">
        <v>2090.77</v>
      </c>
      <c r="H1563">
        <v>6272.31</v>
      </c>
      <c r="I1563">
        <v>0</v>
      </c>
      <c r="J1563">
        <v>6272.31</v>
      </c>
      <c r="K1563">
        <v>18</v>
      </c>
      <c r="L1563" s="11">
        <v>0.90491898148148153</v>
      </c>
      <c r="M1563">
        <f t="shared" si="121"/>
        <v>14</v>
      </c>
      <c r="N1563">
        <f t="shared" si="122"/>
        <v>12</v>
      </c>
      <c r="O1563">
        <f t="shared" si="123"/>
        <v>2023</v>
      </c>
      <c r="P1563" s="4">
        <f t="shared" si="124"/>
        <v>45274</v>
      </c>
      <c r="Q1563" t="s">
        <v>1136</v>
      </c>
      <c r="R1563" t="s">
        <v>1137</v>
      </c>
      <c r="S1563">
        <v>1</v>
      </c>
      <c r="T1563" t="s">
        <v>1142</v>
      </c>
      <c r="U1563" s="11" t="str">
        <f t="shared" si="120"/>
        <v>09:43:05 PM</v>
      </c>
      <c r="BL1563" s="2" t="s">
        <v>2713</v>
      </c>
    </row>
    <row r="1564" spans="1:64" x14ac:dyDescent="0.35">
      <c r="A1564">
        <v>8121</v>
      </c>
      <c r="B1564" t="s">
        <v>13</v>
      </c>
      <c r="C1564" s="1">
        <v>45359</v>
      </c>
      <c r="D1564" t="s">
        <v>1</v>
      </c>
      <c r="E1564" t="s">
        <v>2</v>
      </c>
      <c r="F1564">
        <v>2</v>
      </c>
      <c r="G1564">
        <v>1899.87</v>
      </c>
      <c r="H1564">
        <v>3799.74</v>
      </c>
      <c r="I1564">
        <v>249</v>
      </c>
      <c r="J1564">
        <v>3550.74</v>
      </c>
      <c r="K1564">
        <v>406</v>
      </c>
      <c r="L1564" s="11">
        <v>0.20603009259259258</v>
      </c>
      <c r="M1564">
        <f t="shared" si="121"/>
        <v>8</v>
      </c>
      <c r="N1564">
        <f t="shared" si="122"/>
        <v>3</v>
      </c>
      <c r="O1564">
        <f t="shared" si="123"/>
        <v>2024</v>
      </c>
      <c r="P1564" s="4">
        <f t="shared" si="124"/>
        <v>45359</v>
      </c>
      <c r="Q1564" t="s">
        <v>1136</v>
      </c>
      <c r="R1564" t="s">
        <v>1135</v>
      </c>
      <c r="S1564">
        <v>2</v>
      </c>
      <c r="T1564" t="s">
        <v>1149</v>
      </c>
      <c r="U1564" s="11" t="str">
        <f t="shared" si="120"/>
        <v>04:56:41 AM</v>
      </c>
      <c r="BL1564" s="2" t="s">
        <v>2714</v>
      </c>
    </row>
    <row r="1565" spans="1:64" x14ac:dyDescent="0.35">
      <c r="A1565">
        <v>7899</v>
      </c>
      <c r="B1565" t="s">
        <v>31</v>
      </c>
      <c r="C1565" s="1">
        <v>45377</v>
      </c>
      <c r="D1565" t="s">
        <v>11</v>
      </c>
      <c r="E1565" t="s">
        <v>22</v>
      </c>
      <c r="F1565">
        <v>4</v>
      </c>
      <c r="G1565">
        <v>1320.53</v>
      </c>
      <c r="H1565">
        <v>5282.12</v>
      </c>
      <c r="I1565">
        <v>224.1</v>
      </c>
      <c r="J1565">
        <v>5058.0200000000004</v>
      </c>
      <c r="K1565">
        <v>439</v>
      </c>
      <c r="L1565" s="11">
        <v>1.9537037037037037E-2</v>
      </c>
      <c r="M1565">
        <f t="shared" si="121"/>
        <v>26</v>
      </c>
      <c r="N1565">
        <f t="shared" si="122"/>
        <v>3</v>
      </c>
      <c r="O1565">
        <f t="shared" si="123"/>
        <v>2024</v>
      </c>
      <c r="P1565" s="4">
        <f t="shared" si="124"/>
        <v>45377</v>
      </c>
      <c r="Q1565" t="s">
        <v>1139</v>
      </c>
      <c r="R1565" t="s">
        <v>1137</v>
      </c>
      <c r="S1565">
        <v>2</v>
      </c>
      <c r="T1565" t="s">
        <v>1147</v>
      </c>
      <c r="U1565" s="11" t="str">
        <f t="shared" si="120"/>
        <v>12:28:08 AM</v>
      </c>
      <c r="BL1565" s="2" t="s">
        <v>2715</v>
      </c>
    </row>
    <row r="1566" spans="1:64" x14ac:dyDescent="0.35">
      <c r="A1566">
        <v>8933</v>
      </c>
      <c r="B1566" t="s">
        <v>0</v>
      </c>
      <c r="C1566" s="1">
        <v>45752</v>
      </c>
      <c r="D1566" t="s">
        <v>9</v>
      </c>
      <c r="E1566" t="s">
        <v>30</v>
      </c>
      <c r="F1566">
        <v>1</v>
      </c>
      <c r="G1566">
        <v>472.27</v>
      </c>
      <c r="H1566">
        <v>472.27</v>
      </c>
      <c r="I1566">
        <v>94.62</v>
      </c>
      <c r="J1566">
        <v>377.65</v>
      </c>
      <c r="K1566">
        <v>383</v>
      </c>
      <c r="L1566" s="11">
        <v>0.23098379629629628</v>
      </c>
      <c r="M1566">
        <f t="shared" si="121"/>
        <v>5</v>
      </c>
      <c r="N1566">
        <f t="shared" si="122"/>
        <v>4</v>
      </c>
      <c r="O1566">
        <f t="shared" si="123"/>
        <v>2025</v>
      </c>
      <c r="P1566" s="4">
        <f t="shared" si="124"/>
        <v>45752</v>
      </c>
      <c r="Q1566" t="s">
        <v>1134</v>
      </c>
      <c r="R1566" t="s">
        <v>1135</v>
      </c>
      <c r="S1566">
        <v>1</v>
      </c>
      <c r="T1566" t="s">
        <v>1144</v>
      </c>
      <c r="U1566" s="11" t="str">
        <f t="shared" si="120"/>
        <v>05:32:37 AM</v>
      </c>
      <c r="BL1566" s="2" t="s">
        <v>2716</v>
      </c>
    </row>
    <row r="1567" spans="1:64" x14ac:dyDescent="0.35">
      <c r="A1567">
        <v>2260</v>
      </c>
      <c r="B1567" t="s">
        <v>31</v>
      </c>
      <c r="C1567" s="1">
        <v>45425</v>
      </c>
      <c r="D1567" t="s">
        <v>34</v>
      </c>
      <c r="E1567" t="s">
        <v>38</v>
      </c>
      <c r="F1567">
        <v>1</v>
      </c>
      <c r="G1567">
        <v>2213.61</v>
      </c>
      <c r="H1567">
        <v>2213.61</v>
      </c>
      <c r="I1567">
        <v>0</v>
      </c>
      <c r="J1567">
        <v>2213.61</v>
      </c>
      <c r="K1567">
        <v>253</v>
      </c>
      <c r="L1567" s="11">
        <v>0.84275462962962966</v>
      </c>
      <c r="M1567">
        <f t="shared" si="121"/>
        <v>13</v>
      </c>
      <c r="N1567">
        <f t="shared" si="122"/>
        <v>5</v>
      </c>
      <c r="O1567">
        <f t="shared" si="123"/>
        <v>2024</v>
      </c>
      <c r="P1567" s="4">
        <f t="shared" si="124"/>
        <v>45425</v>
      </c>
      <c r="Q1567" t="s">
        <v>1134</v>
      </c>
      <c r="R1567" t="s">
        <v>1135</v>
      </c>
      <c r="S1567">
        <v>1</v>
      </c>
      <c r="T1567" t="s">
        <v>1150</v>
      </c>
      <c r="U1567" s="11" t="str">
        <f t="shared" si="120"/>
        <v>08:13:34 PM</v>
      </c>
      <c r="BL1567" s="2" t="s">
        <v>2717</v>
      </c>
    </row>
    <row r="1568" spans="1:64" x14ac:dyDescent="0.35">
      <c r="A1568">
        <v>5123</v>
      </c>
      <c r="B1568" t="s">
        <v>3</v>
      </c>
      <c r="C1568" s="1">
        <v>45336</v>
      </c>
      <c r="D1568" t="s">
        <v>34</v>
      </c>
      <c r="E1568" t="s">
        <v>30</v>
      </c>
      <c r="F1568">
        <v>5</v>
      </c>
      <c r="G1568">
        <v>1088.96</v>
      </c>
      <c r="H1568">
        <v>5444.8</v>
      </c>
      <c r="I1568">
        <v>227.42</v>
      </c>
      <c r="J1568">
        <v>5217.38</v>
      </c>
      <c r="K1568">
        <v>4</v>
      </c>
      <c r="L1568" s="11">
        <v>0.66146990740740741</v>
      </c>
      <c r="M1568">
        <f t="shared" si="121"/>
        <v>14</v>
      </c>
      <c r="N1568">
        <f t="shared" si="122"/>
        <v>2</v>
      </c>
      <c r="O1568">
        <f t="shared" si="123"/>
        <v>2024</v>
      </c>
      <c r="P1568" s="4">
        <f t="shared" si="124"/>
        <v>45336</v>
      </c>
      <c r="Q1568" t="s">
        <v>1138</v>
      </c>
      <c r="R1568" t="s">
        <v>1135</v>
      </c>
      <c r="S1568">
        <v>5</v>
      </c>
      <c r="T1568" t="s">
        <v>1147</v>
      </c>
      <c r="U1568" s="11" t="str">
        <f t="shared" si="120"/>
        <v>03:52:31 PM</v>
      </c>
      <c r="BL1568" s="2" t="s">
        <v>2718</v>
      </c>
    </row>
    <row r="1569" spans="1:64" x14ac:dyDescent="0.35">
      <c r="A1569">
        <v>9123</v>
      </c>
      <c r="B1569" t="s">
        <v>19</v>
      </c>
      <c r="C1569" s="1">
        <v>45606</v>
      </c>
      <c r="D1569" t="s">
        <v>16</v>
      </c>
      <c r="E1569" t="s">
        <v>2</v>
      </c>
      <c r="F1569">
        <v>5</v>
      </c>
      <c r="G1569">
        <v>858.22</v>
      </c>
      <c r="H1569">
        <v>4291.1000000000004</v>
      </c>
      <c r="I1569">
        <v>298.8</v>
      </c>
      <c r="J1569">
        <v>3992.3</v>
      </c>
      <c r="K1569">
        <v>455</v>
      </c>
      <c r="L1569" s="11">
        <v>0.63240740740740742</v>
      </c>
      <c r="M1569">
        <f t="shared" si="121"/>
        <v>10</v>
      </c>
      <c r="N1569">
        <f t="shared" si="122"/>
        <v>11</v>
      </c>
      <c r="O1569">
        <f t="shared" si="123"/>
        <v>2024</v>
      </c>
      <c r="P1569" s="4">
        <f t="shared" si="124"/>
        <v>45606</v>
      </c>
      <c r="Q1569" t="s">
        <v>1136</v>
      </c>
      <c r="R1569" t="s">
        <v>1137</v>
      </c>
      <c r="S1569">
        <v>5</v>
      </c>
      <c r="T1569" t="s">
        <v>1149</v>
      </c>
      <c r="U1569" s="11" t="str">
        <f t="shared" si="120"/>
        <v>03:10:40 PM</v>
      </c>
      <c r="BL1569" s="2" t="s">
        <v>2719</v>
      </c>
    </row>
    <row r="1570" spans="1:64" x14ac:dyDescent="0.35">
      <c r="A1570">
        <v>4203</v>
      </c>
      <c r="B1570" t="s">
        <v>8</v>
      </c>
      <c r="C1570" s="1">
        <v>45500</v>
      </c>
      <c r="D1570" t="s">
        <v>24</v>
      </c>
      <c r="E1570" t="s">
        <v>36</v>
      </c>
      <c r="F1570">
        <v>2</v>
      </c>
      <c r="G1570">
        <v>2014.41</v>
      </c>
      <c r="H1570">
        <v>4028.82</v>
      </c>
      <c r="I1570">
        <v>283.86</v>
      </c>
      <c r="J1570">
        <v>3744.96</v>
      </c>
      <c r="K1570">
        <v>487</v>
      </c>
      <c r="L1570" s="11">
        <v>0.19061342592592592</v>
      </c>
      <c r="M1570">
        <f t="shared" si="121"/>
        <v>27</v>
      </c>
      <c r="N1570">
        <f t="shared" si="122"/>
        <v>7</v>
      </c>
      <c r="O1570">
        <f t="shared" si="123"/>
        <v>2024</v>
      </c>
      <c r="P1570" s="4">
        <f t="shared" si="124"/>
        <v>45500</v>
      </c>
      <c r="Q1570" t="s">
        <v>1134</v>
      </c>
      <c r="R1570" t="s">
        <v>1135</v>
      </c>
      <c r="S1570">
        <v>1</v>
      </c>
      <c r="T1570" t="s">
        <v>1146</v>
      </c>
      <c r="U1570" s="11" t="str">
        <f t="shared" si="120"/>
        <v>04:34:29 AM</v>
      </c>
      <c r="BL1570" s="2" t="s">
        <v>2720</v>
      </c>
    </row>
    <row r="1571" spans="1:64" x14ac:dyDescent="0.35">
      <c r="A1571">
        <v>2752</v>
      </c>
      <c r="B1571" t="s">
        <v>15</v>
      </c>
      <c r="C1571" s="1">
        <v>45250</v>
      </c>
      <c r="D1571" t="s">
        <v>34</v>
      </c>
      <c r="E1571" t="s">
        <v>33</v>
      </c>
      <c r="F1571">
        <v>3</v>
      </c>
      <c r="G1571">
        <v>2314.04</v>
      </c>
      <c r="H1571">
        <v>6942.12</v>
      </c>
      <c r="I1571">
        <v>1388.59</v>
      </c>
      <c r="J1571">
        <v>5553.53</v>
      </c>
      <c r="K1571">
        <v>368</v>
      </c>
      <c r="L1571" s="11">
        <v>0.59607638888888892</v>
      </c>
      <c r="M1571">
        <f t="shared" si="121"/>
        <v>20</v>
      </c>
      <c r="N1571">
        <f t="shared" si="122"/>
        <v>11</v>
      </c>
      <c r="O1571">
        <f t="shared" si="123"/>
        <v>2023</v>
      </c>
      <c r="P1571" s="4">
        <f t="shared" si="124"/>
        <v>45250</v>
      </c>
      <c r="Q1571" t="s">
        <v>1139</v>
      </c>
      <c r="R1571" t="s">
        <v>1137</v>
      </c>
      <c r="S1571">
        <v>3</v>
      </c>
      <c r="T1571" t="s">
        <v>1145</v>
      </c>
      <c r="U1571" s="11" t="str">
        <f t="shared" si="120"/>
        <v>02:18:21 PM</v>
      </c>
      <c r="BL1571" s="2" t="s">
        <v>2721</v>
      </c>
    </row>
    <row r="1572" spans="1:64" x14ac:dyDescent="0.35">
      <c r="A1572">
        <v>5991</v>
      </c>
      <c r="B1572" t="s">
        <v>3</v>
      </c>
      <c r="C1572" s="1">
        <v>45150</v>
      </c>
      <c r="D1572" t="s">
        <v>34</v>
      </c>
      <c r="E1572" t="s">
        <v>28</v>
      </c>
      <c r="F1572">
        <v>3</v>
      </c>
      <c r="G1572">
        <v>1083.98</v>
      </c>
      <c r="H1572">
        <v>3251.94</v>
      </c>
      <c r="I1572">
        <v>412.51</v>
      </c>
      <c r="J1572">
        <v>2839.43</v>
      </c>
      <c r="K1572">
        <v>76</v>
      </c>
      <c r="L1572" s="11">
        <v>3.1643518518518515E-2</v>
      </c>
      <c r="M1572">
        <f t="shared" si="121"/>
        <v>12</v>
      </c>
      <c r="N1572">
        <f t="shared" si="122"/>
        <v>8</v>
      </c>
      <c r="O1572">
        <f t="shared" si="123"/>
        <v>2023</v>
      </c>
      <c r="P1572" s="4">
        <f t="shared" si="124"/>
        <v>45150</v>
      </c>
      <c r="Q1572" t="s">
        <v>1139</v>
      </c>
      <c r="R1572" t="s">
        <v>1135</v>
      </c>
      <c r="S1572">
        <v>5</v>
      </c>
      <c r="T1572" t="s">
        <v>1142</v>
      </c>
      <c r="U1572" s="11" t="str">
        <f t="shared" si="120"/>
        <v>12:45:34 AM</v>
      </c>
      <c r="BL1572" s="2" t="s">
        <v>2722</v>
      </c>
    </row>
    <row r="1573" spans="1:64" x14ac:dyDescent="0.35">
      <c r="A1573">
        <v>7483</v>
      </c>
      <c r="B1573" t="s">
        <v>20</v>
      </c>
      <c r="C1573" s="1">
        <v>45403</v>
      </c>
      <c r="D1573" t="s">
        <v>24</v>
      </c>
      <c r="E1573" t="s">
        <v>33</v>
      </c>
      <c r="F1573">
        <v>2</v>
      </c>
      <c r="G1573">
        <v>1752.96</v>
      </c>
      <c r="H1573">
        <v>3505.92</v>
      </c>
      <c r="I1573">
        <v>526.22</v>
      </c>
      <c r="J1573">
        <v>2979.7</v>
      </c>
      <c r="K1573">
        <v>275</v>
      </c>
      <c r="L1573" s="11">
        <v>0.40474537037037039</v>
      </c>
      <c r="M1573">
        <f t="shared" si="121"/>
        <v>21</v>
      </c>
      <c r="N1573">
        <f t="shared" si="122"/>
        <v>4</v>
      </c>
      <c r="O1573">
        <f t="shared" si="123"/>
        <v>2024</v>
      </c>
      <c r="P1573" s="4">
        <f t="shared" si="124"/>
        <v>45403</v>
      </c>
      <c r="Q1573" t="s">
        <v>1136</v>
      </c>
      <c r="R1573" t="s">
        <v>1135</v>
      </c>
      <c r="S1573">
        <v>3</v>
      </c>
      <c r="T1573" t="s">
        <v>1149</v>
      </c>
      <c r="U1573" s="11" t="str">
        <f t="shared" si="120"/>
        <v>09:42:50 AM</v>
      </c>
      <c r="BL1573" s="2" t="s">
        <v>2723</v>
      </c>
    </row>
    <row r="1574" spans="1:64" x14ac:dyDescent="0.35">
      <c r="A1574">
        <v>7224</v>
      </c>
      <c r="B1574" t="s">
        <v>0</v>
      </c>
      <c r="C1574" s="1">
        <v>45769</v>
      </c>
      <c r="D1574" t="s">
        <v>1</v>
      </c>
      <c r="E1574" t="s">
        <v>22</v>
      </c>
      <c r="F1574">
        <v>5</v>
      </c>
      <c r="G1574">
        <v>458.99</v>
      </c>
      <c r="H1574">
        <v>2294.9499999999998</v>
      </c>
      <c r="I1574">
        <v>344.45</v>
      </c>
      <c r="J1574">
        <v>1950.5</v>
      </c>
      <c r="K1574">
        <v>179</v>
      </c>
      <c r="L1574" s="11">
        <v>0.52195601851851847</v>
      </c>
      <c r="M1574">
        <f t="shared" si="121"/>
        <v>22</v>
      </c>
      <c r="N1574">
        <f t="shared" si="122"/>
        <v>4</v>
      </c>
      <c r="O1574">
        <f t="shared" si="123"/>
        <v>2025</v>
      </c>
      <c r="P1574" s="4">
        <f t="shared" si="124"/>
        <v>45769</v>
      </c>
      <c r="Q1574" t="s">
        <v>1139</v>
      </c>
      <c r="R1574" t="s">
        <v>1135</v>
      </c>
      <c r="S1574">
        <v>1</v>
      </c>
      <c r="T1574" t="s">
        <v>1141</v>
      </c>
      <c r="U1574" s="11" t="str">
        <f t="shared" si="120"/>
        <v>12:31:37 PM</v>
      </c>
      <c r="BL1574" s="2" t="s">
        <v>2724</v>
      </c>
    </row>
    <row r="1575" spans="1:64" x14ac:dyDescent="0.35">
      <c r="A1575">
        <v>6399</v>
      </c>
      <c r="B1575" t="s">
        <v>20</v>
      </c>
      <c r="C1575" s="1">
        <v>45486</v>
      </c>
      <c r="D1575" t="s">
        <v>6</v>
      </c>
      <c r="E1575" t="s">
        <v>2</v>
      </c>
      <c r="F1575">
        <v>3</v>
      </c>
      <c r="G1575">
        <v>2057.5700000000002</v>
      </c>
      <c r="H1575">
        <v>6172.71</v>
      </c>
      <c r="I1575">
        <v>325.36</v>
      </c>
      <c r="J1575">
        <v>5847.35</v>
      </c>
      <c r="K1575">
        <v>444</v>
      </c>
      <c r="L1575" s="11">
        <v>0.18994212962962964</v>
      </c>
      <c r="M1575">
        <f t="shared" si="121"/>
        <v>13</v>
      </c>
      <c r="N1575">
        <f t="shared" si="122"/>
        <v>7</v>
      </c>
      <c r="O1575">
        <f t="shared" si="123"/>
        <v>2024</v>
      </c>
      <c r="P1575" s="4">
        <f t="shared" si="124"/>
        <v>45486</v>
      </c>
      <c r="Q1575" t="s">
        <v>1139</v>
      </c>
      <c r="R1575" t="s">
        <v>1137</v>
      </c>
      <c r="S1575">
        <v>5</v>
      </c>
      <c r="T1575" t="s">
        <v>1150</v>
      </c>
      <c r="U1575" s="11" t="str">
        <f t="shared" si="120"/>
        <v>04:33:31 AM</v>
      </c>
      <c r="BL1575" s="2" t="s">
        <v>2725</v>
      </c>
    </row>
    <row r="1576" spans="1:64" x14ac:dyDescent="0.35">
      <c r="A1576">
        <v>6484</v>
      </c>
      <c r="B1576" t="s">
        <v>25</v>
      </c>
      <c r="C1576" s="1">
        <v>45479</v>
      </c>
      <c r="D1576" t="s">
        <v>17</v>
      </c>
      <c r="E1576" t="s">
        <v>21</v>
      </c>
      <c r="F1576">
        <v>3</v>
      </c>
      <c r="G1576">
        <v>1432.58</v>
      </c>
      <c r="H1576">
        <v>4297.74</v>
      </c>
      <c r="I1576">
        <v>279.70999999999998</v>
      </c>
      <c r="J1576">
        <v>4018.03</v>
      </c>
      <c r="K1576">
        <v>328</v>
      </c>
      <c r="L1576" s="11">
        <v>0.89619212962962957</v>
      </c>
      <c r="M1576">
        <f t="shared" si="121"/>
        <v>6</v>
      </c>
      <c r="N1576">
        <f t="shared" si="122"/>
        <v>7</v>
      </c>
      <c r="O1576">
        <f t="shared" si="123"/>
        <v>2024</v>
      </c>
      <c r="P1576" s="4">
        <f t="shared" si="124"/>
        <v>45479</v>
      </c>
      <c r="Q1576" t="s">
        <v>1136</v>
      </c>
      <c r="R1576" t="s">
        <v>1137</v>
      </c>
      <c r="S1576">
        <v>2</v>
      </c>
      <c r="T1576" t="s">
        <v>1141</v>
      </c>
      <c r="U1576" s="11" t="str">
        <f t="shared" si="120"/>
        <v>09:30:31 PM</v>
      </c>
      <c r="BL1576" s="2" t="s">
        <v>2726</v>
      </c>
    </row>
    <row r="1577" spans="1:64" x14ac:dyDescent="0.35">
      <c r="A1577">
        <v>3230</v>
      </c>
      <c r="B1577" t="s">
        <v>0</v>
      </c>
      <c r="C1577" s="1">
        <v>45378</v>
      </c>
      <c r="D1577" t="s">
        <v>6</v>
      </c>
      <c r="E1577" t="s">
        <v>2</v>
      </c>
      <c r="F1577">
        <v>2</v>
      </c>
      <c r="G1577">
        <v>715.46</v>
      </c>
      <c r="H1577">
        <v>1430.92</v>
      </c>
      <c r="I1577">
        <v>278.05</v>
      </c>
      <c r="J1577">
        <v>1152.8699999999999</v>
      </c>
      <c r="K1577">
        <v>52</v>
      </c>
      <c r="L1577" s="11">
        <v>0.11994212962962963</v>
      </c>
      <c r="M1577">
        <f t="shared" si="121"/>
        <v>27</v>
      </c>
      <c r="N1577">
        <f t="shared" si="122"/>
        <v>3</v>
      </c>
      <c r="O1577">
        <f t="shared" si="123"/>
        <v>2024</v>
      </c>
      <c r="P1577" s="4">
        <f t="shared" si="124"/>
        <v>45378</v>
      </c>
      <c r="Q1577" t="s">
        <v>1134</v>
      </c>
      <c r="R1577" t="s">
        <v>1137</v>
      </c>
      <c r="S1577">
        <v>1</v>
      </c>
      <c r="T1577" t="s">
        <v>1146</v>
      </c>
      <c r="U1577" s="11" t="str">
        <f t="shared" si="120"/>
        <v>02:52:43 AM</v>
      </c>
      <c r="BL1577" s="2" t="s">
        <v>2727</v>
      </c>
    </row>
    <row r="1578" spans="1:64" x14ac:dyDescent="0.35">
      <c r="A1578">
        <v>6253</v>
      </c>
      <c r="B1578" t="s">
        <v>20</v>
      </c>
      <c r="C1578" s="1">
        <v>45613</v>
      </c>
      <c r="D1578" t="s">
        <v>11</v>
      </c>
      <c r="E1578" t="s">
        <v>2</v>
      </c>
      <c r="F1578">
        <v>5</v>
      </c>
      <c r="G1578">
        <v>1691.54</v>
      </c>
      <c r="H1578">
        <v>8457.7000000000007</v>
      </c>
      <c r="I1578">
        <v>1691.54</v>
      </c>
      <c r="J1578">
        <v>6766.16</v>
      </c>
      <c r="K1578">
        <v>242</v>
      </c>
      <c r="L1578" s="11">
        <v>2.1354166666666667E-2</v>
      </c>
      <c r="M1578">
        <f t="shared" si="121"/>
        <v>17</v>
      </c>
      <c r="N1578">
        <f t="shared" si="122"/>
        <v>11</v>
      </c>
      <c r="O1578">
        <f t="shared" si="123"/>
        <v>2024</v>
      </c>
      <c r="P1578" s="4">
        <f t="shared" si="124"/>
        <v>45613</v>
      </c>
      <c r="Q1578" t="s">
        <v>1134</v>
      </c>
      <c r="R1578" t="s">
        <v>1135</v>
      </c>
      <c r="S1578">
        <v>4</v>
      </c>
      <c r="T1578" t="s">
        <v>1145</v>
      </c>
      <c r="U1578" s="11" t="str">
        <f t="shared" ref="U1578:U1641" si="125">TEXT(L1578,"hh:mm:ss AM/PM")</f>
        <v>12:30:45 AM</v>
      </c>
      <c r="BL1578" s="2" t="s">
        <v>2728</v>
      </c>
    </row>
    <row r="1579" spans="1:64" x14ac:dyDescent="0.35">
      <c r="A1579">
        <v>4290</v>
      </c>
      <c r="B1579" t="s">
        <v>20</v>
      </c>
      <c r="C1579" s="1">
        <v>45517</v>
      </c>
      <c r="D1579" t="s">
        <v>6</v>
      </c>
      <c r="E1579" t="s">
        <v>33</v>
      </c>
      <c r="F1579">
        <v>1</v>
      </c>
      <c r="G1579">
        <v>2319.85</v>
      </c>
      <c r="H1579">
        <v>2319.85</v>
      </c>
      <c r="I1579">
        <v>463.97</v>
      </c>
      <c r="J1579">
        <v>1855.88</v>
      </c>
      <c r="K1579">
        <v>314</v>
      </c>
      <c r="L1579" s="11">
        <v>0.34361111111111109</v>
      </c>
      <c r="M1579">
        <f t="shared" si="121"/>
        <v>13</v>
      </c>
      <c r="N1579">
        <f t="shared" si="122"/>
        <v>8</v>
      </c>
      <c r="O1579">
        <f t="shared" si="123"/>
        <v>2024</v>
      </c>
      <c r="P1579" s="4">
        <f t="shared" si="124"/>
        <v>45517</v>
      </c>
      <c r="Q1579" t="s">
        <v>1139</v>
      </c>
      <c r="R1579" t="s">
        <v>1135</v>
      </c>
      <c r="S1579">
        <v>3</v>
      </c>
      <c r="T1579" t="s">
        <v>1142</v>
      </c>
      <c r="U1579" s="11" t="str">
        <f t="shared" si="125"/>
        <v>08:14:48 AM</v>
      </c>
      <c r="BL1579" s="2" t="s">
        <v>2729</v>
      </c>
    </row>
    <row r="1580" spans="1:64" x14ac:dyDescent="0.35">
      <c r="A1580">
        <v>6147</v>
      </c>
      <c r="B1580" t="s">
        <v>8</v>
      </c>
      <c r="C1580" s="1">
        <v>45282</v>
      </c>
      <c r="D1580" t="s">
        <v>34</v>
      </c>
      <c r="E1580" t="s">
        <v>28</v>
      </c>
      <c r="F1580">
        <v>3</v>
      </c>
      <c r="G1580">
        <v>269.75</v>
      </c>
      <c r="H1580">
        <v>809.25</v>
      </c>
      <c r="I1580">
        <v>161.85</v>
      </c>
      <c r="J1580">
        <v>647.4</v>
      </c>
      <c r="K1580">
        <v>496</v>
      </c>
      <c r="L1580" s="11">
        <v>0.42572916666666666</v>
      </c>
      <c r="M1580">
        <f t="shared" si="121"/>
        <v>22</v>
      </c>
      <c r="N1580">
        <f t="shared" si="122"/>
        <v>12</v>
      </c>
      <c r="O1580">
        <f t="shared" si="123"/>
        <v>2023</v>
      </c>
      <c r="P1580" s="4">
        <f t="shared" si="124"/>
        <v>45282</v>
      </c>
      <c r="Q1580" t="s">
        <v>1139</v>
      </c>
      <c r="R1580" t="s">
        <v>1137</v>
      </c>
      <c r="S1580">
        <v>1</v>
      </c>
      <c r="T1580" t="s">
        <v>1144</v>
      </c>
      <c r="U1580" s="11" t="str">
        <f t="shared" si="125"/>
        <v>10:13:03 AM</v>
      </c>
      <c r="BL1580" s="2" t="s">
        <v>2730</v>
      </c>
    </row>
    <row r="1581" spans="1:64" x14ac:dyDescent="0.35">
      <c r="A1581">
        <v>7524</v>
      </c>
      <c r="B1581" t="s">
        <v>3</v>
      </c>
      <c r="C1581" s="1">
        <v>45392</v>
      </c>
      <c r="D1581" t="s">
        <v>34</v>
      </c>
      <c r="E1581" t="s">
        <v>5</v>
      </c>
      <c r="F1581">
        <v>4</v>
      </c>
      <c r="G1581">
        <v>869.84</v>
      </c>
      <c r="H1581">
        <v>3479.36</v>
      </c>
      <c r="I1581">
        <v>695.54</v>
      </c>
      <c r="J1581">
        <v>2783.82</v>
      </c>
      <c r="K1581">
        <v>256</v>
      </c>
      <c r="L1581" s="11">
        <v>0.52157407407407408</v>
      </c>
      <c r="M1581">
        <f t="shared" si="121"/>
        <v>10</v>
      </c>
      <c r="N1581">
        <f t="shared" si="122"/>
        <v>4</v>
      </c>
      <c r="O1581">
        <f t="shared" si="123"/>
        <v>2024</v>
      </c>
      <c r="P1581" s="4">
        <f t="shared" si="124"/>
        <v>45392</v>
      </c>
      <c r="Q1581" t="s">
        <v>1134</v>
      </c>
      <c r="R1581" t="s">
        <v>1137</v>
      </c>
      <c r="S1581">
        <v>1</v>
      </c>
      <c r="T1581" t="s">
        <v>1149</v>
      </c>
      <c r="U1581" s="11" t="str">
        <f t="shared" si="125"/>
        <v>12:31:04 PM</v>
      </c>
      <c r="BL1581" s="2" t="s">
        <v>2731</v>
      </c>
    </row>
    <row r="1582" spans="1:64" x14ac:dyDescent="0.35">
      <c r="A1582">
        <v>5775</v>
      </c>
      <c r="B1582" t="s">
        <v>3</v>
      </c>
      <c r="C1582" s="1">
        <v>45715</v>
      </c>
      <c r="D1582" t="s">
        <v>9</v>
      </c>
      <c r="E1582" t="s">
        <v>21</v>
      </c>
      <c r="F1582">
        <v>4</v>
      </c>
      <c r="G1582">
        <v>1782.01</v>
      </c>
      <c r="H1582">
        <v>7128.04</v>
      </c>
      <c r="I1582">
        <v>188.41</v>
      </c>
      <c r="J1582">
        <v>6939.63</v>
      </c>
      <c r="K1582">
        <v>181</v>
      </c>
      <c r="L1582" s="11">
        <v>0.69047453703703698</v>
      </c>
      <c r="M1582">
        <f t="shared" si="121"/>
        <v>27</v>
      </c>
      <c r="N1582">
        <f t="shared" si="122"/>
        <v>2</v>
      </c>
      <c r="O1582">
        <f t="shared" si="123"/>
        <v>2025</v>
      </c>
      <c r="P1582" s="4">
        <f t="shared" si="124"/>
        <v>45715</v>
      </c>
      <c r="Q1582" t="s">
        <v>1136</v>
      </c>
      <c r="R1582" t="s">
        <v>1137</v>
      </c>
      <c r="S1582">
        <v>5</v>
      </c>
      <c r="T1582" t="s">
        <v>1149</v>
      </c>
      <c r="U1582" s="11" t="str">
        <f t="shared" si="125"/>
        <v>04:34:17 PM</v>
      </c>
      <c r="BL1582" s="2" t="s">
        <v>2732</v>
      </c>
    </row>
    <row r="1583" spans="1:64" x14ac:dyDescent="0.35">
      <c r="A1583">
        <v>9044</v>
      </c>
      <c r="B1583" t="s">
        <v>0</v>
      </c>
      <c r="C1583" s="1">
        <v>45592</v>
      </c>
      <c r="D1583" t="s">
        <v>17</v>
      </c>
      <c r="E1583" t="s">
        <v>33</v>
      </c>
      <c r="F1583">
        <v>2</v>
      </c>
      <c r="G1583">
        <v>2358.0300000000002</v>
      </c>
      <c r="H1583">
        <v>4716.0600000000004</v>
      </c>
      <c r="I1583">
        <v>0</v>
      </c>
      <c r="J1583">
        <v>4716.0600000000004</v>
      </c>
      <c r="K1583">
        <v>426</v>
      </c>
      <c r="L1583" s="11">
        <v>0.93314814814814817</v>
      </c>
      <c r="M1583">
        <f t="shared" si="121"/>
        <v>27</v>
      </c>
      <c r="N1583">
        <f t="shared" si="122"/>
        <v>10</v>
      </c>
      <c r="O1583">
        <f t="shared" si="123"/>
        <v>2024</v>
      </c>
      <c r="P1583" s="4">
        <f t="shared" si="124"/>
        <v>45592</v>
      </c>
      <c r="Q1583" t="s">
        <v>1139</v>
      </c>
      <c r="R1583" t="s">
        <v>1137</v>
      </c>
      <c r="S1583">
        <v>5</v>
      </c>
      <c r="T1583" t="s">
        <v>1146</v>
      </c>
      <c r="U1583" s="11" t="str">
        <f t="shared" si="125"/>
        <v>10:23:44 PM</v>
      </c>
      <c r="BL1583" s="2" t="s">
        <v>2733</v>
      </c>
    </row>
    <row r="1584" spans="1:64" x14ac:dyDescent="0.35">
      <c r="A1584">
        <v>4971</v>
      </c>
      <c r="B1584" t="s">
        <v>8</v>
      </c>
      <c r="C1584" s="1">
        <v>45398</v>
      </c>
      <c r="D1584" t="s">
        <v>9</v>
      </c>
      <c r="E1584" t="s">
        <v>7</v>
      </c>
      <c r="F1584">
        <v>4</v>
      </c>
      <c r="G1584">
        <v>1261.5999999999999</v>
      </c>
      <c r="H1584">
        <v>5046.3999999999996</v>
      </c>
      <c r="I1584">
        <v>0</v>
      </c>
      <c r="J1584">
        <v>5046.3999999999996</v>
      </c>
      <c r="K1584">
        <v>403</v>
      </c>
      <c r="L1584" s="11">
        <v>0.38189814814814815</v>
      </c>
      <c r="M1584">
        <f t="shared" si="121"/>
        <v>16</v>
      </c>
      <c r="N1584">
        <f t="shared" si="122"/>
        <v>4</v>
      </c>
      <c r="O1584">
        <f t="shared" si="123"/>
        <v>2024</v>
      </c>
      <c r="P1584" s="4">
        <f t="shared" si="124"/>
        <v>45398</v>
      </c>
      <c r="Q1584" t="s">
        <v>1138</v>
      </c>
      <c r="R1584" t="s">
        <v>1137</v>
      </c>
      <c r="S1584">
        <v>5</v>
      </c>
      <c r="T1584" t="s">
        <v>1146</v>
      </c>
      <c r="U1584" s="11" t="str">
        <f t="shared" si="125"/>
        <v>09:09:56 AM</v>
      </c>
      <c r="BL1584" s="2" t="s">
        <v>2734</v>
      </c>
    </row>
    <row r="1585" spans="1:64" x14ac:dyDescent="0.35">
      <c r="A1585">
        <v>7161</v>
      </c>
      <c r="B1585" t="s">
        <v>0</v>
      </c>
      <c r="C1585" s="1">
        <v>45362</v>
      </c>
      <c r="D1585" t="s">
        <v>27</v>
      </c>
      <c r="E1585" t="s">
        <v>5</v>
      </c>
      <c r="F1585">
        <v>3</v>
      </c>
      <c r="G1585">
        <v>510.45</v>
      </c>
      <c r="H1585">
        <v>1531.35</v>
      </c>
      <c r="I1585">
        <v>152.72</v>
      </c>
      <c r="J1585">
        <v>1378.63</v>
      </c>
      <c r="K1585">
        <v>443</v>
      </c>
      <c r="L1585" s="11">
        <v>0.67628472222222225</v>
      </c>
      <c r="M1585">
        <f t="shared" si="121"/>
        <v>11</v>
      </c>
      <c r="N1585">
        <f t="shared" si="122"/>
        <v>3</v>
      </c>
      <c r="O1585">
        <f t="shared" si="123"/>
        <v>2024</v>
      </c>
      <c r="P1585" s="4">
        <f t="shared" si="124"/>
        <v>45362</v>
      </c>
      <c r="Q1585" t="s">
        <v>1136</v>
      </c>
      <c r="R1585" t="s">
        <v>1137</v>
      </c>
      <c r="S1585">
        <v>4</v>
      </c>
      <c r="T1585" t="s">
        <v>1147</v>
      </c>
      <c r="U1585" s="11" t="str">
        <f t="shared" si="125"/>
        <v>04:13:51 PM</v>
      </c>
      <c r="BL1585" s="2" t="s">
        <v>2735</v>
      </c>
    </row>
    <row r="1586" spans="1:64" x14ac:dyDescent="0.35">
      <c r="A1586">
        <v>7437</v>
      </c>
      <c r="B1586" t="s">
        <v>25</v>
      </c>
      <c r="C1586" s="1">
        <v>45428</v>
      </c>
      <c r="D1586" t="s">
        <v>9</v>
      </c>
      <c r="E1586" t="s">
        <v>33</v>
      </c>
      <c r="F1586">
        <v>5</v>
      </c>
      <c r="G1586">
        <v>1429.26</v>
      </c>
      <c r="H1586">
        <v>7146.3</v>
      </c>
      <c r="I1586">
        <v>714.63</v>
      </c>
      <c r="J1586">
        <v>6431.67</v>
      </c>
      <c r="K1586">
        <v>471</v>
      </c>
      <c r="L1586" s="11">
        <v>0.59813657407407406</v>
      </c>
      <c r="M1586">
        <f t="shared" si="121"/>
        <v>16</v>
      </c>
      <c r="N1586">
        <f t="shared" si="122"/>
        <v>5</v>
      </c>
      <c r="O1586">
        <f t="shared" si="123"/>
        <v>2024</v>
      </c>
      <c r="P1586" s="4">
        <f t="shared" si="124"/>
        <v>45428</v>
      </c>
      <c r="Q1586" t="s">
        <v>1139</v>
      </c>
      <c r="R1586" t="s">
        <v>1135</v>
      </c>
      <c r="S1586">
        <v>5</v>
      </c>
      <c r="T1586" t="s">
        <v>1145</v>
      </c>
      <c r="U1586" s="11" t="str">
        <f t="shared" si="125"/>
        <v>02:21:19 PM</v>
      </c>
      <c r="BL1586" s="2" t="s">
        <v>2736</v>
      </c>
    </row>
    <row r="1587" spans="1:64" x14ac:dyDescent="0.35">
      <c r="A1587">
        <v>2865</v>
      </c>
      <c r="B1587" t="s">
        <v>25</v>
      </c>
      <c r="C1587" s="1">
        <v>45868</v>
      </c>
      <c r="D1587" t="s">
        <v>23</v>
      </c>
      <c r="E1587" t="s">
        <v>28</v>
      </c>
      <c r="F1587">
        <v>2</v>
      </c>
      <c r="G1587">
        <v>1146.23</v>
      </c>
      <c r="H1587">
        <v>2292.46</v>
      </c>
      <c r="I1587">
        <v>277.22000000000003</v>
      </c>
      <c r="J1587">
        <v>2015.24</v>
      </c>
      <c r="K1587">
        <v>269</v>
      </c>
      <c r="L1587" s="11">
        <v>0.20502314814814815</v>
      </c>
      <c r="M1587">
        <f t="shared" si="121"/>
        <v>30</v>
      </c>
      <c r="N1587">
        <f t="shared" si="122"/>
        <v>7</v>
      </c>
      <c r="O1587">
        <f t="shared" si="123"/>
        <v>2025</v>
      </c>
      <c r="P1587" s="4">
        <f t="shared" si="124"/>
        <v>45868</v>
      </c>
      <c r="Q1587" t="s">
        <v>1139</v>
      </c>
      <c r="R1587" t="s">
        <v>1137</v>
      </c>
      <c r="S1587">
        <v>1</v>
      </c>
      <c r="T1587" t="s">
        <v>1150</v>
      </c>
      <c r="U1587" s="11" t="str">
        <f t="shared" si="125"/>
        <v>04:55:14 AM</v>
      </c>
      <c r="BL1587" s="2" t="s">
        <v>2737</v>
      </c>
    </row>
    <row r="1588" spans="1:64" x14ac:dyDescent="0.35">
      <c r="A1588">
        <v>4273</v>
      </c>
      <c r="B1588" t="s">
        <v>25</v>
      </c>
      <c r="C1588" s="1">
        <v>45604</v>
      </c>
      <c r="D1588" t="s">
        <v>4</v>
      </c>
      <c r="E1588" t="s">
        <v>12</v>
      </c>
      <c r="F1588">
        <v>3</v>
      </c>
      <c r="G1588">
        <v>1292.31</v>
      </c>
      <c r="H1588">
        <v>3876.93</v>
      </c>
      <c r="I1588">
        <v>297.97000000000003</v>
      </c>
      <c r="J1588">
        <v>3578.96</v>
      </c>
      <c r="K1588">
        <v>6</v>
      </c>
      <c r="L1588" s="11">
        <v>0.98329861111111116</v>
      </c>
      <c r="M1588">
        <f t="shared" si="121"/>
        <v>8</v>
      </c>
      <c r="N1588">
        <f t="shared" si="122"/>
        <v>11</v>
      </c>
      <c r="O1588">
        <f t="shared" si="123"/>
        <v>2024</v>
      </c>
      <c r="P1588" s="4">
        <f t="shared" si="124"/>
        <v>45604</v>
      </c>
      <c r="Q1588" t="s">
        <v>1138</v>
      </c>
      <c r="R1588" t="s">
        <v>1135</v>
      </c>
      <c r="S1588">
        <v>5</v>
      </c>
      <c r="T1588" t="s">
        <v>1150</v>
      </c>
      <c r="U1588" s="11" t="str">
        <f t="shared" si="125"/>
        <v>11:35:57 PM</v>
      </c>
      <c r="BL1588" s="2" t="s">
        <v>2738</v>
      </c>
    </row>
    <row r="1589" spans="1:64" x14ac:dyDescent="0.35">
      <c r="A1589">
        <v>9939</v>
      </c>
      <c r="B1589" t="s">
        <v>15</v>
      </c>
      <c r="C1589" s="1">
        <v>45284</v>
      </c>
      <c r="D1589" t="s">
        <v>9</v>
      </c>
      <c r="E1589" t="s">
        <v>29</v>
      </c>
      <c r="F1589">
        <v>3</v>
      </c>
      <c r="G1589">
        <v>742.02</v>
      </c>
      <c r="H1589">
        <v>2226.06</v>
      </c>
      <c r="I1589">
        <v>0</v>
      </c>
      <c r="J1589">
        <v>2226.06</v>
      </c>
      <c r="K1589">
        <v>29</v>
      </c>
      <c r="L1589" s="11">
        <v>0.61997685185185181</v>
      </c>
      <c r="M1589">
        <f t="shared" si="121"/>
        <v>24</v>
      </c>
      <c r="N1589">
        <f t="shared" si="122"/>
        <v>12</v>
      </c>
      <c r="O1589">
        <f t="shared" si="123"/>
        <v>2023</v>
      </c>
      <c r="P1589" s="4">
        <f t="shared" si="124"/>
        <v>45284</v>
      </c>
      <c r="Q1589" t="s">
        <v>1138</v>
      </c>
      <c r="R1589" t="s">
        <v>1135</v>
      </c>
      <c r="S1589">
        <v>2</v>
      </c>
      <c r="T1589" t="s">
        <v>1143</v>
      </c>
      <c r="U1589" s="11" t="str">
        <f t="shared" si="125"/>
        <v>02:52:46 PM</v>
      </c>
      <c r="BL1589" s="2" t="s">
        <v>2739</v>
      </c>
    </row>
    <row r="1590" spans="1:64" x14ac:dyDescent="0.35">
      <c r="A1590">
        <v>1440</v>
      </c>
      <c r="B1590" t="s">
        <v>15</v>
      </c>
      <c r="C1590" s="1">
        <v>45709</v>
      </c>
      <c r="D1590" t="s">
        <v>17</v>
      </c>
      <c r="E1590" t="s">
        <v>22</v>
      </c>
      <c r="F1590">
        <v>4</v>
      </c>
      <c r="G1590">
        <v>500.49</v>
      </c>
      <c r="H1590">
        <v>2001.96</v>
      </c>
      <c r="I1590">
        <v>205.84</v>
      </c>
      <c r="J1590">
        <v>1796.12</v>
      </c>
      <c r="K1590">
        <v>383</v>
      </c>
      <c r="L1590" s="11">
        <v>0.60540509259259256</v>
      </c>
      <c r="M1590">
        <f t="shared" si="121"/>
        <v>21</v>
      </c>
      <c r="N1590">
        <f t="shared" si="122"/>
        <v>2</v>
      </c>
      <c r="O1590">
        <f t="shared" si="123"/>
        <v>2025</v>
      </c>
      <c r="P1590" s="4">
        <f t="shared" si="124"/>
        <v>45709</v>
      </c>
      <c r="Q1590" t="s">
        <v>1134</v>
      </c>
      <c r="R1590" t="s">
        <v>1137</v>
      </c>
      <c r="S1590">
        <v>5</v>
      </c>
      <c r="T1590" t="s">
        <v>1148</v>
      </c>
      <c r="U1590" s="11" t="str">
        <f t="shared" si="125"/>
        <v>02:31:47 PM</v>
      </c>
      <c r="BL1590" s="2" t="s">
        <v>2740</v>
      </c>
    </row>
    <row r="1591" spans="1:64" x14ac:dyDescent="0.35">
      <c r="A1591">
        <v>8563</v>
      </c>
      <c r="B1591" t="s">
        <v>8</v>
      </c>
      <c r="C1591" s="1">
        <v>45695</v>
      </c>
      <c r="D1591" t="s">
        <v>23</v>
      </c>
      <c r="E1591" t="s">
        <v>30</v>
      </c>
      <c r="F1591">
        <v>1</v>
      </c>
      <c r="G1591">
        <v>1092.28</v>
      </c>
      <c r="H1591">
        <v>1092.28</v>
      </c>
      <c r="I1591">
        <v>229.91</v>
      </c>
      <c r="J1591">
        <v>862.37</v>
      </c>
      <c r="K1591">
        <v>433</v>
      </c>
      <c r="L1591" s="11">
        <v>0.49980324074074073</v>
      </c>
      <c r="M1591">
        <f t="shared" si="121"/>
        <v>7</v>
      </c>
      <c r="N1591">
        <f t="shared" si="122"/>
        <v>2</v>
      </c>
      <c r="O1591">
        <f t="shared" si="123"/>
        <v>2025</v>
      </c>
      <c r="P1591" s="4">
        <f t="shared" si="124"/>
        <v>45695</v>
      </c>
      <c r="Q1591" t="s">
        <v>1136</v>
      </c>
      <c r="R1591" t="s">
        <v>1137</v>
      </c>
      <c r="S1591">
        <v>4</v>
      </c>
      <c r="T1591" t="s">
        <v>1148</v>
      </c>
      <c r="U1591" s="11" t="str">
        <f t="shared" si="125"/>
        <v>11:59:43 AM</v>
      </c>
      <c r="BL1591" s="2" t="s">
        <v>2741</v>
      </c>
    </row>
    <row r="1592" spans="1:64" x14ac:dyDescent="0.35">
      <c r="A1592">
        <v>4434</v>
      </c>
      <c r="B1592" t="s">
        <v>20</v>
      </c>
      <c r="C1592" s="1">
        <v>45485</v>
      </c>
      <c r="D1592" t="s">
        <v>11</v>
      </c>
      <c r="E1592" t="s">
        <v>38</v>
      </c>
      <c r="F1592">
        <v>5</v>
      </c>
      <c r="G1592">
        <v>750.32</v>
      </c>
      <c r="H1592">
        <v>3751.6</v>
      </c>
      <c r="I1592">
        <v>0</v>
      </c>
      <c r="J1592">
        <v>3751.6</v>
      </c>
      <c r="K1592">
        <v>436</v>
      </c>
      <c r="L1592" s="11">
        <v>0.77995370370370365</v>
      </c>
      <c r="M1592">
        <f t="shared" si="121"/>
        <v>12</v>
      </c>
      <c r="N1592">
        <f t="shared" si="122"/>
        <v>7</v>
      </c>
      <c r="O1592">
        <f t="shared" si="123"/>
        <v>2024</v>
      </c>
      <c r="P1592" s="4">
        <f t="shared" si="124"/>
        <v>45485</v>
      </c>
      <c r="Q1592" t="s">
        <v>1136</v>
      </c>
      <c r="R1592" t="s">
        <v>1135</v>
      </c>
      <c r="S1592">
        <v>2</v>
      </c>
      <c r="T1592" t="s">
        <v>1150</v>
      </c>
      <c r="U1592" s="11" t="str">
        <f t="shared" si="125"/>
        <v>06:43:08 PM</v>
      </c>
      <c r="BL1592" s="2" t="s">
        <v>2742</v>
      </c>
    </row>
    <row r="1593" spans="1:64" x14ac:dyDescent="0.35">
      <c r="A1593">
        <v>5773</v>
      </c>
      <c r="B1593" t="s">
        <v>20</v>
      </c>
      <c r="C1593" s="1">
        <v>45790</v>
      </c>
      <c r="D1593" t="s">
        <v>11</v>
      </c>
      <c r="E1593" t="s">
        <v>10</v>
      </c>
      <c r="F1593">
        <v>2</v>
      </c>
      <c r="G1593">
        <v>2262.58</v>
      </c>
      <c r="H1593">
        <v>4525.16</v>
      </c>
      <c r="I1593">
        <v>87.98</v>
      </c>
      <c r="J1593">
        <v>4437.18</v>
      </c>
      <c r="K1593">
        <v>300</v>
      </c>
      <c r="L1593" s="11">
        <v>0.14722222222222223</v>
      </c>
      <c r="M1593">
        <f t="shared" si="121"/>
        <v>13</v>
      </c>
      <c r="N1593">
        <f t="shared" si="122"/>
        <v>5</v>
      </c>
      <c r="O1593">
        <f t="shared" si="123"/>
        <v>2025</v>
      </c>
      <c r="P1593" s="4">
        <f t="shared" si="124"/>
        <v>45790</v>
      </c>
      <c r="Q1593" t="s">
        <v>1134</v>
      </c>
      <c r="R1593" t="s">
        <v>1137</v>
      </c>
      <c r="S1593">
        <v>1</v>
      </c>
      <c r="T1593" t="s">
        <v>1147</v>
      </c>
      <c r="U1593" s="11" t="str">
        <f t="shared" si="125"/>
        <v>03:32:00 AM</v>
      </c>
      <c r="BL1593" s="2" t="s">
        <v>2743</v>
      </c>
    </row>
    <row r="1594" spans="1:64" x14ac:dyDescent="0.35">
      <c r="A1594">
        <v>2133</v>
      </c>
      <c r="B1594" t="s">
        <v>13</v>
      </c>
      <c r="C1594" s="1">
        <v>45781</v>
      </c>
      <c r="D1594" t="s">
        <v>9</v>
      </c>
      <c r="E1594" t="s">
        <v>29</v>
      </c>
      <c r="F1594">
        <v>1</v>
      </c>
      <c r="G1594">
        <v>546.97</v>
      </c>
      <c r="H1594">
        <v>546.97</v>
      </c>
      <c r="I1594">
        <v>0</v>
      </c>
      <c r="J1594">
        <v>546.97</v>
      </c>
      <c r="K1594">
        <v>389</v>
      </c>
      <c r="L1594" s="11">
        <v>0.94456018518518514</v>
      </c>
      <c r="M1594">
        <f t="shared" si="121"/>
        <v>4</v>
      </c>
      <c r="N1594">
        <f t="shared" si="122"/>
        <v>5</v>
      </c>
      <c r="O1594">
        <f t="shared" si="123"/>
        <v>2025</v>
      </c>
      <c r="P1594" s="4">
        <f t="shared" si="124"/>
        <v>45781</v>
      </c>
      <c r="Q1594" t="s">
        <v>1136</v>
      </c>
      <c r="R1594" t="s">
        <v>1137</v>
      </c>
      <c r="S1594">
        <v>1</v>
      </c>
      <c r="T1594" t="s">
        <v>1142</v>
      </c>
      <c r="U1594" s="11" t="str">
        <f t="shared" si="125"/>
        <v>10:40:10 PM</v>
      </c>
      <c r="BL1594" s="2" t="s">
        <v>2744</v>
      </c>
    </row>
    <row r="1595" spans="1:64" x14ac:dyDescent="0.35">
      <c r="A1595">
        <v>7703</v>
      </c>
      <c r="B1595" t="s">
        <v>19</v>
      </c>
      <c r="C1595" s="1">
        <v>45667</v>
      </c>
      <c r="D1595" t="s">
        <v>4</v>
      </c>
      <c r="E1595" t="s">
        <v>18</v>
      </c>
      <c r="F1595">
        <v>4</v>
      </c>
      <c r="G1595">
        <v>189.24</v>
      </c>
      <c r="H1595">
        <v>756.96</v>
      </c>
      <c r="I1595">
        <v>0</v>
      </c>
      <c r="J1595">
        <v>756.96</v>
      </c>
      <c r="K1595">
        <v>311</v>
      </c>
      <c r="L1595" s="11">
        <v>0.31281249999999999</v>
      </c>
      <c r="M1595">
        <f t="shared" si="121"/>
        <v>10</v>
      </c>
      <c r="N1595">
        <f t="shared" si="122"/>
        <v>1</v>
      </c>
      <c r="O1595">
        <f t="shared" si="123"/>
        <v>2025</v>
      </c>
      <c r="P1595" s="4">
        <f t="shared" si="124"/>
        <v>45667</v>
      </c>
      <c r="Q1595" t="s">
        <v>1136</v>
      </c>
      <c r="R1595" t="s">
        <v>1135</v>
      </c>
      <c r="S1595">
        <v>3</v>
      </c>
      <c r="T1595" t="s">
        <v>1150</v>
      </c>
      <c r="U1595" s="11" t="str">
        <f t="shared" si="125"/>
        <v>07:30:27 AM</v>
      </c>
      <c r="BL1595" s="2" t="s">
        <v>2745</v>
      </c>
    </row>
    <row r="1596" spans="1:64" x14ac:dyDescent="0.35">
      <c r="A1596">
        <v>9180</v>
      </c>
      <c r="B1596" t="s">
        <v>3</v>
      </c>
      <c r="C1596" s="1">
        <v>45253</v>
      </c>
      <c r="D1596" t="s">
        <v>9</v>
      </c>
      <c r="E1596" t="s">
        <v>18</v>
      </c>
      <c r="F1596">
        <v>1</v>
      </c>
      <c r="G1596">
        <v>830.83</v>
      </c>
      <c r="H1596">
        <v>830.83</v>
      </c>
      <c r="I1596">
        <v>196.71</v>
      </c>
      <c r="J1596">
        <v>634.12</v>
      </c>
      <c r="K1596">
        <v>287</v>
      </c>
      <c r="L1596" s="11">
        <v>0.47952546296296295</v>
      </c>
      <c r="M1596">
        <f t="shared" si="121"/>
        <v>23</v>
      </c>
      <c r="N1596">
        <f t="shared" si="122"/>
        <v>11</v>
      </c>
      <c r="O1596">
        <f t="shared" si="123"/>
        <v>2023</v>
      </c>
      <c r="P1596" s="4">
        <f t="shared" si="124"/>
        <v>45253</v>
      </c>
      <c r="Q1596" t="s">
        <v>1136</v>
      </c>
      <c r="R1596" t="s">
        <v>1135</v>
      </c>
      <c r="S1596">
        <v>2</v>
      </c>
      <c r="T1596" t="s">
        <v>1141</v>
      </c>
      <c r="U1596" s="11" t="str">
        <f t="shared" si="125"/>
        <v>11:30:31 AM</v>
      </c>
      <c r="BL1596" s="2" t="s">
        <v>2746</v>
      </c>
    </row>
    <row r="1597" spans="1:64" x14ac:dyDescent="0.35">
      <c r="A1597">
        <v>5961</v>
      </c>
      <c r="B1597" t="s">
        <v>0</v>
      </c>
      <c r="C1597" s="1">
        <v>45332</v>
      </c>
      <c r="D1597" t="s">
        <v>17</v>
      </c>
      <c r="E1597" t="s">
        <v>22</v>
      </c>
      <c r="F1597">
        <v>1</v>
      </c>
      <c r="G1597">
        <v>361.88</v>
      </c>
      <c r="H1597">
        <v>361.88</v>
      </c>
      <c r="I1597">
        <v>0</v>
      </c>
      <c r="J1597">
        <v>361.88</v>
      </c>
      <c r="K1597">
        <v>46</v>
      </c>
      <c r="L1597" s="11">
        <v>0.36517361111111113</v>
      </c>
      <c r="M1597">
        <f t="shared" si="121"/>
        <v>10</v>
      </c>
      <c r="N1597">
        <f t="shared" si="122"/>
        <v>2</v>
      </c>
      <c r="O1597">
        <f t="shared" si="123"/>
        <v>2024</v>
      </c>
      <c r="P1597" s="4">
        <f t="shared" si="124"/>
        <v>45332</v>
      </c>
      <c r="Q1597" t="s">
        <v>1136</v>
      </c>
      <c r="R1597" t="s">
        <v>1135</v>
      </c>
      <c r="S1597">
        <v>3</v>
      </c>
      <c r="T1597" t="s">
        <v>1150</v>
      </c>
      <c r="U1597" s="11" t="str">
        <f t="shared" si="125"/>
        <v>08:45:51 AM</v>
      </c>
      <c r="BL1597" s="2" t="s">
        <v>2747</v>
      </c>
    </row>
    <row r="1598" spans="1:64" x14ac:dyDescent="0.35">
      <c r="A1598">
        <v>5139</v>
      </c>
      <c r="B1598" t="s">
        <v>0</v>
      </c>
      <c r="C1598" s="1">
        <v>45656</v>
      </c>
      <c r="D1598" t="s">
        <v>23</v>
      </c>
      <c r="E1598" t="s">
        <v>10</v>
      </c>
      <c r="F1598">
        <v>5</v>
      </c>
      <c r="G1598">
        <v>1590.28</v>
      </c>
      <c r="H1598">
        <v>7951.4</v>
      </c>
      <c r="I1598">
        <v>155.21</v>
      </c>
      <c r="J1598">
        <v>7796.19</v>
      </c>
      <c r="K1598">
        <v>10</v>
      </c>
      <c r="L1598" s="11">
        <v>0.44821759259259258</v>
      </c>
      <c r="M1598">
        <f t="shared" si="121"/>
        <v>30</v>
      </c>
      <c r="N1598">
        <f t="shared" si="122"/>
        <v>12</v>
      </c>
      <c r="O1598">
        <f t="shared" si="123"/>
        <v>2024</v>
      </c>
      <c r="P1598" s="4">
        <f t="shared" si="124"/>
        <v>45656</v>
      </c>
      <c r="Q1598" t="s">
        <v>1136</v>
      </c>
      <c r="R1598" t="s">
        <v>1137</v>
      </c>
      <c r="S1598">
        <v>2</v>
      </c>
      <c r="T1598" t="s">
        <v>1141</v>
      </c>
      <c r="U1598" s="11" t="str">
        <f t="shared" si="125"/>
        <v>10:45:26 AM</v>
      </c>
      <c r="BL1598" s="2" t="s">
        <v>2748</v>
      </c>
    </row>
    <row r="1599" spans="1:64" x14ac:dyDescent="0.35">
      <c r="A1599">
        <v>3525</v>
      </c>
      <c r="B1599" t="s">
        <v>25</v>
      </c>
      <c r="C1599" s="1">
        <v>45700</v>
      </c>
      <c r="D1599" t="s">
        <v>34</v>
      </c>
      <c r="E1599" t="s">
        <v>32</v>
      </c>
      <c r="F1599">
        <v>2</v>
      </c>
      <c r="G1599">
        <v>823.36</v>
      </c>
      <c r="H1599">
        <v>1646.72</v>
      </c>
      <c r="I1599">
        <v>0</v>
      </c>
      <c r="J1599">
        <v>1646.72</v>
      </c>
      <c r="K1599">
        <v>348</v>
      </c>
      <c r="L1599" s="11">
        <v>0.2104050925925926</v>
      </c>
      <c r="M1599">
        <f t="shared" si="121"/>
        <v>12</v>
      </c>
      <c r="N1599">
        <f t="shared" si="122"/>
        <v>2</v>
      </c>
      <c r="O1599">
        <f t="shared" si="123"/>
        <v>2025</v>
      </c>
      <c r="P1599" s="4">
        <f t="shared" si="124"/>
        <v>45700</v>
      </c>
      <c r="Q1599" t="s">
        <v>1138</v>
      </c>
      <c r="R1599" t="s">
        <v>1135</v>
      </c>
      <c r="S1599">
        <v>2</v>
      </c>
      <c r="T1599" t="s">
        <v>1146</v>
      </c>
      <c r="U1599" s="11" t="str">
        <f t="shared" si="125"/>
        <v>05:02:59 AM</v>
      </c>
      <c r="BL1599" s="2" t="s">
        <v>2749</v>
      </c>
    </row>
    <row r="1600" spans="1:64" x14ac:dyDescent="0.35">
      <c r="A1600">
        <v>7932</v>
      </c>
      <c r="B1600" t="s">
        <v>8</v>
      </c>
      <c r="C1600" s="1">
        <v>45757</v>
      </c>
      <c r="D1600" t="s">
        <v>24</v>
      </c>
      <c r="E1600" t="s">
        <v>29</v>
      </c>
      <c r="F1600">
        <v>4</v>
      </c>
      <c r="G1600">
        <v>1781.18</v>
      </c>
      <c r="H1600">
        <v>7124.72</v>
      </c>
      <c r="I1600">
        <v>1425.11</v>
      </c>
      <c r="J1600">
        <v>5699.61</v>
      </c>
      <c r="K1600">
        <v>91</v>
      </c>
      <c r="L1600" s="11">
        <v>0.69440972222222219</v>
      </c>
      <c r="M1600">
        <f t="shared" si="121"/>
        <v>10</v>
      </c>
      <c r="N1600">
        <f t="shared" si="122"/>
        <v>4</v>
      </c>
      <c r="O1600">
        <f t="shared" si="123"/>
        <v>2025</v>
      </c>
      <c r="P1600" s="4">
        <f t="shared" si="124"/>
        <v>45757</v>
      </c>
      <c r="Q1600" t="s">
        <v>1136</v>
      </c>
      <c r="R1600" t="s">
        <v>1137</v>
      </c>
      <c r="S1600">
        <v>4</v>
      </c>
      <c r="T1600" t="s">
        <v>1148</v>
      </c>
      <c r="U1600" s="11" t="str">
        <f t="shared" si="125"/>
        <v>04:39:57 PM</v>
      </c>
      <c r="BL1600" s="2" t="s">
        <v>2750</v>
      </c>
    </row>
    <row r="1601" spans="1:64" x14ac:dyDescent="0.35">
      <c r="A1601">
        <v>7176</v>
      </c>
      <c r="B1601" t="s">
        <v>25</v>
      </c>
      <c r="C1601" s="1">
        <v>45202</v>
      </c>
      <c r="D1601" t="s">
        <v>9</v>
      </c>
      <c r="E1601" t="s">
        <v>14</v>
      </c>
      <c r="F1601">
        <v>2</v>
      </c>
      <c r="G1601">
        <v>738.7</v>
      </c>
      <c r="H1601">
        <v>1477.4</v>
      </c>
      <c r="I1601">
        <v>221.61</v>
      </c>
      <c r="J1601">
        <v>1255.79</v>
      </c>
      <c r="K1601">
        <v>102</v>
      </c>
      <c r="L1601" s="11">
        <v>0.72116898148148145</v>
      </c>
      <c r="M1601">
        <f t="shared" si="121"/>
        <v>3</v>
      </c>
      <c r="N1601">
        <f t="shared" si="122"/>
        <v>10</v>
      </c>
      <c r="O1601">
        <f t="shared" si="123"/>
        <v>2023</v>
      </c>
      <c r="P1601" s="4">
        <f t="shared" si="124"/>
        <v>45202</v>
      </c>
      <c r="Q1601" t="s">
        <v>1138</v>
      </c>
      <c r="R1601" t="s">
        <v>1135</v>
      </c>
      <c r="S1601">
        <v>3</v>
      </c>
      <c r="T1601" t="s">
        <v>1143</v>
      </c>
      <c r="U1601" s="11" t="str">
        <f t="shared" si="125"/>
        <v>05:18:29 PM</v>
      </c>
      <c r="BL1601" s="2" t="s">
        <v>2751</v>
      </c>
    </row>
    <row r="1602" spans="1:64" x14ac:dyDescent="0.35">
      <c r="A1602">
        <v>8357</v>
      </c>
      <c r="B1602" t="s">
        <v>19</v>
      </c>
      <c r="C1602" s="1">
        <v>45609</v>
      </c>
      <c r="D1602" t="s">
        <v>34</v>
      </c>
      <c r="E1602" t="s">
        <v>2</v>
      </c>
      <c r="F1602">
        <v>1</v>
      </c>
      <c r="G1602">
        <v>1261.5999999999999</v>
      </c>
      <c r="H1602">
        <v>1261.5999999999999</v>
      </c>
      <c r="I1602">
        <v>189.24</v>
      </c>
      <c r="J1602">
        <v>1072.3599999999999</v>
      </c>
      <c r="K1602">
        <v>296</v>
      </c>
      <c r="L1602" s="11">
        <v>0.9652546296296296</v>
      </c>
      <c r="M1602">
        <f t="shared" ref="M1602:M1665" si="126">DAY(C1602)</f>
        <v>13</v>
      </c>
      <c r="N1602">
        <f t="shared" ref="N1602:N1665" si="127">MONTH(C1602)</f>
        <v>11</v>
      </c>
      <c r="O1602">
        <f t="shared" ref="O1602:O1665" si="128">YEAR(C1602)</f>
        <v>2024</v>
      </c>
      <c r="P1602" s="4">
        <f t="shared" si="124"/>
        <v>45609</v>
      </c>
      <c r="Q1602" t="s">
        <v>1136</v>
      </c>
      <c r="R1602" t="s">
        <v>1135</v>
      </c>
      <c r="S1602">
        <v>4</v>
      </c>
      <c r="T1602" t="s">
        <v>1143</v>
      </c>
      <c r="U1602" s="11" t="str">
        <f t="shared" si="125"/>
        <v>11:09:58 PM</v>
      </c>
      <c r="BL1602" s="2" t="s">
        <v>2752</v>
      </c>
    </row>
    <row r="1603" spans="1:64" x14ac:dyDescent="0.35">
      <c r="A1603">
        <v>8851</v>
      </c>
      <c r="B1603" t="s">
        <v>3</v>
      </c>
      <c r="C1603" s="1">
        <v>45597</v>
      </c>
      <c r="D1603" t="s">
        <v>34</v>
      </c>
      <c r="E1603" t="s">
        <v>18</v>
      </c>
      <c r="F1603">
        <v>1</v>
      </c>
      <c r="G1603">
        <v>2367.9899999999998</v>
      </c>
      <c r="H1603">
        <v>2367.9899999999998</v>
      </c>
      <c r="I1603">
        <v>473.93</v>
      </c>
      <c r="J1603">
        <v>1894.06</v>
      </c>
      <c r="K1603">
        <v>299</v>
      </c>
      <c r="L1603" s="11">
        <v>0.34848379629629628</v>
      </c>
      <c r="M1603">
        <f t="shared" si="126"/>
        <v>1</v>
      </c>
      <c r="N1603">
        <f t="shared" si="127"/>
        <v>11</v>
      </c>
      <c r="O1603">
        <f t="shared" si="128"/>
        <v>2024</v>
      </c>
      <c r="P1603" s="4">
        <f t="shared" ref="P1603:P1666" si="129">DATE(O1603,N1603,M1603)</f>
        <v>45597</v>
      </c>
      <c r="Q1603" t="s">
        <v>1134</v>
      </c>
      <c r="R1603" t="s">
        <v>1135</v>
      </c>
      <c r="S1603">
        <v>2</v>
      </c>
      <c r="T1603" t="s">
        <v>1147</v>
      </c>
      <c r="U1603" s="11" t="str">
        <f t="shared" si="125"/>
        <v>08:21:49 AM</v>
      </c>
      <c r="BL1603" s="2" t="s">
        <v>2753</v>
      </c>
    </row>
    <row r="1604" spans="1:64" x14ac:dyDescent="0.35">
      <c r="A1604">
        <v>7566</v>
      </c>
      <c r="B1604" t="s">
        <v>3</v>
      </c>
      <c r="C1604" s="1">
        <v>45560</v>
      </c>
      <c r="D1604" t="s">
        <v>17</v>
      </c>
      <c r="E1604" t="s">
        <v>33</v>
      </c>
      <c r="F1604">
        <v>4</v>
      </c>
      <c r="G1604">
        <v>917.15</v>
      </c>
      <c r="H1604">
        <v>3668.6</v>
      </c>
      <c r="I1604">
        <v>733.72</v>
      </c>
      <c r="J1604">
        <v>2934.88</v>
      </c>
      <c r="K1604">
        <v>415</v>
      </c>
      <c r="L1604" s="11">
        <v>0.55303240740740744</v>
      </c>
      <c r="M1604">
        <f t="shared" si="126"/>
        <v>25</v>
      </c>
      <c r="N1604">
        <f t="shared" si="127"/>
        <v>9</v>
      </c>
      <c r="O1604">
        <f t="shared" si="128"/>
        <v>2024</v>
      </c>
      <c r="P1604" s="4">
        <f t="shared" si="129"/>
        <v>45560</v>
      </c>
      <c r="Q1604" t="s">
        <v>1139</v>
      </c>
      <c r="R1604" t="s">
        <v>1137</v>
      </c>
      <c r="S1604">
        <v>1</v>
      </c>
      <c r="T1604" t="s">
        <v>1145</v>
      </c>
      <c r="U1604" s="11" t="str">
        <f t="shared" si="125"/>
        <v>01:16:22 PM</v>
      </c>
      <c r="BL1604" s="2" t="s">
        <v>2754</v>
      </c>
    </row>
    <row r="1605" spans="1:64" x14ac:dyDescent="0.35">
      <c r="A1605">
        <v>9300</v>
      </c>
      <c r="B1605" t="s">
        <v>25</v>
      </c>
      <c r="C1605" s="1">
        <v>45862</v>
      </c>
      <c r="D1605" t="s">
        <v>27</v>
      </c>
      <c r="E1605" t="s">
        <v>7</v>
      </c>
      <c r="F1605">
        <v>3</v>
      </c>
      <c r="G1605">
        <v>300.45999999999998</v>
      </c>
      <c r="H1605">
        <v>901.38</v>
      </c>
      <c r="I1605">
        <v>135.29</v>
      </c>
      <c r="J1605">
        <v>766.09</v>
      </c>
      <c r="K1605">
        <v>395</v>
      </c>
      <c r="L1605" s="11">
        <v>0.89708333333333334</v>
      </c>
      <c r="M1605">
        <f t="shared" si="126"/>
        <v>24</v>
      </c>
      <c r="N1605">
        <f t="shared" si="127"/>
        <v>7</v>
      </c>
      <c r="O1605">
        <f t="shared" si="128"/>
        <v>2025</v>
      </c>
      <c r="P1605" s="4">
        <f t="shared" si="129"/>
        <v>45862</v>
      </c>
      <c r="Q1605" t="s">
        <v>1138</v>
      </c>
      <c r="R1605" t="s">
        <v>1137</v>
      </c>
      <c r="S1605">
        <v>2</v>
      </c>
      <c r="T1605" t="s">
        <v>1150</v>
      </c>
      <c r="U1605" s="11" t="str">
        <f t="shared" si="125"/>
        <v>09:31:48 PM</v>
      </c>
      <c r="BL1605" s="2" t="s">
        <v>2755</v>
      </c>
    </row>
    <row r="1606" spans="1:64" x14ac:dyDescent="0.35">
      <c r="A1606">
        <v>7853</v>
      </c>
      <c r="B1606" t="s">
        <v>31</v>
      </c>
      <c r="C1606" s="1">
        <v>45567</v>
      </c>
      <c r="D1606" t="s">
        <v>34</v>
      </c>
      <c r="E1606" t="s">
        <v>2</v>
      </c>
      <c r="F1606">
        <v>1</v>
      </c>
      <c r="G1606">
        <v>2301.59</v>
      </c>
      <c r="H1606">
        <v>2301.59</v>
      </c>
      <c r="I1606">
        <v>229.91</v>
      </c>
      <c r="J1606">
        <v>2071.6799999999998</v>
      </c>
      <c r="K1606">
        <v>264</v>
      </c>
      <c r="L1606" s="11">
        <v>0.99266203703703704</v>
      </c>
      <c r="M1606">
        <f t="shared" si="126"/>
        <v>2</v>
      </c>
      <c r="N1606">
        <f t="shared" si="127"/>
        <v>10</v>
      </c>
      <c r="O1606">
        <f t="shared" si="128"/>
        <v>2024</v>
      </c>
      <c r="P1606" s="4">
        <f t="shared" si="129"/>
        <v>45567</v>
      </c>
      <c r="Q1606" t="s">
        <v>1136</v>
      </c>
      <c r="R1606" t="s">
        <v>1135</v>
      </c>
      <c r="S1606">
        <v>4</v>
      </c>
      <c r="T1606" t="s">
        <v>1141</v>
      </c>
      <c r="U1606" s="11" t="str">
        <f t="shared" si="125"/>
        <v>11:49:26 PM</v>
      </c>
      <c r="BL1606" s="2" t="s">
        <v>2756</v>
      </c>
    </row>
    <row r="1607" spans="1:64" x14ac:dyDescent="0.35">
      <c r="A1607">
        <v>1602</v>
      </c>
      <c r="B1607" t="s">
        <v>8</v>
      </c>
      <c r="C1607" s="1">
        <v>45759</v>
      </c>
      <c r="D1607" t="s">
        <v>34</v>
      </c>
      <c r="E1607" t="s">
        <v>10</v>
      </c>
      <c r="F1607">
        <v>3</v>
      </c>
      <c r="G1607">
        <v>1439.22</v>
      </c>
      <c r="H1607">
        <v>4317.66</v>
      </c>
      <c r="I1607">
        <v>647.4</v>
      </c>
      <c r="J1607">
        <v>3670.26</v>
      </c>
      <c r="K1607">
        <v>337</v>
      </c>
      <c r="L1607" s="11">
        <v>0.74199074074074078</v>
      </c>
      <c r="M1607">
        <f t="shared" si="126"/>
        <v>12</v>
      </c>
      <c r="N1607">
        <f t="shared" si="127"/>
        <v>4</v>
      </c>
      <c r="O1607">
        <f t="shared" si="128"/>
        <v>2025</v>
      </c>
      <c r="P1607" s="4">
        <f t="shared" si="129"/>
        <v>45759</v>
      </c>
      <c r="Q1607" t="s">
        <v>1134</v>
      </c>
      <c r="R1607" t="s">
        <v>1135</v>
      </c>
      <c r="S1607">
        <v>3</v>
      </c>
      <c r="T1607" t="s">
        <v>1147</v>
      </c>
      <c r="U1607" s="11" t="str">
        <f t="shared" si="125"/>
        <v>05:48:28 PM</v>
      </c>
      <c r="BL1607" s="2" t="s">
        <v>2757</v>
      </c>
    </row>
    <row r="1608" spans="1:64" x14ac:dyDescent="0.35">
      <c r="A1608">
        <v>6890</v>
      </c>
      <c r="B1608" t="s">
        <v>0</v>
      </c>
      <c r="C1608" s="1">
        <v>45689</v>
      </c>
      <c r="D1608" t="s">
        <v>16</v>
      </c>
      <c r="E1608" t="s">
        <v>12</v>
      </c>
      <c r="F1608">
        <v>1</v>
      </c>
      <c r="G1608">
        <v>463.97</v>
      </c>
      <c r="H1608">
        <v>463.97</v>
      </c>
      <c r="I1608">
        <v>69.72</v>
      </c>
      <c r="J1608">
        <v>394.25</v>
      </c>
      <c r="K1608">
        <v>243</v>
      </c>
      <c r="L1608" s="11">
        <v>0.80232638888888885</v>
      </c>
      <c r="M1608">
        <f t="shared" si="126"/>
        <v>1</v>
      </c>
      <c r="N1608">
        <f t="shared" si="127"/>
        <v>2</v>
      </c>
      <c r="O1608">
        <f t="shared" si="128"/>
        <v>2025</v>
      </c>
      <c r="P1608" s="4">
        <f t="shared" si="129"/>
        <v>45689</v>
      </c>
      <c r="Q1608" t="s">
        <v>1139</v>
      </c>
      <c r="R1608" t="s">
        <v>1135</v>
      </c>
      <c r="S1608">
        <v>3</v>
      </c>
      <c r="T1608" t="s">
        <v>1145</v>
      </c>
      <c r="U1608" s="11" t="str">
        <f t="shared" si="125"/>
        <v>07:15:21 PM</v>
      </c>
      <c r="BL1608" s="2" t="s">
        <v>2758</v>
      </c>
    </row>
    <row r="1609" spans="1:64" x14ac:dyDescent="0.35">
      <c r="A1609">
        <v>9796</v>
      </c>
      <c r="B1609" t="s">
        <v>0</v>
      </c>
      <c r="C1609" s="1">
        <v>45606</v>
      </c>
      <c r="D1609" t="s">
        <v>23</v>
      </c>
      <c r="E1609" t="s">
        <v>12</v>
      </c>
      <c r="F1609">
        <v>3</v>
      </c>
      <c r="G1609">
        <v>473.93</v>
      </c>
      <c r="H1609">
        <v>1421.79</v>
      </c>
      <c r="I1609">
        <v>229.08</v>
      </c>
      <c r="J1609">
        <v>1192.71</v>
      </c>
      <c r="K1609">
        <v>279</v>
      </c>
      <c r="L1609" s="11">
        <v>6.7488425925925924E-2</v>
      </c>
      <c r="M1609">
        <f t="shared" si="126"/>
        <v>10</v>
      </c>
      <c r="N1609">
        <f t="shared" si="127"/>
        <v>11</v>
      </c>
      <c r="O1609">
        <f t="shared" si="128"/>
        <v>2024</v>
      </c>
      <c r="P1609" s="4">
        <f t="shared" si="129"/>
        <v>45606</v>
      </c>
      <c r="Q1609" t="s">
        <v>1138</v>
      </c>
      <c r="R1609" t="s">
        <v>1137</v>
      </c>
      <c r="S1609">
        <v>4</v>
      </c>
      <c r="T1609" t="s">
        <v>1150</v>
      </c>
      <c r="U1609" s="11" t="str">
        <f t="shared" si="125"/>
        <v>01:37:11 AM</v>
      </c>
      <c r="BL1609" s="2" t="s">
        <v>2759</v>
      </c>
    </row>
    <row r="1610" spans="1:64" x14ac:dyDescent="0.35">
      <c r="A1610">
        <v>2392</v>
      </c>
      <c r="B1610" t="s">
        <v>15</v>
      </c>
      <c r="C1610" s="1">
        <v>45229</v>
      </c>
      <c r="D1610" t="s">
        <v>17</v>
      </c>
      <c r="E1610" t="s">
        <v>5</v>
      </c>
      <c r="F1610">
        <v>4</v>
      </c>
      <c r="G1610">
        <v>1221.76</v>
      </c>
      <c r="H1610">
        <v>4887.04</v>
      </c>
      <c r="I1610">
        <v>0</v>
      </c>
      <c r="J1610">
        <v>4887.04</v>
      </c>
      <c r="K1610">
        <v>124</v>
      </c>
      <c r="L1610" s="11">
        <v>0.11239583333333333</v>
      </c>
      <c r="M1610">
        <f t="shared" si="126"/>
        <v>30</v>
      </c>
      <c r="N1610">
        <f t="shared" si="127"/>
        <v>10</v>
      </c>
      <c r="O1610">
        <f t="shared" si="128"/>
        <v>2023</v>
      </c>
      <c r="P1610" s="4">
        <f t="shared" si="129"/>
        <v>45229</v>
      </c>
      <c r="Q1610" t="s">
        <v>1139</v>
      </c>
      <c r="R1610" t="s">
        <v>1135</v>
      </c>
      <c r="S1610">
        <v>3</v>
      </c>
      <c r="T1610" t="s">
        <v>1143</v>
      </c>
      <c r="U1610" s="11" t="str">
        <f t="shared" si="125"/>
        <v>02:41:51 AM</v>
      </c>
      <c r="BL1610" s="2" t="s">
        <v>2760</v>
      </c>
    </row>
    <row r="1611" spans="1:64" x14ac:dyDescent="0.35">
      <c r="A1611">
        <v>5067</v>
      </c>
      <c r="B1611" t="s">
        <v>25</v>
      </c>
      <c r="C1611" s="1">
        <v>45655</v>
      </c>
      <c r="D1611" t="s">
        <v>17</v>
      </c>
      <c r="E1611" t="s">
        <v>10</v>
      </c>
      <c r="F1611">
        <v>4</v>
      </c>
      <c r="G1611">
        <v>1715.61</v>
      </c>
      <c r="H1611">
        <v>6862.44</v>
      </c>
      <c r="I1611">
        <v>1372.82</v>
      </c>
      <c r="J1611">
        <v>5489.62</v>
      </c>
      <c r="K1611">
        <v>153</v>
      </c>
      <c r="L1611" s="11">
        <v>0.71983796296296299</v>
      </c>
      <c r="M1611">
        <f t="shared" si="126"/>
        <v>29</v>
      </c>
      <c r="N1611">
        <f t="shared" si="127"/>
        <v>12</v>
      </c>
      <c r="O1611">
        <f t="shared" si="128"/>
        <v>2024</v>
      </c>
      <c r="P1611" s="4">
        <f t="shared" si="129"/>
        <v>45655</v>
      </c>
      <c r="Q1611" t="s">
        <v>1134</v>
      </c>
      <c r="R1611" t="s">
        <v>1137</v>
      </c>
      <c r="S1611">
        <v>5</v>
      </c>
      <c r="T1611" t="s">
        <v>1148</v>
      </c>
      <c r="U1611" s="11" t="str">
        <f t="shared" si="125"/>
        <v>05:16:34 PM</v>
      </c>
      <c r="BL1611" s="2" t="s">
        <v>2761</v>
      </c>
    </row>
    <row r="1612" spans="1:64" x14ac:dyDescent="0.35">
      <c r="A1612">
        <v>6816</v>
      </c>
      <c r="B1612" t="s">
        <v>3</v>
      </c>
      <c r="C1612" s="1">
        <v>45274</v>
      </c>
      <c r="D1612" t="s">
        <v>4</v>
      </c>
      <c r="E1612" t="s">
        <v>5</v>
      </c>
      <c r="F1612">
        <v>4</v>
      </c>
      <c r="G1612">
        <v>1945.52</v>
      </c>
      <c r="H1612">
        <v>7782.08</v>
      </c>
      <c r="I1612">
        <v>92.13</v>
      </c>
      <c r="J1612">
        <v>7689.95</v>
      </c>
      <c r="K1612">
        <v>488</v>
      </c>
      <c r="L1612" s="11">
        <v>0.75055555555555553</v>
      </c>
      <c r="M1612">
        <f t="shared" si="126"/>
        <v>14</v>
      </c>
      <c r="N1612">
        <f t="shared" si="127"/>
        <v>12</v>
      </c>
      <c r="O1612">
        <f t="shared" si="128"/>
        <v>2023</v>
      </c>
      <c r="P1612" s="4">
        <f t="shared" si="129"/>
        <v>45274</v>
      </c>
      <c r="Q1612" t="s">
        <v>1138</v>
      </c>
      <c r="R1612" t="s">
        <v>1135</v>
      </c>
      <c r="S1612">
        <v>1</v>
      </c>
      <c r="T1612" t="s">
        <v>1145</v>
      </c>
      <c r="U1612" s="11" t="str">
        <f t="shared" si="125"/>
        <v>06:00:48 PM</v>
      </c>
      <c r="BL1612" s="2" t="s">
        <v>2762</v>
      </c>
    </row>
    <row r="1613" spans="1:64" x14ac:dyDescent="0.35">
      <c r="A1613">
        <v>1725</v>
      </c>
      <c r="B1613" t="s">
        <v>0</v>
      </c>
      <c r="C1613" s="1">
        <v>45582</v>
      </c>
      <c r="D1613" t="s">
        <v>23</v>
      </c>
      <c r="E1613" t="s">
        <v>26</v>
      </c>
      <c r="F1613">
        <v>5</v>
      </c>
      <c r="G1613">
        <v>2405.34</v>
      </c>
      <c r="H1613">
        <v>12026.7</v>
      </c>
      <c r="I1613">
        <v>332.83</v>
      </c>
      <c r="J1613">
        <v>11693.87</v>
      </c>
      <c r="K1613">
        <v>482</v>
      </c>
      <c r="L1613" s="11">
        <v>0.52832175925925928</v>
      </c>
      <c r="M1613">
        <f t="shared" si="126"/>
        <v>17</v>
      </c>
      <c r="N1613">
        <f t="shared" si="127"/>
        <v>10</v>
      </c>
      <c r="O1613">
        <f t="shared" si="128"/>
        <v>2024</v>
      </c>
      <c r="P1613" s="4">
        <f t="shared" si="129"/>
        <v>45582</v>
      </c>
      <c r="Q1613" t="s">
        <v>1139</v>
      </c>
      <c r="R1613" t="s">
        <v>1135</v>
      </c>
      <c r="S1613">
        <v>1</v>
      </c>
      <c r="T1613" t="s">
        <v>1147</v>
      </c>
      <c r="U1613" s="11" t="str">
        <f t="shared" si="125"/>
        <v>12:40:47 PM</v>
      </c>
      <c r="BL1613" s="2" t="s">
        <v>2763</v>
      </c>
    </row>
    <row r="1614" spans="1:64" x14ac:dyDescent="0.35">
      <c r="A1614">
        <v>7547</v>
      </c>
      <c r="B1614" t="s">
        <v>8</v>
      </c>
      <c r="C1614" s="1">
        <v>45729</v>
      </c>
      <c r="D1614" t="s">
        <v>16</v>
      </c>
      <c r="E1614" t="s">
        <v>10</v>
      </c>
      <c r="F1614">
        <v>1</v>
      </c>
      <c r="G1614">
        <v>2417.79</v>
      </c>
      <c r="H1614">
        <v>2417.79</v>
      </c>
      <c r="I1614">
        <v>362.71</v>
      </c>
      <c r="J1614">
        <v>2055.08</v>
      </c>
      <c r="K1614">
        <v>158</v>
      </c>
      <c r="L1614" s="11">
        <v>4.4930555555555557E-2</v>
      </c>
      <c r="M1614">
        <f t="shared" si="126"/>
        <v>13</v>
      </c>
      <c r="N1614">
        <f t="shared" si="127"/>
        <v>3</v>
      </c>
      <c r="O1614">
        <f t="shared" si="128"/>
        <v>2025</v>
      </c>
      <c r="P1614" s="4">
        <f t="shared" si="129"/>
        <v>45729</v>
      </c>
      <c r="Q1614" t="s">
        <v>1136</v>
      </c>
      <c r="R1614" t="s">
        <v>1135</v>
      </c>
      <c r="S1614">
        <v>1</v>
      </c>
      <c r="T1614" t="s">
        <v>1141</v>
      </c>
      <c r="U1614" s="11" t="str">
        <f t="shared" si="125"/>
        <v>01:04:42 AM</v>
      </c>
      <c r="BL1614" s="2" t="s">
        <v>2764</v>
      </c>
    </row>
    <row r="1615" spans="1:64" x14ac:dyDescent="0.35">
      <c r="A1615">
        <v>6432</v>
      </c>
      <c r="B1615" t="s">
        <v>15</v>
      </c>
      <c r="C1615" s="1">
        <v>45763</v>
      </c>
      <c r="D1615" t="s">
        <v>9</v>
      </c>
      <c r="E1615" t="s">
        <v>18</v>
      </c>
      <c r="F1615">
        <v>4</v>
      </c>
      <c r="G1615">
        <v>83.83</v>
      </c>
      <c r="H1615">
        <v>335.32</v>
      </c>
      <c r="I1615">
        <v>67.23</v>
      </c>
      <c r="J1615">
        <v>268.08999999999997</v>
      </c>
      <c r="K1615">
        <v>75</v>
      </c>
      <c r="L1615" s="11">
        <v>0.72932870370370373</v>
      </c>
      <c r="M1615">
        <f t="shared" si="126"/>
        <v>16</v>
      </c>
      <c r="N1615">
        <f t="shared" si="127"/>
        <v>4</v>
      </c>
      <c r="O1615">
        <f t="shared" si="128"/>
        <v>2025</v>
      </c>
      <c r="P1615" s="4">
        <f t="shared" si="129"/>
        <v>45763</v>
      </c>
      <c r="Q1615" t="s">
        <v>1138</v>
      </c>
      <c r="R1615" t="s">
        <v>1135</v>
      </c>
      <c r="S1615">
        <v>3</v>
      </c>
      <c r="T1615" t="s">
        <v>1143</v>
      </c>
      <c r="U1615" s="11" t="str">
        <f t="shared" si="125"/>
        <v>05:30:14 PM</v>
      </c>
      <c r="BL1615" s="2" t="s">
        <v>2765</v>
      </c>
    </row>
    <row r="1616" spans="1:64" x14ac:dyDescent="0.35">
      <c r="A1616">
        <v>8052</v>
      </c>
      <c r="B1616" t="s">
        <v>19</v>
      </c>
      <c r="C1616" s="1">
        <v>45227</v>
      </c>
      <c r="D1616" t="s">
        <v>24</v>
      </c>
      <c r="E1616" t="s">
        <v>32</v>
      </c>
      <c r="F1616">
        <v>2</v>
      </c>
      <c r="G1616">
        <v>650.72</v>
      </c>
      <c r="H1616">
        <v>1301.44</v>
      </c>
      <c r="I1616">
        <v>323.7</v>
      </c>
      <c r="J1616">
        <v>977.74</v>
      </c>
      <c r="K1616">
        <v>104</v>
      </c>
      <c r="L1616" s="11">
        <v>0.89011574074074074</v>
      </c>
      <c r="M1616">
        <f t="shared" si="126"/>
        <v>28</v>
      </c>
      <c r="N1616">
        <f t="shared" si="127"/>
        <v>10</v>
      </c>
      <c r="O1616">
        <f t="shared" si="128"/>
        <v>2023</v>
      </c>
      <c r="P1616" s="4">
        <f t="shared" si="129"/>
        <v>45227</v>
      </c>
      <c r="Q1616" t="s">
        <v>1139</v>
      </c>
      <c r="R1616" t="s">
        <v>1135</v>
      </c>
      <c r="S1616">
        <v>3</v>
      </c>
      <c r="T1616" t="s">
        <v>1146</v>
      </c>
      <c r="U1616" s="11" t="str">
        <f t="shared" si="125"/>
        <v>09:21:46 PM</v>
      </c>
      <c r="BL1616" s="2" t="s">
        <v>2766</v>
      </c>
    </row>
    <row r="1617" spans="1:64" x14ac:dyDescent="0.35">
      <c r="A1617">
        <v>1172</v>
      </c>
      <c r="B1617" t="s">
        <v>8</v>
      </c>
      <c r="C1617" s="1">
        <v>45221</v>
      </c>
      <c r="D1617" t="s">
        <v>16</v>
      </c>
      <c r="E1617" t="s">
        <v>7</v>
      </c>
      <c r="F1617">
        <v>3</v>
      </c>
      <c r="G1617">
        <v>93.79</v>
      </c>
      <c r="H1617">
        <v>281.37</v>
      </c>
      <c r="I1617">
        <v>239.04</v>
      </c>
      <c r="J1617">
        <v>42.33</v>
      </c>
      <c r="K1617">
        <v>81</v>
      </c>
      <c r="L1617" s="11">
        <v>0.78643518518518518</v>
      </c>
      <c r="M1617">
        <f t="shared" si="126"/>
        <v>22</v>
      </c>
      <c r="N1617">
        <f t="shared" si="127"/>
        <v>10</v>
      </c>
      <c r="O1617">
        <f t="shared" si="128"/>
        <v>2023</v>
      </c>
      <c r="P1617" s="4">
        <f t="shared" si="129"/>
        <v>45221</v>
      </c>
      <c r="Q1617" t="s">
        <v>1134</v>
      </c>
      <c r="R1617" t="s">
        <v>1135</v>
      </c>
      <c r="S1617">
        <v>2</v>
      </c>
      <c r="T1617" t="s">
        <v>1148</v>
      </c>
      <c r="U1617" s="11" t="str">
        <f t="shared" si="125"/>
        <v>06:52:28 PM</v>
      </c>
      <c r="BL1617" s="2" t="s">
        <v>2767</v>
      </c>
    </row>
    <row r="1618" spans="1:64" x14ac:dyDescent="0.35">
      <c r="A1618">
        <v>5239</v>
      </c>
      <c r="B1618" t="s">
        <v>13</v>
      </c>
      <c r="C1618" s="1">
        <v>45317</v>
      </c>
      <c r="D1618" t="s">
        <v>6</v>
      </c>
      <c r="E1618" t="s">
        <v>37</v>
      </c>
      <c r="F1618">
        <v>4</v>
      </c>
      <c r="G1618">
        <v>2083.3000000000002</v>
      </c>
      <c r="H1618">
        <v>8333.2000000000007</v>
      </c>
      <c r="I1618">
        <v>211.65</v>
      </c>
      <c r="J1618">
        <v>8121.55</v>
      </c>
      <c r="K1618">
        <v>361</v>
      </c>
      <c r="L1618" s="11">
        <v>0.27978009259259257</v>
      </c>
      <c r="M1618">
        <f t="shared" si="126"/>
        <v>26</v>
      </c>
      <c r="N1618">
        <f t="shared" si="127"/>
        <v>1</v>
      </c>
      <c r="O1618">
        <f t="shared" si="128"/>
        <v>2024</v>
      </c>
      <c r="P1618" s="4">
        <f t="shared" si="129"/>
        <v>45317</v>
      </c>
      <c r="Q1618" t="s">
        <v>1134</v>
      </c>
      <c r="R1618" t="s">
        <v>1137</v>
      </c>
      <c r="S1618">
        <v>2</v>
      </c>
      <c r="T1618" t="s">
        <v>1150</v>
      </c>
      <c r="U1618" s="11" t="str">
        <f t="shared" si="125"/>
        <v>06:42:53 AM</v>
      </c>
      <c r="BL1618" s="2" t="s">
        <v>2768</v>
      </c>
    </row>
    <row r="1619" spans="1:64" x14ac:dyDescent="0.35">
      <c r="A1619">
        <v>9366</v>
      </c>
      <c r="B1619" t="s">
        <v>25</v>
      </c>
      <c r="C1619" s="1">
        <v>45725</v>
      </c>
      <c r="D1619" t="s">
        <v>23</v>
      </c>
      <c r="E1619" t="s">
        <v>21</v>
      </c>
      <c r="F1619">
        <v>3</v>
      </c>
      <c r="G1619">
        <v>2243.4899999999998</v>
      </c>
      <c r="H1619">
        <v>6730.47</v>
      </c>
      <c r="I1619">
        <v>214.14</v>
      </c>
      <c r="J1619">
        <v>6516.33</v>
      </c>
      <c r="K1619">
        <v>419</v>
      </c>
      <c r="L1619" s="11">
        <v>0.45439814814814816</v>
      </c>
      <c r="M1619">
        <f t="shared" si="126"/>
        <v>9</v>
      </c>
      <c r="N1619">
        <f t="shared" si="127"/>
        <v>3</v>
      </c>
      <c r="O1619">
        <f t="shared" si="128"/>
        <v>2025</v>
      </c>
      <c r="P1619" s="4">
        <f t="shared" si="129"/>
        <v>45725</v>
      </c>
      <c r="Q1619" t="s">
        <v>1138</v>
      </c>
      <c r="R1619" t="s">
        <v>1135</v>
      </c>
      <c r="S1619">
        <v>1</v>
      </c>
      <c r="T1619" t="s">
        <v>1145</v>
      </c>
      <c r="U1619" s="11" t="str">
        <f t="shared" si="125"/>
        <v>10:54:20 AM</v>
      </c>
      <c r="BL1619" s="2" t="s">
        <v>2769</v>
      </c>
    </row>
    <row r="1620" spans="1:64" x14ac:dyDescent="0.35">
      <c r="A1620">
        <v>9499</v>
      </c>
      <c r="B1620" t="s">
        <v>0</v>
      </c>
      <c r="C1620" s="1">
        <v>45578</v>
      </c>
      <c r="D1620" t="s">
        <v>11</v>
      </c>
      <c r="E1620" t="s">
        <v>37</v>
      </c>
      <c r="F1620">
        <v>5</v>
      </c>
      <c r="G1620">
        <v>146.91</v>
      </c>
      <c r="H1620">
        <v>734.55</v>
      </c>
      <c r="I1620">
        <v>146.91</v>
      </c>
      <c r="J1620">
        <v>587.64</v>
      </c>
      <c r="K1620">
        <v>453</v>
      </c>
      <c r="L1620" s="11">
        <v>0.25988425925925923</v>
      </c>
      <c r="M1620">
        <f t="shared" si="126"/>
        <v>13</v>
      </c>
      <c r="N1620">
        <f t="shared" si="127"/>
        <v>10</v>
      </c>
      <c r="O1620">
        <f t="shared" si="128"/>
        <v>2024</v>
      </c>
      <c r="P1620" s="4">
        <f t="shared" si="129"/>
        <v>45578</v>
      </c>
      <c r="Q1620" t="s">
        <v>1139</v>
      </c>
      <c r="R1620" t="s">
        <v>1137</v>
      </c>
      <c r="S1620">
        <v>5</v>
      </c>
      <c r="T1620" t="s">
        <v>1146</v>
      </c>
      <c r="U1620" s="11" t="str">
        <f t="shared" si="125"/>
        <v>06:14:14 AM</v>
      </c>
      <c r="BL1620" s="2" t="s">
        <v>2770</v>
      </c>
    </row>
    <row r="1621" spans="1:64" x14ac:dyDescent="0.35">
      <c r="A1621">
        <v>4621</v>
      </c>
      <c r="B1621" t="s">
        <v>25</v>
      </c>
      <c r="C1621" s="1">
        <v>45491</v>
      </c>
      <c r="D1621" t="s">
        <v>11</v>
      </c>
      <c r="E1621" t="s">
        <v>10</v>
      </c>
      <c r="F1621">
        <v>5</v>
      </c>
      <c r="G1621">
        <v>2063.38</v>
      </c>
      <c r="H1621">
        <v>10316.9</v>
      </c>
      <c r="I1621">
        <v>297.14</v>
      </c>
      <c r="J1621">
        <v>10019.76</v>
      </c>
      <c r="K1621">
        <v>312</v>
      </c>
      <c r="L1621" s="11">
        <v>0.95042824074074073</v>
      </c>
      <c r="M1621">
        <f t="shared" si="126"/>
        <v>18</v>
      </c>
      <c r="N1621">
        <f t="shared" si="127"/>
        <v>7</v>
      </c>
      <c r="O1621">
        <f t="shared" si="128"/>
        <v>2024</v>
      </c>
      <c r="P1621" s="4">
        <f t="shared" si="129"/>
        <v>45491</v>
      </c>
      <c r="Q1621" t="s">
        <v>1138</v>
      </c>
      <c r="R1621" t="s">
        <v>1135</v>
      </c>
      <c r="S1621">
        <v>2</v>
      </c>
      <c r="T1621" t="s">
        <v>1141</v>
      </c>
      <c r="U1621" s="11" t="str">
        <f t="shared" si="125"/>
        <v>10:48:37 PM</v>
      </c>
      <c r="BL1621" s="2" t="s">
        <v>2771</v>
      </c>
    </row>
    <row r="1622" spans="1:64" x14ac:dyDescent="0.35">
      <c r="A1622">
        <v>7129</v>
      </c>
      <c r="B1622" t="s">
        <v>8</v>
      </c>
      <c r="C1622" s="1">
        <v>45448</v>
      </c>
      <c r="D1622" t="s">
        <v>34</v>
      </c>
      <c r="E1622" t="s">
        <v>33</v>
      </c>
      <c r="F1622">
        <v>1</v>
      </c>
      <c r="G1622">
        <v>590.96</v>
      </c>
      <c r="H1622">
        <v>590.96</v>
      </c>
      <c r="I1622">
        <v>88.81</v>
      </c>
      <c r="J1622">
        <v>502.15</v>
      </c>
      <c r="K1622">
        <v>222</v>
      </c>
      <c r="L1622" s="11">
        <v>0.45738425925925924</v>
      </c>
      <c r="M1622">
        <f t="shared" si="126"/>
        <v>5</v>
      </c>
      <c r="N1622">
        <f t="shared" si="127"/>
        <v>6</v>
      </c>
      <c r="O1622">
        <f t="shared" si="128"/>
        <v>2024</v>
      </c>
      <c r="P1622" s="4">
        <f t="shared" si="129"/>
        <v>45448</v>
      </c>
      <c r="Q1622" t="s">
        <v>1138</v>
      </c>
      <c r="R1622" t="s">
        <v>1135</v>
      </c>
      <c r="S1622">
        <v>2</v>
      </c>
      <c r="T1622" t="s">
        <v>1148</v>
      </c>
      <c r="U1622" s="11" t="str">
        <f t="shared" si="125"/>
        <v>10:58:38 AM</v>
      </c>
      <c r="BL1622" s="2" t="s">
        <v>2772</v>
      </c>
    </row>
    <row r="1623" spans="1:64" x14ac:dyDescent="0.35">
      <c r="A1623">
        <v>8586</v>
      </c>
      <c r="B1623" t="s">
        <v>13</v>
      </c>
      <c r="C1623" s="1">
        <v>45744</v>
      </c>
      <c r="D1623" t="s">
        <v>16</v>
      </c>
      <c r="E1623" t="s">
        <v>18</v>
      </c>
      <c r="F1623">
        <v>4</v>
      </c>
      <c r="G1623">
        <v>444.88</v>
      </c>
      <c r="H1623">
        <v>1779.52</v>
      </c>
      <c r="I1623">
        <v>0</v>
      </c>
      <c r="J1623">
        <v>1779.52</v>
      </c>
      <c r="K1623">
        <v>159</v>
      </c>
      <c r="L1623" s="11">
        <v>0.9803587962962963</v>
      </c>
      <c r="M1623">
        <f t="shared" si="126"/>
        <v>28</v>
      </c>
      <c r="N1623">
        <f t="shared" si="127"/>
        <v>3</v>
      </c>
      <c r="O1623">
        <f t="shared" si="128"/>
        <v>2025</v>
      </c>
      <c r="P1623" s="4">
        <f t="shared" si="129"/>
        <v>45744</v>
      </c>
      <c r="Q1623" t="s">
        <v>1139</v>
      </c>
      <c r="R1623" t="s">
        <v>1137</v>
      </c>
      <c r="S1623">
        <v>3</v>
      </c>
      <c r="T1623" t="s">
        <v>1146</v>
      </c>
      <c r="U1623" s="11" t="str">
        <f t="shared" si="125"/>
        <v>11:31:43 PM</v>
      </c>
      <c r="BL1623" s="2" t="s">
        <v>2773</v>
      </c>
    </row>
    <row r="1624" spans="1:64" x14ac:dyDescent="0.35">
      <c r="A1624">
        <v>9199</v>
      </c>
      <c r="B1624" t="s">
        <v>15</v>
      </c>
      <c r="C1624" s="1">
        <v>45262</v>
      </c>
      <c r="D1624" t="s">
        <v>1</v>
      </c>
      <c r="E1624" t="s">
        <v>2</v>
      </c>
      <c r="F1624">
        <v>4</v>
      </c>
      <c r="G1624">
        <v>514.6</v>
      </c>
      <c r="H1624">
        <v>2058.4</v>
      </c>
      <c r="I1624">
        <v>205.84</v>
      </c>
      <c r="J1624">
        <v>1852.56</v>
      </c>
      <c r="K1624">
        <v>203</v>
      </c>
      <c r="L1624" s="11">
        <v>0.24292824074074074</v>
      </c>
      <c r="M1624">
        <f t="shared" si="126"/>
        <v>2</v>
      </c>
      <c r="N1624">
        <f t="shared" si="127"/>
        <v>12</v>
      </c>
      <c r="O1624">
        <f t="shared" si="128"/>
        <v>2023</v>
      </c>
      <c r="P1624" s="4">
        <f t="shared" si="129"/>
        <v>45262</v>
      </c>
      <c r="Q1624" t="s">
        <v>1139</v>
      </c>
      <c r="R1624" t="s">
        <v>1135</v>
      </c>
      <c r="S1624">
        <v>5</v>
      </c>
      <c r="T1624" t="s">
        <v>1150</v>
      </c>
      <c r="U1624" s="11" t="str">
        <f t="shared" si="125"/>
        <v>05:49:49 AM</v>
      </c>
      <c r="BL1624" s="2" t="s">
        <v>2774</v>
      </c>
    </row>
    <row r="1625" spans="1:64" x14ac:dyDescent="0.35">
      <c r="A1625">
        <v>6651</v>
      </c>
      <c r="B1625" t="s">
        <v>0</v>
      </c>
      <c r="C1625" s="1">
        <v>45164</v>
      </c>
      <c r="D1625" t="s">
        <v>11</v>
      </c>
      <c r="E1625" t="s">
        <v>38</v>
      </c>
      <c r="F1625">
        <v>4</v>
      </c>
      <c r="G1625">
        <v>2016.07</v>
      </c>
      <c r="H1625">
        <v>8064.28</v>
      </c>
      <c r="I1625">
        <v>1209.31</v>
      </c>
      <c r="J1625">
        <v>6854.97</v>
      </c>
      <c r="K1625">
        <v>6</v>
      </c>
      <c r="L1625" s="11">
        <v>0.31611111111111112</v>
      </c>
      <c r="M1625">
        <f t="shared" si="126"/>
        <v>26</v>
      </c>
      <c r="N1625">
        <f t="shared" si="127"/>
        <v>8</v>
      </c>
      <c r="O1625">
        <f t="shared" si="128"/>
        <v>2023</v>
      </c>
      <c r="P1625" s="4">
        <f t="shared" si="129"/>
        <v>45164</v>
      </c>
      <c r="Q1625" t="s">
        <v>1136</v>
      </c>
      <c r="R1625" t="s">
        <v>1137</v>
      </c>
      <c r="S1625">
        <v>1</v>
      </c>
      <c r="T1625" t="s">
        <v>1142</v>
      </c>
      <c r="U1625" s="11" t="str">
        <f t="shared" si="125"/>
        <v>07:35:12 AM</v>
      </c>
      <c r="BL1625" s="2" t="s">
        <v>2775</v>
      </c>
    </row>
    <row r="1626" spans="1:64" x14ac:dyDescent="0.35">
      <c r="A1626">
        <v>8909</v>
      </c>
      <c r="B1626" t="s">
        <v>8</v>
      </c>
      <c r="C1626" s="1">
        <v>45226</v>
      </c>
      <c r="D1626" t="s">
        <v>17</v>
      </c>
      <c r="E1626" t="s">
        <v>36</v>
      </c>
      <c r="F1626">
        <v>4</v>
      </c>
      <c r="G1626">
        <v>1733.87</v>
      </c>
      <c r="H1626">
        <v>6935.48</v>
      </c>
      <c r="I1626">
        <v>0</v>
      </c>
      <c r="J1626">
        <v>6935.48</v>
      </c>
      <c r="K1626">
        <v>5</v>
      </c>
      <c r="L1626" s="11">
        <v>0.24685185185185185</v>
      </c>
      <c r="M1626">
        <f t="shared" si="126"/>
        <v>27</v>
      </c>
      <c r="N1626">
        <f t="shared" si="127"/>
        <v>10</v>
      </c>
      <c r="O1626">
        <f t="shared" si="128"/>
        <v>2023</v>
      </c>
      <c r="P1626" s="4">
        <f t="shared" si="129"/>
        <v>45226</v>
      </c>
      <c r="Q1626" t="s">
        <v>1139</v>
      </c>
      <c r="R1626" t="s">
        <v>1137</v>
      </c>
      <c r="S1626">
        <v>2</v>
      </c>
      <c r="T1626" t="s">
        <v>1150</v>
      </c>
      <c r="U1626" s="11" t="str">
        <f t="shared" si="125"/>
        <v>05:55:28 AM</v>
      </c>
      <c r="BL1626" s="2" t="s">
        <v>2776</v>
      </c>
    </row>
    <row r="1627" spans="1:64" x14ac:dyDescent="0.35">
      <c r="A1627">
        <v>5840</v>
      </c>
      <c r="B1627" t="s">
        <v>13</v>
      </c>
      <c r="C1627" s="1">
        <v>45468</v>
      </c>
      <c r="D1627" t="s">
        <v>9</v>
      </c>
      <c r="E1627" t="s">
        <v>29</v>
      </c>
      <c r="F1627">
        <v>3</v>
      </c>
      <c r="G1627">
        <v>1104.73</v>
      </c>
      <c r="H1627">
        <v>3314.19</v>
      </c>
      <c r="I1627">
        <v>351.09</v>
      </c>
      <c r="J1627">
        <v>2963.1</v>
      </c>
      <c r="K1627">
        <v>379</v>
      </c>
      <c r="L1627" s="11">
        <v>0.6508680555555556</v>
      </c>
      <c r="M1627">
        <f t="shared" si="126"/>
        <v>25</v>
      </c>
      <c r="N1627">
        <f t="shared" si="127"/>
        <v>6</v>
      </c>
      <c r="O1627">
        <f t="shared" si="128"/>
        <v>2024</v>
      </c>
      <c r="P1627" s="4">
        <f t="shared" si="129"/>
        <v>45468</v>
      </c>
      <c r="Q1627" t="s">
        <v>1134</v>
      </c>
      <c r="R1627" t="s">
        <v>1135</v>
      </c>
      <c r="S1627">
        <v>5</v>
      </c>
      <c r="T1627" t="s">
        <v>1143</v>
      </c>
      <c r="U1627" s="11" t="str">
        <f t="shared" si="125"/>
        <v>03:37:15 PM</v>
      </c>
      <c r="BL1627" s="2" t="s">
        <v>2777</v>
      </c>
    </row>
    <row r="1628" spans="1:64" x14ac:dyDescent="0.35">
      <c r="A1628">
        <v>2406</v>
      </c>
      <c r="B1628" t="s">
        <v>15</v>
      </c>
      <c r="C1628" s="1">
        <v>45235</v>
      </c>
      <c r="D1628" t="s">
        <v>27</v>
      </c>
      <c r="E1628" t="s">
        <v>12</v>
      </c>
      <c r="F1628">
        <v>4</v>
      </c>
      <c r="G1628">
        <v>1796.12</v>
      </c>
      <c r="H1628">
        <v>7184.48</v>
      </c>
      <c r="I1628">
        <v>343.62</v>
      </c>
      <c r="J1628">
        <v>6840.86</v>
      </c>
      <c r="K1628">
        <v>432</v>
      </c>
      <c r="L1628" s="11">
        <v>0.54303240740740744</v>
      </c>
      <c r="M1628">
        <f t="shared" si="126"/>
        <v>5</v>
      </c>
      <c r="N1628">
        <f t="shared" si="127"/>
        <v>11</v>
      </c>
      <c r="O1628">
        <f t="shared" si="128"/>
        <v>2023</v>
      </c>
      <c r="P1628" s="4">
        <f t="shared" si="129"/>
        <v>45235</v>
      </c>
      <c r="Q1628" t="s">
        <v>1138</v>
      </c>
      <c r="R1628" t="s">
        <v>1137</v>
      </c>
      <c r="S1628">
        <v>5</v>
      </c>
      <c r="T1628" t="s">
        <v>1145</v>
      </c>
      <c r="U1628" s="11" t="str">
        <f t="shared" si="125"/>
        <v>01:01:58 PM</v>
      </c>
      <c r="BL1628" s="2" t="s">
        <v>2778</v>
      </c>
    </row>
    <row r="1629" spans="1:64" x14ac:dyDescent="0.35">
      <c r="A1629">
        <v>3321</v>
      </c>
      <c r="B1629" t="s">
        <v>13</v>
      </c>
      <c r="C1629" s="1">
        <v>45415</v>
      </c>
      <c r="D1629" t="s">
        <v>27</v>
      </c>
      <c r="E1629" t="s">
        <v>21</v>
      </c>
      <c r="F1629">
        <v>1</v>
      </c>
      <c r="G1629">
        <v>444.05</v>
      </c>
      <c r="H1629">
        <v>444.05</v>
      </c>
      <c r="I1629">
        <v>88.81</v>
      </c>
      <c r="J1629">
        <v>355.24</v>
      </c>
      <c r="K1629">
        <v>172</v>
      </c>
      <c r="L1629" s="11">
        <v>0.1161574074074074</v>
      </c>
      <c r="M1629">
        <f t="shared" si="126"/>
        <v>3</v>
      </c>
      <c r="N1629">
        <f t="shared" si="127"/>
        <v>5</v>
      </c>
      <c r="O1629">
        <f t="shared" si="128"/>
        <v>2024</v>
      </c>
      <c r="P1629" s="4">
        <f t="shared" si="129"/>
        <v>45415</v>
      </c>
      <c r="Q1629" t="s">
        <v>1138</v>
      </c>
      <c r="R1629" t="s">
        <v>1137</v>
      </c>
      <c r="S1629">
        <v>1</v>
      </c>
      <c r="T1629" t="s">
        <v>1144</v>
      </c>
      <c r="U1629" s="11" t="str">
        <f t="shared" si="125"/>
        <v>02:47:16 AM</v>
      </c>
      <c r="BL1629" s="2" t="s">
        <v>2779</v>
      </c>
    </row>
    <row r="1630" spans="1:64" x14ac:dyDescent="0.35">
      <c r="A1630">
        <v>6110</v>
      </c>
      <c r="B1630" t="s">
        <v>3</v>
      </c>
      <c r="C1630" s="1">
        <v>45411</v>
      </c>
      <c r="D1630" t="s">
        <v>17</v>
      </c>
      <c r="E1630" t="s">
        <v>22</v>
      </c>
      <c r="F1630">
        <v>4</v>
      </c>
      <c r="G1630">
        <v>199.2</v>
      </c>
      <c r="H1630">
        <v>796.8</v>
      </c>
      <c r="I1630">
        <v>371.01</v>
      </c>
      <c r="J1630">
        <v>425.79</v>
      </c>
      <c r="K1630">
        <v>144</v>
      </c>
      <c r="L1630" s="11">
        <v>0.22061342592592592</v>
      </c>
      <c r="M1630">
        <f t="shared" si="126"/>
        <v>29</v>
      </c>
      <c r="N1630">
        <f t="shared" si="127"/>
        <v>4</v>
      </c>
      <c r="O1630">
        <f t="shared" si="128"/>
        <v>2024</v>
      </c>
      <c r="P1630" s="4">
        <f t="shared" si="129"/>
        <v>45411</v>
      </c>
      <c r="Q1630" t="s">
        <v>1134</v>
      </c>
      <c r="R1630" t="s">
        <v>1135</v>
      </c>
      <c r="S1630">
        <v>5</v>
      </c>
      <c r="T1630" t="s">
        <v>1150</v>
      </c>
      <c r="U1630" s="11" t="str">
        <f t="shared" si="125"/>
        <v>05:17:41 AM</v>
      </c>
      <c r="BL1630" s="2" t="s">
        <v>2780</v>
      </c>
    </row>
    <row r="1631" spans="1:64" x14ac:dyDescent="0.35">
      <c r="A1631">
        <v>8460</v>
      </c>
      <c r="B1631" t="s">
        <v>15</v>
      </c>
      <c r="C1631" s="1">
        <v>45754</v>
      </c>
      <c r="D1631" t="s">
        <v>11</v>
      </c>
      <c r="E1631" t="s">
        <v>29</v>
      </c>
      <c r="F1631">
        <v>5</v>
      </c>
      <c r="G1631">
        <v>1734.7</v>
      </c>
      <c r="H1631">
        <v>8673.5</v>
      </c>
      <c r="I1631">
        <v>1300.6099999999999</v>
      </c>
      <c r="J1631">
        <v>7372.89</v>
      </c>
      <c r="K1631">
        <v>129</v>
      </c>
      <c r="L1631" s="11">
        <v>0.74996527777777777</v>
      </c>
      <c r="M1631">
        <f t="shared" si="126"/>
        <v>7</v>
      </c>
      <c r="N1631">
        <f t="shared" si="127"/>
        <v>4</v>
      </c>
      <c r="O1631">
        <f t="shared" si="128"/>
        <v>2025</v>
      </c>
      <c r="P1631" s="4">
        <f t="shared" si="129"/>
        <v>45754</v>
      </c>
      <c r="Q1631" t="s">
        <v>1139</v>
      </c>
      <c r="R1631" t="s">
        <v>1137</v>
      </c>
      <c r="S1631">
        <v>5</v>
      </c>
      <c r="T1631" t="s">
        <v>1149</v>
      </c>
      <c r="U1631" s="11" t="str">
        <f t="shared" si="125"/>
        <v>05:59:57 PM</v>
      </c>
      <c r="BL1631" s="2" t="s">
        <v>2781</v>
      </c>
    </row>
    <row r="1632" spans="1:64" x14ac:dyDescent="0.35">
      <c r="A1632">
        <v>4389</v>
      </c>
      <c r="B1632" t="s">
        <v>19</v>
      </c>
      <c r="C1632" s="1">
        <v>45549</v>
      </c>
      <c r="D1632" t="s">
        <v>1</v>
      </c>
      <c r="E1632" t="s">
        <v>7</v>
      </c>
      <c r="F1632">
        <v>3</v>
      </c>
      <c r="G1632">
        <v>512.11</v>
      </c>
      <c r="H1632">
        <v>1536.33</v>
      </c>
      <c r="I1632">
        <v>231.57</v>
      </c>
      <c r="J1632">
        <v>1304.76</v>
      </c>
      <c r="K1632">
        <v>182</v>
      </c>
      <c r="L1632" s="11">
        <v>0.57787037037037037</v>
      </c>
      <c r="M1632">
        <f t="shared" si="126"/>
        <v>14</v>
      </c>
      <c r="N1632">
        <f t="shared" si="127"/>
        <v>9</v>
      </c>
      <c r="O1632">
        <f t="shared" si="128"/>
        <v>2024</v>
      </c>
      <c r="P1632" s="4">
        <f t="shared" si="129"/>
        <v>45549</v>
      </c>
      <c r="Q1632" t="s">
        <v>1134</v>
      </c>
      <c r="R1632" t="s">
        <v>1135</v>
      </c>
      <c r="S1632">
        <v>5</v>
      </c>
      <c r="T1632" t="s">
        <v>1144</v>
      </c>
      <c r="U1632" s="11" t="str">
        <f t="shared" si="125"/>
        <v>01:52:08 PM</v>
      </c>
      <c r="BL1632" s="2" t="s">
        <v>2782</v>
      </c>
    </row>
    <row r="1633" spans="1:64" x14ac:dyDescent="0.35">
      <c r="A1633">
        <v>8912</v>
      </c>
      <c r="B1633" t="s">
        <v>19</v>
      </c>
      <c r="C1633" s="1">
        <v>45415</v>
      </c>
      <c r="D1633" t="s">
        <v>16</v>
      </c>
      <c r="E1633" t="s">
        <v>29</v>
      </c>
      <c r="F1633">
        <v>5</v>
      </c>
      <c r="G1633">
        <v>351.09</v>
      </c>
      <c r="H1633">
        <v>1755.45</v>
      </c>
      <c r="I1633">
        <v>327.85</v>
      </c>
      <c r="J1633">
        <v>1427.6</v>
      </c>
      <c r="K1633">
        <v>374</v>
      </c>
      <c r="L1633" s="11">
        <v>0.98892361111111116</v>
      </c>
      <c r="M1633">
        <f t="shared" si="126"/>
        <v>3</v>
      </c>
      <c r="N1633">
        <f t="shared" si="127"/>
        <v>5</v>
      </c>
      <c r="O1633">
        <f t="shared" si="128"/>
        <v>2024</v>
      </c>
      <c r="P1633" s="4">
        <f t="shared" si="129"/>
        <v>45415</v>
      </c>
      <c r="Q1633" t="s">
        <v>1134</v>
      </c>
      <c r="R1633" t="s">
        <v>1135</v>
      </c>
      <c r="S1633">
        <v>2</v>
      </c>
      <c r="T1633" t="s">
        <v>1144</v>
      </c>
      <c r="U1633" s="11" t="str">
        <f t="shared" si="125"/>
        <v>11:44:03 PM</v>
      </c>
      <c r="BL1633" s="2" t="s">
        <v>2783</v>
      </c>
    </row>
    <row r="1634" spans="1:64" x14ac:dyDescent="0.35">
      <c r="A1634">
        <v>8801</v>
      </c>
      <c r="B1634" t="s">
        <v>31</v>
      </c>
      <c r="C1634" s="1">
        <v>45220</v>
      </c>
      <c r="D1634" t="s">
        <v>23</v>
      </c>
      <c r="E1634" t="s">
        <v>32</v>
      </c>
      <c r="F1634">
        <v>5</v>
      </c>
      <c r="G1634">
        <v>309.58999999999997</v>
      </c>
      <c r="H1634">
        <v>1547.95</v>
      </c>
      <c r="I1634">
        <v>0</v>
      </c>
      <c r="J1634">
        <v>1547.95</v>
      </c>
      <c r="K1634">
        <v>372</v>
      </c>
      <c r="L1634" s="11">
        <v>0.35469907407407408</v>
      </c>
      <c r="M1634">
        <f t="shared" si="126"/>
        <v>21</v>
      </c>
      <c r="N1634">
        <f t="shared" si="127"/>
        <v>10</v>
      </c>
      <c r="O1634">
        <f t="shared" si="128"/>
        <v>2023</v>
      </c>
      <c r="P1634" s="4">
        <f t="shared" si="129"/>
        <v>45220</v>
      </c>
      <c r="Q1634" t="s">
        <v>1136</v>
      </c>
      <c r="R1634" t="s">
        <v>1135</v>
      </c>
      <c r="S1634">
        <v>1</v>
      </c>
      <c r="T1634" t="s">
        <v>1145</v>
      </c>
      <c r="U1634" s="11" t="str">
        <f t="shared" si="125"/>
        <v>08:30:46 AM</v>
      </c>
      <c r="BL1634" s="2" t="s">
        <v>2784</v>
      </c>
    </row>
    <row r="1635" spans="1:64" x14ac:dyDescent="0.35">
      <c r="A1635">
        <v>8178</v>
      </c>
      <c r="B1635" t="s">
        <v>15</v>
      </c>
      <c r="C1635" s="1">
        <v>45705</v>
      </c>
      <c r="D1635" t="s">
        <v>9</v>
      </c>
      <c r="E1635" t="s">
        <v>2</v>
      </c>
      <c r="F1635">
        <v>3</v>
      </c>
      <c r="G1635">
        <v>2421.11</v>
      </c>
      <c r="H1635">
        <v>7263.33</v>
      </c>
      <c r="I1635">
        <v>0</v>
      </c>
      <c r="J1635">
        <v>7263.33</v>
      </c>
      <c r="K1635">
        <v>352</v>
      </c>
      <c r="L1635" s="11">
        <v>0.88359953703703709</v>
      </c>
      <c r="M1635">
        <f t="shared" si="126"/>
        <v>17</v>
      </c>
      <c r="N1635">
        <f t="shared" si="127"/>
        <v>2</v>
      </c>
      <c r="O1635">
        <f t="shared" si="128"/>
        <v>2025</v>
      </c>
      <c r="P1635" s="4">
        <f t="shared" si="129"/>
        <v>45705</v>
      </c>
      <c r="Q1635" t="s">
        <v>1134</v>
      </c>
      <c r="R1635" t="s">
        <v>1135</v>
      </c>
      <c r="S1635">
        <v>5</v>
      </c>
      <c r="T1635" t="s">
        <v>1145</v>
      </c>
      <c r="U1635" s="11" t="str">
        <f t="shared" si="125"/>
        <v>09:12:23 PM</v>
      </c>
      <c r="BL1635" s="2" t="s">
        <v>2785</v>
      </c>
    </row>
    <row r="1636" spans="1:64" x14ac:dyDescent="0.35">
      <c r="A1636">
        <v>8412</v>
      </c>
      <c r="B1636" t="s">
        <v>3</v>
      </c>
      <c r="C1636" s="1">
        <v>45392</v>
      </c>
      <c r="D1636" t="s">
        <v>17</v>
      </c>
      <c r="E1636" t="s">
        <v>22</v>
      </c>
      <c r="F1636">
        <v>1</v>
      </c>
      <c r="G1636">
        <v>266.43</v>
      </c>
      <c r="H1636">
        <v>266.43</v>
      </c>
      <c r="I1636">
        <v>53.12</v>
      </c>
      <c r="J1636">
        <v>213.31</v>
      </c>
      <c r="K1636">
        <v>190</v>
      </c>
      <c r="L1636" s="11">
        <v>0.31843749999999998</v>
      </c>
      <c r="M1636">
        <f t="shared" si="126"/>
        <v>10</v>
      </c>
      <c r="N1636">
        <f t="shared" si="127"/>
        <v>4</v>
      </c>
      <c r="O1636">
        <f t="shared" si="128"/>
        <v>2024</v>
      </c>
      <c r="P1636" s="4">
        <f t="shared" si="129"/>
        <v>45392</v>
      </c>
      <c r="Q1636" t="s">
        <v>1138</v>
      </c>
      <c r="R1636" t="s">
        <v>1137</v>
      </c>
      <c r="S1636">
        <v>5</v>
      </c>
      <c r="T1636" t="s">
        <v>1141</v>
      </c>
      <c r="U1636" s="11" t="str">
        <f t="shared" si="125"/>
        <v>07:38:33 AM</v>
      </c>
      <c r="BL1636" s="2" t="s">
        <v>2786</v>
      </c>
    </row>
    <row r="1637" spans="1:64" x14ac:dyDescent="0.35">
      <c r="A1637">
        <v>2100</v>
      </c>
      <c r="B1637" t="s">
        <v>0</v>
      </c>
      <c r="C1637" s="1">
        <v>45378</v>
      </c>
      <c r="D1637" t="s">
        <v>9</v>
      </c>
      <c r="E1637" t="s">
        <v>36</v>
      </c>
      <c r="F1637">
        <v>1</v>
      </c>
      <c r="G1637">
        <v>895.57</v>
      </c>
      <c r="H1637">
        <v>895.57</v>
      </c>
      <c r="I1637">
        <v>89.64</v>
      </c>
      <c r="J1637">
        <v>805.93</v>
      </c>
      <c r="K1637">
        <v>326</v>
      </c>
      <c r="L1637" s="11">
        <v>0.60003472222222221</v>
      </c>
      <c r="M1637">
        <f t="shared" si="126"/>
        <v>27</v>
      </c>
      <c r="N1637">
        <f t="shared" si="127"/>
        <v>3</v>
      </c>
      <c r="O1637">
        <f t="shared" si="128"/>
        <v>2024</v>
      </c>
      <c r="P1637" s="4">
        <f t="shared" si="129"/>
        <v>45378</v>
      </c>
      <c r="Q1637" t="s">
        <v>1134</v>
      </c>
      <c r="R1637" t="s">
        <v>1135</v>
      </c>
      <c r="S1637">
        <v>2</v>
      </c>
      <c r="T1637" t="s">
        <v>1143</v>
      </c>
      <c r="U1637" s="11" t="str">
        <f t="shared" si="125"/>
        <v>02:24:03 PM</v>
      </c>
      <c r="BL1637" s="2" t="s">
        <v>2787</v>
      </c>
    </row>
    <row r="1638" spans="1:64" x14ac:dyDescent="0.35">
      <c r="A1638">
        <v>1732</v>
      </c>
      <c r="B1638" t="s">
        <v>13</v>
      </c>
      <c r="C1638" s="1">
        <v>45774</v>
      </c>
      <c r="D1638" t="s">
        <v>1</v>
      </c>
      <c r="E1638" t="s">
        <v>18</v>
      </c>
      <c r="F1638">
        <v>3</v>
      </c>
      <c r="G1638">
        <v>1819.36</v>
      </c>
      <c r="H1638">
        <v>5458.08</v>
      </c>
      <c r="I1638">
        <v>546.14</v>
      </c>
      <c r="J1638">
        <v>4911.9399999999996</v>
      </c>
      <c r="K1638">
        <v>380</v>
      </c>
      <c r="L1638" s="11">
        <v>7.1574074074074068E-2</v>
      </c>
      <c r="M1638">
        <f t="shared" si="126"/>
        <v>27</v>
      </c>
      <c r="N1638">
        <f t="shared" si="127"/>
        <v>4</v>
      </c>
      <c r="O1638">
        <f t="shared" si="128"/>
        <v>2025</v>
      </c>
      <c r="P1638" s="4">
        <f t="shared" si="129"/>
        <v>45774</v>
      </c>
      <c r="Q1638" t="s">
        <v>1138</v>
      </c>
      <c r="R1638" t="s">
        <v>1135</v>
      </c>
      <c r="S1638">
        <v>1</v>
      </c>
      <c r="T1638" t="s">
        <v>1141</v>
      </c>
      <c r="U1638" s="11" t="str">
        <f t="shared" si="125"/>
        <v>01:43:04 AM</v>
      </c>
      <c r="BL1638" s="2" t="s">
        <v>2788</v>
      </c>
    </row>
    <row r="1639" spans="1:64" x14ac:dyDescent="0.35">
      <c r="A1639">
        <v>2885</v>
      </c>
      <c r="B1639" t="s">
        <v>0</v>
      </c>
      <c r="C1639" s="1">
        <v>45162</v>
      </c>
      <c r="D1639" t="s">
        <v>6</v>
      </c>
      <c r="E1639" t="s">
        <v>2</v>
      </c>
      <c r="F1639">
        <v>3</v>
      </c>
      <c r="G1639">
        <v>1563.72</v>
      </c>
      <c r="H1639">
        <v>4691.16</v>
      </c>
      <c r="I1639">
        <v>0</v>
      </c>
      <c r="J1639">
        <v>4691.16</v>
      </c>
      <c r="K1639">
        <v>276</v>
      </c>
      <c r="L1639" s="11">
        <v>0.76270833333333332</v>
      </c>
      <c r="M1639">
        <f t="shared" si="126"/>
        <v>24</v>
      </c>
      <c r="N1639">
        <f t="shared" si="127"/>
        <v>8</v>
      </c>
      <c r="O1639">
        <f t="shared" si="128"/>
        <v>2023</v>
      </c>
      <c r="P1639" s="4">
        <f t="shared" si="129"/>
        <v>45162</v>
      </c>
      <c r="Q1639" t="s">
        <v>1138</v>
      </c>
      <c r="R1639" t="s">
        <v>1137</v>
      </c>
      <c r="S1639">
        <v>3</v>
      </c>
      <c r="T1639" t="s">
        <v>1146</v>
      </c>
      <c r="U1639" s="11" t="str">
        <f t="shared" si="125"/>
        <v>06:18:18 PM</v>
      </c>
      <c r="BL1639" s="2" t="s">
        <v>2789</v>
      </c>
    </row>
    <row r="1640" spans="1:64" x14ac:dyDescent="0.35">
      <c r="A1640">
        <v>6620</v>
      </c>
      <c r="B1640" t="s">
        <v>20</v>
      </c>
      <c r="C1640" s="1">
        <v>45648</v>
      </c>
      <c r="D1640" t="s">
        <v>11</v>
      </c>
      <c r="E1640" t="s">
        <v>37</v>
      </c>
      <c r="F1640">
        <v>2</v>
      </c>
      <c r="G1640">
        <v>1913.15</v>
      </c>
      <c r="H1640">
        <v>3826.3</v>
      </c>
      <c r="I1640">
        <v>0</v>
      </c>
      <c r="J1640">
        <v>3826.3</v>
      </c>
      <c r="K1640">
        <v>223</v>
      </c>
      <c r="L1640" s="11">
        <v>0.31843749999999998</v>
      </c>
      <c r="M1640">
        <f t="shared" si="126"/>
        <v>22</v>
      </c>
      <c r="N1640">
        <f t="shared" si="127"/>
        <v>12</v>
      </c>
      <c r="O1640">
        <f t="shared" si="128"/>
        <v>2024</v>
      </c>
      <c r="P1640" s="4">
        <f t="shared" si="129"/>
        <v>45648</v>
      </c>
      <c r="Q1640" t="s">
        <v>1138</v>
      </c>
      <c r="R1640" t="s">
        <v>1135</v>
      </c>
      <c r="S1640">
        <v>2</v>
      </c>
      <c r="T1640" t="s">
        <v>1146</v>
      </c>
      <c r="U1640" s="11" t="str">
        <f t="shared" si="125"/>
        <v>07:38:33 AM</v>
      </c>
      <c r="BL1640" s="2" t="s">
        <v>2790</v>
      </c>
    </row>
    <row r="1641" spans="1:64" x14ac:dyDescent="0.35">
      <c r="A1641">
        <v>2791</v>
      </c>
      <c r="B1641" t="s">
        <v>8</v>
      </c>
      <c r="C1641" s="1">
        <v>45670</v>
      </c>
      <c r="D1641" t="s">
        <v>24</v>
      </c>
      <c r="E1641" t="s">
        <v>36</v>
      </c>
      <c r="F1641">
        <v>1</v>
      </c>
      <c r="G1641">
        <v>1537.16</v>
      </c>
      <c r="H1641">
        <v>1537.16</v>
      </c>
      <c r="I1641">
        <v>0</v>
      </c>
      <c r="J1641">
        <v>1537.16</v>
      </c>
      <c r="K1641">
        <v>465</v>
      </c>
      <c r="L1641" s="11">
        <v>0.22657407407407407</v>
      </c>
      <c r="M1641">
        <f t="shared" si="126"/>
        <v>13</v>
      </c>
      <c r="N1641">
        <f t="shared" si="127"/>
        <v>1</v>
      </c>
      <c r="O1641">
        <f t="shared" si="128"/>
        <v>2025</v>
      </c>
      <c r="P1641" s="4">
        <f t="shared" si="129"/>
        <v>45670</v>
      </c>
      <c r="Q1641" t="s">
        <v>1139</v>
      </c>
      <c r="R1641" t="s">
        <v>1135</v>
      </c>
      <c r="S1641">
        <v>1</v>
      </c>
      <c r="T1641" t="s">
        <v>1146</v>
      </c>
      <c r="U1641" s="11" t="str">
        <f t="shared" si="125"/>
        <v>05:26:16 AM</v>
      </c>
      <c r="BL1641" s="2" t="s">
        <v>2791</v>
      </c>
    </row>
    <row r="1642" spans="1:64" x14ac:dyDescent="0.35">
      <c r="A1642">
        <v>3692</v>
      </c>
      <c r="B1642" t="s">
        <v>19</v>
      </c>
      <c r="C1642" s="1">
        <v>45867</v>
      </c>
      <c r="D1642" t="s">
        <v>24</v>
      </c>
      <c r="E1642" t="s">
        <v>28</v>
      </c>
      <c r="F1642">
        <v>4</v>
      </c>
      <c r="G1642">
        <v>581</v>
      </c>
      <c r="H1642">
        <v>2324</v>
      </c>
      <c r="I1642">
        <v>0</v>
      </c>
      <c r="J1642">
        <v>2324</v>
      </c>
      <c r="K1642">
        <v>400</v>
      </c>
      <c r="L1642" s="11">
        <v>0.5183564814814815</v>
      </c>
      <c r="M1642">
        <f t="shared" si="126"/>
        <v>29</v>
      </c>
      <c r="N1642">
        <f t="shared" si="127"/>
        <v>7</v>
      </c>
      <c r="O1642">
        <f t="shared" si="128"/>
        <v>2025</v>
      </c>
      <c r="P1642" s="4">
        <f t="shared" si="129"/>
        <v>45867</v>
      </c>
      <c r="Q1642" t="s">
        <v>1136</v>
      </c>
      <c r="R1642" t="s">
        <v>1137</v>
      </c>
      <c r="S1642">
        <v>5</v>
      </c>
      <c r="T1642" t="s">
        <v>1142</v>
      </c>
      <c r="U1642" s="11" t="str">
        <f t="shared" ref="U1642:U1705" si="130">TEXT(L1642,"hh:mm:ss AM/PM")</f>
        <v>12:26:26 PM</v>
      </c>
      <c r="BL1642" s="2" t="s">
        <v>2792</v>
      </c>
    </row>
    <row r="1643" spans="1:64" x14ac:dyDescent="0.35">
      <c r="A1643">
        <v>4996</v>
      </c>
      <c r="B1643" t="s">
        <v>8</v>
      </c>
      <c r="C1643" s="1">
        <v>45545</v>
      </c>
      <c r="D1643" t="s">
        <v>24</v>
      </c>
      <c r="E1643" t="s">
        <v>2</v>
      </c>
      <c r="F1643">
        <v>4</v>
      </c>
      <c r="G1643">
        <v>1523.88</v>
      </c>
      <c r="H1643">
        <v>6095.52</v>
      </c>
      <c r="I1643">
        <v>156.87</v>
      </c>
      <c r="J1643">
        <v>5938.65</v>
      </c>
      <c r="K1643">
        <v>499</v>
      </c>
      <c r="L1643" s="11">
        <v>1.8020833333333333E-2</v>
      </c>
      <c r="M1643">
        <f t="shared" si="126"/>
        <v>10</v>
      </c>
      <c r="N1643">
        <f t="shared" si="127"/>
        <v>9</v>
      </c>
      <c r="O1643">
        <f t="shared" si="128"/>
        <v>2024</v>
      </c>
      <c r="P1643" s="4">
        <f t="shared" si="129"/>
        <v>45545</v>
      </c>
      <c r="Q1643" t="s">
        <v>1138</v>
      </c>
      <c r="R1643" t="s">
        <v>1137</v>
      </c>
      <c r="S1643">
        <v>1</v>
      </c>
      <c r="T1643" t="s">
        <v>1150</v>
      </c>
      <c r="U1643" s="11" t="str">
        <f t="shared" si="130"/>
        <v>12:25:57 AM</v>
      </c>
      <c r="BL1643" s="2" t="s">
        <v>2793</v>
      </c>
    </row>
    <row r="1644" spans="1:64" x14ac:dyDescent="0.35">
      <c r="A1644">
        <v>3858</v>
      </c>
      <c r="B1644" t="s">
        <v>20</v>
      </c>
      <c r="C1644" s="1">
        <v>45573</v>
      </c>
      <c r="D1644" t="s">
        <v>11</v>
      </c>
      <c r="E1644" t="s">
        <v>14</v>
      </c>
      <c r="F1644">
        <v>1</v>
      </c>
      <c r="G1644">
        <v>1553.76</v>
      </c>
      <c r="H1644">
        <v>1553.76</v>
      </c>
      <c r="I1644">
        <v>222.44</v>
      </c>
      <c r="J1644">
        <v>1331.32</v>
      </c>
      <c r="K1644">
        <v>372</v>
      </c>
      <c r="L1644" s="11">
        <v>0.84918981481481481</v>
      </c>
      <c r="M1644">
        <f t="shared" si="126"/>
        <v>8</v>
      </c>
      <c r="N1644">
        <f t="shared" si="127"/>
        <v>10</v>
      </c>
      <c r="O1644">
        <f t="shared" si="128"/>
        <v>2024</v>
      </c>
      <c r="P1644" s="4">
        <f t="shared" si="129"/>
        <v>45573</v>
      </c>
      <c r="Q1644" t="s">
        <v>1138</v>
      </c>
      <c r="R1644" t="s">
        <v>1137</v>
      </c>
      <c r="S1644">
        <v>1</v>
      </c>
      <c r="T1644" t="s">
        <v>1147</v>
      </c>
      <c r="U1644" s="11" t="str">
        <f t="shared" si="130"/>
        <v>08:22:50 PM</v>
      </c>
      <c r="BL1644" s="2" t="s">
        <v>2794</v>
      </c>
    </row>
    <row r="1645" spans="1:64" x14ac:dyDescent="0.35">
      <c r="A1645">
        <v>3623</v>
      </c>
      <c r="B1645" t="s">
        <v>25</v>
      </c>
      <c r="C1645" s="1">
        <v>45402</v>
      </c>
      <c r="D1645" t="s">
        <v>27</v>
      </c>
      <c r="E1645" t="s">
        <v>21</v>
      </c>
      <c r="F1645">
        <v>4</v>
      </c>
      <c r="G1645">
        <v>2320.6799999999998</v>
      </c>
      <c r="H1645">
        <v>9282.7199999999993</v>
      </c>
      <c r="I1645">
        <v>1392.74</v>
      </c>
      <c r="J1645">
        <v>7889.98</v>
      </c>
      <c r="K1645">
        <v>6</v>
      </c>
      <c r="L1645" s="11">
        <v>0.79640046296296296</v>
      </c>
      <c r="M1645">
        <f t="shared" si="126"/>
        <v>20</v>
      </c>
      <c r="N1645">
        <f t="shared" si="127"/>
        <v>4</v>
      </c>
      <c r="O1645">
        <f t="shared" si="128"/>
        <v>2024</v>
      </c>
      <c r="P1645" s="4">
        <f t="shared" si="129"/>
        <v>45402</v>
      </c>
      <c r="Q1645" t="s">
        <v>1139</v>
      </c>
      <c r="R1645" t="s">
        <v>1137</v>
      </c>
      <c r="S1645">
        <v>1</v>
      </c>
      <c r="T1645" t="s">
        <v>1145</v>
      </c>
      <c r="U1645" s="11" t="str">
        <f t="shared" si="130"/>
        <v>07:06:49 PM</v>
      </c>
      <c r="BL1645" s="2" t="s">
        <v>2795</v>
      </c>
    </row>
    <row r="1646" spans="1:64" x14ac:dyDescent="0.35">
      <c r="A1646">
        <v>7985</v>
      </c>
      <c r="B1646" t="s">
        <v>25</v>
      </c>
      <c r="C1646" s="1">
        <v>45503</v>
      </c>
      <c r="D1646" t="s">
        <v>11</v>
      </c>
      <c r="E1646" t="s">
        <v>22</v>
      </c>
      <c r="F1646">
        <v>2</v>
      </c>
      <c r="G1646">
        <v>1194.3699999999999</v>
      </c>
      <c r="H1646">
        <v>2388.7399999999998</v>
      </c>
      <c r="I1646">
        <v>478.08</v>
      </c>
      <c r="J1646">
        <v>1910.66</v>
      </c>
      <c r="K1646">
        <v>380</v>
      </c>
      <c r="L1646" s="11">
        <v>0.33075231481481482</v>
      </c>
      <c r="M1646">
        <f t="shared" si="126"/>
        <v>30</v>
      </c>
      <c r="N1646">
        <f t="shared" si="127"/>
        <v>7</v>
      </c>
      <c r="O1646">
        <f t="shared" si="128"/>
        <v>2024</v>
      </c>
      <c r="P1646" s="4">
        <f t="shared" si="129"/>
        <v>45503</v>
      </c>
      <c r="Q1646" t="s">
        <v>1138</v>
      </c>
      <c r="R1646" t="s">
        <v>1137</v>
      </c>
      <c r="S1646">
        <v>3</v>
      </c>
      <c r="T1646" t="s">
        <v>1147</v>
      </c>
      <c r="U1646" s="11" t="str">
        <f t="shared" si="130"/>
        <v>07:56:17 AM</v>
      </c>
      <c r="BL1646" s="2" t="s">
        <v>2796</v>
      </c>
    </row>
    <row r="1647" spans="1:64" x14ac:dyDescent="0.35">
      <c r="A1647">
        <v>4798</v>
      </c>
      <c r="B1647" t="s">
        <v>3</v>
      </c>
      <c r="C1647" s="1">
        <v>45764</v>
      </c>
      <c r="D1647" t="s">
        <v>23</v>
      </c>
      <c r="E1647" t="s">
        <v>21</v>
      </c>
      <c r="F1647">
        <v>3</v>
      </c>
      <c r="G1647">
        <v>1052.44</v>
      </c>
      <c r="H1647">
        <v>3157.32</v>
      </c>
      <c r="I1647">
        <v>0</v>
      </c>
      <c r="J1647">
        <v>3157.32</v>
      </c>
      <c r="K1647">
        <v>338</v>
      </c>
      <c r="L1647" s="11">
        <v>0.51787037037037043</v>
      </c>
      <c r="M1647">
        <f t="shared" si="126"/>
        <v>17</v>
      </c>
      <c r="N1647">
        <f t="shared" si="127"/>
        <v>4</v>
      </c>
      <c r="O1647">
        <f t="shared" si="128"/>
        <v>2025</v>
      </c>
      <c r="P1647" s="4">
        <f t="shared" si="129"/>
        <v>45764</v>
      </c>
      <c r="Q1647" t="s">
        <v>1134</v>
      </c>
      <c r="R1647" t="s">
        <v>1137</v>
      </c>
      <c r="S1647">
        <v>1</v>
      </c>
      <c r="T1647" t="s">
        <v>1148</v>
      </c>
      <c r="U1647" s="11" t="str">
        <f t="shared" si="130"/>
        <v>12:25:44 PM</v>
      </c>
      <c r="BL1647" s="2" t="s">
        <v>2797</v>
      </c>
    </row>
    <row r="1648" spans="1:64" x14ac:dyDescent="0.35">
      <c r="A1648">
        <v>7636</v>
      </c>
      <c r="B1648" t="s">
        <v>15</v>
      </c>
      <c r="C1648" s="1">
        <v>45634</v>
      </c>
      <c r="D1648" t="s">
        <v>27</v>
      </c>
      <c r="E1648" t="s">
        <v>12</v>
      </c>
      <c r="F1648">
        <v>1</v>
      </c>
      <c r="G1648">
        <v>581.83000000000004</v>
      </c>
      <c r="H1648">
        <v>581.83000000000004</v>
      </c>
      <c r="I1648">
        <v>87.15</v>
      </c>
      <c r="J1648">
        <v>494.68</v>
      </c>
      <c r="K1648">
        <v>271</v>
      </c>
      <c r="L1648" s="11">
        <v>4.403935185185185E-2</v>
      </c>
      <c r="M1648">
        <f t="shared" si="126"/>
        <v>8</v>
      </c>
      <c r="N1648">
        <f t="shared" si="127"/>
        <v>12</v>
      </c>
      <c r="O1648">
        <f t="shared" si="128"/>
        <v>2024</v>
      </c>
      <c r="P1648" s="4">
        <f t="shared" si="129"/>
        <v>45634</v>
      </c>
      <c r="Q1648" t="s">
        <v>1134</v>
      </c>
      <c r="R1648" t="s">
        <v>1137</v>
      </c>
      <c r="S1648">
        <v>3</v>
      </c>
      <c r="T1648" t="s">
        <v>1145</v>
      </c>
      <c r="U1648" s="11" t="str">
        <f t="shared" si="130"/>
        <v>01:03:25 AM</v>
      </c>
      <c r="BL1648" s="2" t="s">
        <v>2798</v>
      </c>
    </row>
    <row r="1649" spans="1:64" x14ac:dyDescent="0.35">
      <c r="A1649">
        <v>4022</v>
      </c>
      <c r="B1649" t="s">
        <v>19</v>
      </c>
      <c r="C1649" s="1">
        <v>45289</v>
      </c>
      <c r="D1649" t="s">
        <v>11</v>
      </c>
      <c r="E1649" t="s">
        <v>22</v>
      </c>
      <c r="F1649">
        <v>4</v>
      </c>
      <c r="G1649">
        <v>153.55000000000001</v>
      </c>
      <c r="H1649">
        <v>614.20000000000005</v>
      </c>
      <c r="I1649">
        <v>200.03</v>
      </c>
      <c r="J1649">
        <v>414.17</v>
      </c>
      <c r="K1649">
        <v>319</v>
      </c>
      <c r="L1649" s="11">
        <v>3.4409722222222223E-2</v>
      </c>
      <c r="M1649">
        <f t="shared" si="126"/>
        <v>29</v>
      </c>
      <c r="N1649">
        <f t="shared" si="127"/>
        <v>12</v>
      </c>
      <c r="O1649">
        <f t="shared" si="128"/>
        <v>2023</v>
      </c>
      <c r="P1649" s="4">
        <f t="shared" si="129"/>
        <v>45289</v>
      </c>
      <c r="Q1649" t="s">
        <v>1136</v>
      </c>
      <c r="R1649" t="s">
        <v>1135</v>
      </c>
      <c r="S1649">
        <v>5</v>
      </c>
      <c r="T1649" t="s">
        <v>1145</v>
      </c>
      <c r="U1649" s="11" t="str">
        <f t="shared" si="130"/>
        <v>12:49:33 AM</v>
      </c>
      <c r="BL1649" s="2" t="s">
        <v>2799</v>
      </c>
    </row>
    <row r="1650" spans="1:64" x14ac:dyDescent="0.35">
      <c r="A1650">
        <v>8080</v>
      </c>
      <c r="B1650" t="s">
        <v>13</v>
      </c>
      <c r="C1650" s="1">
        <v>45452</v>
      </c>
      <c r="D1650" t="s">
        <v>9</v>
      </c>
      <c r="E1650" t="s">
        <v>28</v>
      </c>
      <c r="F1650">
        <v>3</v>
      </c>
      <c r="G1650">
        <v>1421.79</v>
      </c>
      <c r="H1650">
        <v>4265.37</v>
      </c>
      <c r="I1650">
        <v>426.62</v>
      </c>
      <c r="J1650">
        <v>3838.75</v>
      </c>
      <c r="K1650">
        <v>251</v>
      </c>
      <c r="L1650" s="11">
        <v>0.51695601851851847</v>
      </c>
      <c r="M1650">
        <f t="shared" si="126"/>
        <v>9</v>
      </c>
      <c r="N1650">
        <f t="shared" si="127"/>
        <v>6</v>
      </c>
      <c r="O1650">
        <f t="shared" si="128"/>
        <v>2024</v>
      </c>
      <c r="P1650" s="4">
        <f t="shared" si="129"/>
        <v>45452</v>
      </c>
      <c r="Q1650" t="s">
        <v>1138</v>
      </c>
      <c r="R1650" t="s">
        <v>1137</v>
      </c>
      <c r="S1650">
        <v>3</v>
      </c>
      <c r="T1650" t="s">
        <v>1145</v>
      </c>
      <c r="U1650" s="11" t="str">
        <f t="shared" si="130"/>
        <v>12:24:25 PM</v>
      </c>
      <c r="BL1650" s="2" t="s">
        <v>2800</v>
      </c>
    </row>
    <row r="1651" spans="1:64" x14ac:dyDescent="0.35">
      <c r="A1651">
        <v>1478</v>
      </c>
      <c r="B1651" t="s">
        <v>3</v>
      </c>
      <c r="C1651" s="1">
        <v>45717</v>
      </c>
      <c r="D1651" t="s">
        <v>23</v>
      </c>
      <c r="E1651" t="s">
        <v>21</v>
      </c>
      <c r="F1651">
        <v>5</v>
      </c>
      <c r="G1651">
        <v>2366.33</v>
      </c>
      <c r="H1651">
        <v>11831.65</v>
      </c>
      <c r="I1651">
        <v>1183.58</v>
      </c>
      <c r="J1651">
        <v>10648.07</v>
      </c>
      <c r="K1651">
        <v>63</v>
      </c>
      <c r="L1651" s="11">
        <v>0.54229166666666662</v>
      </c>
      <c r="M1651">
        <f t="shared" si="126"/>
        <v>1</v>
      </c>
      <c r="N1651">
        <f t="shared" si="127"/>
        <v>3</v>
      </c>
      <c r="O1651">
        <f t="shared" si="128"/>
        <v>2025</v>
      </c>
      <c r="P1651" s="4">
        <f t="shared" si="129"/>
        <v>45717</v>
      </c>
      <c r="Q1651" t="s">
        <v>1139</v>
      </c>
      <c r="R1651" t="s">
        <v>1137</v>
      </c>
      <c r="S1651">
        <v>5</v>
      </c>
      <c r="T1651" t="s">
        <v>1147</v>
      </c>
      <c r="U1651" s="11" t="str">
        <f t="shared" si="130"/>
        <v>01:00:54 PM</v>
      </c>
      <c r="BL1651" s="2" t="s">
        <v>2801</v>
      </c>
    </row>
    <row r="1652" spans="1:64" x14ac:dyDescent="0.35">
      <c r="A1652">
        <v>4232</v>
      </c>
      <c r="B1652" t="s">
        <v>31</v>
      </c>
      <c r="C1652" s="1">
        <v>45494</v>
      </c>
      <c r="D1652" t="s">
        <v>6</v>
      </c>
      <c r="E1652" t="s">
        <v>38</v>
      </c>
      <c r="F1652">
        <v>5</v>
      </c>
      <c r="G1652">
        <v>778.54</v>
      </c>
      <c r="H1652">
        <v>3892.7</v>
      </c>
      <c r="I1652">
        <v>0</v>
      </c>
      <c r="J1652">
        <v>3892.7</v>
      </c>
      <c r="K1652">
        <v>442</v>
      </c>
      <c r="L1652" s="11">
        <v>0.49354166666666666</v>
      </c>
      <c r="M1652">
        <f t="shared" si="126"/>
        <v>21</v>
      </c>
      <c r="N1652">
        <f t="shared" si="127"/>
        <v>7</v>
      </c>
      <c r="O1652">
        <f t="shared" si="128"/>
        <v>2024</v>
      </c>
      <c r="P1652" s="4">
        <f t="shared" si="129"/>
        <v>45494</v>
      </c>
      <c r="Q1652" t="s">
        <v>1134</v>
      </c>
      <c r="R1652" t="s">
        <v>1137</v>
      </c>
      <c r="S1652">
        <v>5</v>
      </c>
      <c r="T1652" t="s">
        <v>1145</v>
      </c>
      <c r="U1652" s="11" t="str">
        <f t="shared" si="130"/>
        <v>11:50:42 AM</v>
      </c>
      <c r="BL1652" s="2" t="s">
        <v>2802</v>
      </c>
    </row>
    <row r="1653" spans="1:64" x14ac:dyDescent="0.35">
      <c r="A1653">
        <v>8037</v>
      </c>
      <c r="B1653" t="s">
        <v>13</v>
      </c>
      <c r="C1653" s="1">
        <v>45447</v>
      </c>
      <c r="D1653" t="s">
        <v>27</v>
      </c>
      <c r="E1653" t="s">
        <v>5</v>
      </c>
      <c r="F1653">
        <v>3</v>
      </c>
      <c r="G1653">
        <v>1890.74</v>
      </c>
      <c r="H1653">
        <v>5672.22</v>
      </c>
      <c r="I1653">
        <v>850.75</v>
      </c>
      <c r="J1653">
        <v>4821.47</v>
      </c>
      <c r="K1653">
        <v>214</v>
      </c>
      <c r="L1653" s="11">
        <v>0.9625231481481481</v>
      </c>
      <c r="M1653">
        <f t="shared" si="126"/>
        <v>4</v>
      </c>
      <c r="N1653">
        <f t="shared" si="127"/>
        <v>6</v>
      </c>
      <c r="O1653">
        <f t="shared" si="128"/>
        <v>2024</v>
      </c>
      <c r="P1653" s="4">
        <f t="shared" si="129"/>
        <v>45447</v>
      </c>
      <c r="Q1653" t="s">
        <v>1139</v>
      </c>
      <c r="R1653" t="s">
        <v>1135</v>
      </c>
      <c r="S1653">
        <v>3</v>
      </c>
      <c r="T1653" t="s">
        <v>1149</v>
      </c>
      <c r="U1653" s="11" t="str">
        <f t="shared" si="130"/>
        <v>11:06:02 PM</v>
      </c>
      <c r="BL1653" s="2" t="s">
        <v>2803</v>
      </c>
    </row>
    <row r="1654" spans="1:64" x14ac:dyDescent="0.35">
      <c r="A1654">
        <v>1072</v>
      </c>
      <c r="B1654" t="s">
        <v>25</v>
      </c>
      <c r="C1654" s="1">
        <v>45692</v>
      </c>
      <c r="D1654" t="s">
        <v>16</v>
      </c>
      <c r="E1654" t="s">
        <v>38</v>
      </c>
      <c r="F1654">
        <v>3</v>
      </c>
      <c r="G1654">
        <v>1291.48</v>
      </c>
      <c r="H1654">
        <v>3874.44</v>
      </c>
      <c r="I1654">
        <v>775.22</v>
      </c>
      <c r="J1654">
        <v>3099.22</v>
      </c>
      <c r="K1654">
        <v>272</v>
      </c>
      <c r="L1654" s="11">
        <v>0.68460648148148151</v>
      </c>
      <c r="M1654">
        <f t="shared" si="126"/>
        <v>4</v>
      </c>
      <c r="N1654">
        <f t="shared" si="127"/>
        <v>2</v>
      </c>
      <c r="O1654">
        <f t="shared" si="128"/>
        <v>2025</v>
      </c>
      <c r="P1654" s="4">
        <f t="shared" si="129"/>
        <v>45692</v>
      </c>
      <c r="Q1654" t="s">
        <v>1139</v>
      </c>
      <c r="R1654" t="s">
        <v>1135</v>
      </c>
      <c r="S1654">
        <v>2</v>
      </c>
      <c r="T1654" t="s">
        <v>1142</v>
      </c>
      <c r="U1654" s="11" t="str">
        <f t="shared" si="130"/>
        <v>04:25:50 PM</v>
      </c>
      <c r="BL1654" s="2" t="s">
        <v>2804</v>
      </c>
    </row>
    <row r="1655" spans="1:64" x14ac:dyDescent="0.35">
      <c r="A1655">
        <v>4519</v>
      </c>
      <c r="B1655" t="s">
        <v>13</v>
      </c>
      <c r="C1655" s="1">
        <v>45304</v>
      </c>
      <c r="D1655" t="s">
        <v>34</v>
      </c>
      <c r="E1655" t="s">
        <v>22</v>
      </c>
      <c r="F1655">
        <v>3</v>
      </c>
      <c r="G1655">
        <v>2070.85</v>
      </c>
      <c r="H1655">
        <v>6212.55</v>
      </c>
      <c r="I1655">
        <v>1242.51</v>
      </c>
      <c r="J1655">
        <v>4970.04</v>
      </c>
      <c r="K1655">
        <v>230</v>
      </c>
      <c r="L1655" s="11">
        <v>0.75495370370370374</v>
      </c>
      <c r="M1655">
        <f t="shared" si="126"/>
        <v>13</v>
      </c>
      <c r="N1655">
        <f t="shared" si="127"/>
        <v>1</v>
      </c>
      <c r="O1655">
        <f t="shared" si="128"/>
        <v>2024</v>
      </c>
      <c r="P1655" s="4">
        <f t="shared" si="129"/>
        <v>45304</v>
      </c>
      <c r="Q1655" t="s">
        <v>1134</v>
      </c>
      <c r="R1655" t="s">
        <v>1137</v>
      </c>
      <c r="S1655">
        <v>4</v>
      </c>
      <c r="T1655" t="s">
        <v>1148</v>
      </c>
      <c r="U1655" s="11" t="str">
        <f t="shared" si="130"/>
        <v>06:07:08 PM</v>
      </c>
      <c r="BL1655" s="2" t="s">
        <v>2805</v>
      </c>
    </row>
    <row r="1656" spans="1:64" x14ac:dyDescent="0.35">
      <c r="A1656">
        <v>5560</v>
      </c>
      <c r="B1656" t="s">
        <v>13</v>
      </c>
      <c r="C1656" s="1">
        <v>45729</v>
      </c>
      <c r="D1656" t="s">
        <v>24</v>
      </c>
      <c r="E1656" t="s">
        <v>28</v>
      </c>
      <c r="F1656">
        <v>5</v>
      </c>
      <c r="G1656">
        <v>2079.98</v>
      </c>
      <c r="H1656">
        <v>10399.9</v>
      </c>
      <c r="I1656">
        <v>0</v>
      </c>
      <c r="J1656">
        <v>10399.9</v>
      </c>
      <c r="K1656">
        <v>390</v>
      </c>
      <c r="L1656" s="11">
        <v>0.42245370370370372</v>
      </c>
      <c r="M1656">
        <f t="shared" si="126"/>
        <v>13</v>
      </c>
      <c r="N1656">
        <f t="shared" si="127"/>
        <v>3</v>
      </c>
      <c r="O1656">
        <f t="shared" si="128"/>
        <v>2025</v>
      </c>
      <c r="P1656" s="4">
        <f t="shared" si="129"/>
        <v>45729</v>
      </c>
      <c r="Q1656" t="s">
        <v>1139</v>
      </c>
      <c r="R1656" t="s">
        <v>1137</v>
      </c>
      <c r="S1656">
        <v>1</v>
      </c>
      <c r="T1656" t="s">
        <v>1150</v>
      </c>
      <c r="U1656" s="11" t="str">
        <f t="shared" si="130"/>
        <v>10:08:20 AM</v>
      </c>
      <c r="BL1656" s="2" t="s">
        <v>2806</v>
      </c>
    </row>
    <row r="1657" spans="1:64" x14ac:dyDescent="0.35">
      <c r="A1657">
        <v>2025</v>
      </c>
      <c r="B1657" t="s">
        <v>8</v>
      </c>
      <c r="C1657" s="1">
        <v>45593</v>
      </c>
      <c r="D1657" t="s">
        <v>16</v>
      </c>
      <c r="E1657" t="s">
        <v>38</v>
      </c>
      <c r="F1657">
        <v>4</v>
      </c>
      <c r="G1657">
        <v>1478.23</v>
      </c>
      <c r="H1657">
        <v>5912.92</v>
      </c>
      <c r="I1657">
        <v>590.96</v>
      </c>
      <c r="J1657">
        <v>5321.96</v>
      </c>
      <c r="K1657">
        <v>214</v>
      </c>
      <c r="L1657" s="11">
        <v>0.14168981481481482</v>
      </c>
      <c r="M1657">
        <f t="shared" si="126"/>
        <v>28</v>
      </c>
      <c r="N1657">
        <f t="shared" si="127"/>
        <v>10</v>
      </c>
      <c r="O1657">
        <f t="shared" si="128"/>
        <v>2024</v>
      </c>
      <c r="P1657" s="4">
        <f t="shared" si="129"/>
        <v>45593</v>
      </c>
      <c r="Q1657" t="s">
        <v>1134</v>
      </c>
      <c r="R1657" t="s">
        <v>1137</v>
      </c>
      <c r="S1657">
        <v>4</v>
      </c>
      <c r="T1657" t="s">
        <v>1144</v>
      </c>
      <c r="U1657" s="11" t="str">
        <f t="shared" si="130"/>
        <v>03:24:02 AM</v>
      </c>
      <c r="BL1657" s="2" t="s">
        <v>2807</v>
      </c>
    </row>
    <row r="1658" spans="1:64" x14ac:dyDescent="0.35">
      <c r="A1658">
        <v>2667</v>
      </c>
      <c r="B1658" t="s">
        <v>31</v>
      </c>
      <c r="C1658" s="1">
        <v>45765</v>
      </c>
      <c r="D1658" t="s">
        <v>16</v>
      </c>
      <c r="E1658" t="s">
        <v>28</v>
      </c>
      <c r="F1658">
        <v>5</v>
      </c>
      <c r="G1658">
        <v>621.66999999999996</v>
      </c>
      <c r="H1658">
        <v>3108.35</v>
      </c>
      <c r="I1658">
        <v>272.24</v>
      </c>
      <c r="J1658">
        <v>2836.11</v>
      </c>
      <c r="K1658">
        <v>312</v>
      </c>
      <c r="L1658" s="11">
        <v>0.75119212962962967</v>
      </c>
      <c r="M1658">
        <f t="shared" si="126"/>
        <v>18</v>
      </c>
      <c r="N1658">
        <f t="shared" si="127"/>
        <v>4</v>
      </c>
      <c r="O1658">
        <f t="shared" si="128"/>
        <v>2025</v>
      </c>
      <c r="P1658" s="4">
        <f t="shared" si="129"/>
        <v>45765</v>
      </c>
      <c r="Q1658" t="s">
        <v>1139</v>
      </c>
      <c r="R1658" t="s">
        <v>1135</v>
      </c>
      <c r="S1658">
        <v>1</v>
      </c>
      <c r="T1658" t="s">
        <v>1149</v>
      </c>
      <c r="U1658" s="11" t="str">
        <f t="shared" si="130"/>
        <v>06:01:43 PM</v>
      </c>
      <c r="BL1658" s="2" t="s">
        <v>2808</v>
      </c>
    </row>
    <row r="1659" spans="1:64" x14ac:dyDescent="0.35">
      <c r="A1659">
        <v>9796</v>
      </c>
      <c r="B1659" t="s">
        <v>13</v>
      </c>
      <c r="C1659" s="1">
        <v>45290</v>
      </c>
      <c r="D1659" t="s">
        <v>1</v>
      </c>
      <c r="E1659" t="s">
        <v>10</v>
      </c>
      <c r="F1659">
        <v>5</v>
      </c>
      <c r="G1659">
        <v>683.92</v>
      </c>
      <c r="H1659">
        <v>3419.6</v>
      </c>
      <c r="I1659">
        <v>0</v>
      </c>
      <c r="J1659">
        <v>3419.6</v>
      </c>
      <c r="K1659">
        <v>291</v>
      </c>
      <c r="L1659" s="11">
        <v>0.84947916666666667</v>
      </c>
      <c r="M1659">
        <f t="shared" si="126"/>
        <v>30</v>
      </c>
      <c r="N1659">
        <f t="shared" si="127"/>
        <v>12</v>
      </c>
      <c r="O1659">
        <f t="shared" si="128"/>
        <v>2023</v>
      </c>
      <c r="P1659" s="4">
        <f t="shared" si="129"/>
        <v>45290</v>
      </c>
      <c r="Q1659" t="s">
        <v>1134</v>
      </c>
      <c r="R1659" t="s">
        <v>1135</v>
      </c>
      <c r="S1659">
        <v>1</v>
      </c>
      <c r="T1659" t="s">
        <v>1147</v>
      </c>
      <c r="U1659" s="11" t="str">
        <f t="shared" si="130"/>
        <v>08:23:15 PM</v>
      </c>
      <c r="BL1659" s="2" t="s">
        <v>2809</v>
      </c>
    </row>
    <row r="1660" spans="1:64" x14ac:dyDescent="0.35">
      <c r="A1660">
        <v>6993</v>
      </c>
      <c r="B1660" t="s">
        <v>0</v>
      </c>
      <c r="C1660" s="1">
        <v>45398</v>
      </c>
      <c r="D1660" t="s">
        <v>11</v>
      </c>
      <c r="E1660" t="s">
        <v>28</v>
      </c>
      <c r="F1660">
        <v>5</v>
      </c>
      <c r="G1660">
        <v>2208.63</v>
      </c>
      <c r="H1660">
        <v>11043.15</v>
      </c>
      <c r="I1660">
        <v>253.15</v>
      </c>
      <c r="J1660">
        <v>10790</v>
      </c>
      <c r="K1660">
        <v>334</v>
      </c>
      <c r="L1660" s="11">
        <v>0.53060185185185182</v>
      </c>
      <c r="M1660">
        <f t="shared" si="126"/>
        <v>16</v>
      </c>
      <c r="N1660">
        <f t="shared" si="127"/>
        <v>4</v>
      </c>
      <c r="O1660">
        <f t="shared" si="128"/>
        <v>2024</v>
      </c>
      <c r="P1660" s="4">
        <f t="shared" si="129"/>
        <v>45398</v>
      </c>
      <c r="Q1660" t="s">
        <v>1138</v>
      </c>
      <c r="R1660" t="s">
        <v>1137</v>
      </c>
      <c r="S1660">
        <v>5</v>
      </c>
      <c r="T1660" t="s">
        <v>1143</v>
      </c>
      <c r="U1660" s="11" t="str">
        <f t="shared" si="130"/>
        <v>12:44:04 PM</v>
      </c>
      <c r="BL1660" s="2" t="s">
        <v>2810</v>
      </c>
    </row>
    <row r="1661" spans="1:64" x14ac:dyDescent="0.35">
      <c r="A1661">
        <v>4228</v>
      </c>
      <c r="B1661" t="s">
        <v>31</v>
      </c>
      <c r="C1661" s="1">
        <v>45500</v>
      </c>
      <c r="D1661" t="s">
        <v>23</v>
      </c>
      <c r="E1661" t="s">
        <v>22</v>
      </c>
      <c r="F1661">
        <v>3</v>
      </c>
      <c r="G1661">
        <v>1822.68</v>
      </c>
      <c r="H1661">
        <v>5468.04</v>
      </c>
      <c r="I1661">
        <v>546.97</v>
      </c>
      <c r="J1661">
        <v>4921.07</v>
      </c>
      <c r="K1661">
        <v>122</v>
      </c>
      <c r="L1661" s="11">
        <v>0.86190972222222217</v>
      </c>
      <c r="M1661">
        <f t="shared" si="126"/>
        <v>27</v>
      </c>
      <c r="N1661">
        <f t="shared" si="127"/>
        <v>7</v>
      </c>
      <c r="O1661">
        <f t="shared" si="128"/>
        <v>2024</v>
      </c>
      <c r="P1661" s="4">
        <f t="shared" si="129"/>
        <v>45500</v>
      </c>
      <c r="Q1661" t="s">
        <v>1136</v>
      </c>
      <c r="R1661" t="s">
        <v>1135</v>
      </c>
      <c r="S1661">
        <v>1</v>
      </c>
      <c r="T1661" t="s">
        <v>1149</v>
      </c>
      <c r="U1661" s="11" t="str">
        <f t="shared" si="130"/>
        <v>08:41:09 PM</v>
      </c>
      <c r="BL1661" s="2" t="s">
        <v>2811</v>
      </c>
    </row>
    <row r="1662" spans="1:64" x14ac:dyDescent="0.35">
      <c r="A1662">
        <v>2867</v>
      </c>
      <c r="B1662" t="s">
        <v>31</v>
      </c>
      <c r="C1662" s="1">
        <v>45348</v>
      </c>
      <c r="D1662" t="s">
        <v>11</v>
      </c>
      <c r="E1662" t="s">
        <v>30</v>
      </c>
      <c r="F1662">
        <v>3</v>
      </c>
      <c r="G1662">
        <v>238.21</v>
      </c>
      <c r="H1662">
        <v>714.63</v>
      </c>
      <c r="I1662">
        <v>235.72</v>
      </c>
      <c r="J1662">
        <v>478.91</v>
      </c>
      <c r="K1662">
        <v>15</v>
      </c>
      <c r="L1662" s="11">
        <v>0.41233796296296299</v>
      </c>
      <c r="M1662">
        <f t="shared" si="126"/>
        <v>26</v>
      </c>
      <c r="N1662">
        <f t="shared" si="127"/>
        <v>2</v>
      </c>
      <c r="O1662">
        <f t="shared" si="128"/>
        <v>2024</v>
      </c>
      <c r="P1662" s="4">
        <f t="shared" si="129"/>
        <v>45348</v>
      </c>
      <c r="Q1662" t="s">
        <v>1134</v>
      </c>
      <c r="R1662" t="s">
        <v>1137</v>
      </c>
      <c r="S1662">
        <v>1</v>
      </c>
      <c r="T1662" t="s">
        <v>1144</v>
      </c>
      <c r="U1662" s="11" t="str">
        <f t="shared" si="130"/>
        <v>09:53:46 AM</v>
      </c>
      <c r="BL1662" s="2" t="s">
        <v>2812</v>
      </c>
    </row>
    <row r="1663" spans="1:64" x14ac:dyDescent="0.35">
      <c r="A1663">
        <v>9019</v>
      </c>
      <c r="B1663" t="s">
        <v>31</v>
      </c>
      <c r="C1663" s="1">
        <v>45554</v>
      </c>
      <c r="D1663" t="s">
        <v>16</v>
      </c>
      <c r="E1663" t="s">
        <v>22</v>
      </c>
      <c r="F1663">
        <v>2</v>
      </c>
      <c r="G1663">
        <v>2000.3</v>
      </c>
      <c r="H1663">
        <v>4000.6</v>
      </c>
      <c r="I1663">
        <v>296.31</v>
      </c>
      <c r="J1663">
        <v>3704.29</v>
      </c>
      <c r="K1663">
        <v>498</v>
      </c>
      <c r="L1663" s="11">
        <v>0.29440972222222223</v>
      </c>
      <c r="M1663">
        <f t="shared" si="126"/>
        <v>19</v>
      </c>
      <c r="N1663">
        <f t="shared" si="127"/>
        <v>9</v>
      </c>
      <c r="O1663">
        <f t="shared" si="128"/>
        <v>2024</v>
      </c>
      <c r="P1663" s="4">
        <f t="shared" si="129"/>
        <v>45554</v>
      </c>
      <c r="Q1663" t="s">
        <v>1134</v>
      </c>
      <c r="R1663" t="s">
        <v>1135</v>
      </c>
      <c r="S1663">
        <v>3</v>
      </c>
      <c r="T1663" t="s">
        <v>1146</v>
      </c>
      <c r="U1663" s="11" t="str">
        <f t="shared" si="130"/>
        <v>07:03:57 AM</v>
      </c>
      <c r="BL1663" s="2" t="s">
        <v>2813</v>
      </c>
    </row>
    <row r="1664" spans="1:64" x14ac:dyDescent="0.35">
      <c r="A1664">
        <v>6134</v>
      </c>
      <c r="B1664" t="s">
        <v>25</v>
      </c>
      <c r="C1664" s="1">
        <v>45608</v>
      </c>
      <c r="D1664" t="s">
        <v>23</v>
      </c>
      <c r="E1664" t="s">
        <v>14</v>
      </c>
      <c r="F1664">
        <v>4</v>
      </c>
      <c r="G1664">
        <v>1820.19</v>
      </c>
      <c r="H1664">
        <v>7280.76</v>
      </c>
      <c r="I1664">
        <v>0</v>
      </c>
      <c r="J1664">
        <v>7280.76</v>
      </c>
      <c r="K1664">
        <v>35</v>
      </c>
      <c r="L1664" s="11">
        <v>0.68916666666666671</v>
      </c>
      <c r="M1664">
        <f t="shared" si="126"/>
        <v>12</v>
      </c>
      <c r="N1664">
        <f t="shared" si="127"/>
        <v>11</v>
      </c>
      <c r="O1664">
        <f t="shared" si="128"/>
        <v>2024</v>
      </c>
      <c r="P1664" s="4">
        <f t="shared" si="129"/>
        <v>45608</v>
      </c>
      <c r="Q1664" t="s">
        <v>1136</v>
      </c>
      <c r="R1664" t="s">
        <v>1135</v>
      </c>
      <c r="S1664">
        <v>4</v>
      </c>
      <c r="T1664" t="s">
        <v>1144</v>
      </c>
      <c r="U1664" s="11" t="str">
        <f t="shared" si="130"/>
        <v>04:32:24 PM</v>
      </c>
      <c r="BL1664" s="2" t="s">
        <v>2814</v>
      </c>
    </row>
    <row r="1665" spans="1:64" x14ac:dyDescent="0.35">
      <c r="A1665">
        <v>7367</v>
      </c>
      <c r="B1665" t="s">
        <v>20</v>
      </c>
      <c r="C1665" s="1">
        <v>45619</v>
      </c>
      <c r="D1665" t="s">
        <v>16</v>
      </c>
      <c r="E1665" t="s">
        <v>5</v>
      </c>
      <c r="F1665">
        <v>5</v>
      </c>
      <c r="G1665">
        <v>2478.38</v>
      </c>
      <c r="H1665">
        <v>12391.9</v>
      </c>
      <c r="I1665">
        <v>342.79</v>
      </c>
      <c r="J1665">
        <v>12049.11</v>
      </c>
      <c r="K1665">
        <v>441</v>
      </c>
      <c r="L1665" s="11">
        <v>0.1879976851851852</v>
      </c>
      <c r="M1665">
        <f t="shared" si="126"/>
        <v>23</v>
      </c>
      <c r="N1665">
        <f t="shared" si="127"/>
        <v>11</v>
      </c>
      <c r="O1665">
        <f t="shared" si="128"/>
        <v>2024</v>
      </c>
      <c r="P1665" s="4">
        <f t="shared" si="129"/>
        <v>45619</v>
      </c>
      <c r="Q1665" t="s">
        <v>1134</v>
      </c>
      <c r="R1665" t="s">
        <v>1137</v>
      </c>
      <c r="S1665">
        <v>3</v>
      </c>
      <c r="T1665" t="s">
        <v>1143</v>
      </c>
      <c r="U1665" s="11" t="str">
        <f t="shared" si="130"/>
        <v>04:30:43 AM</v>
      </c>
      <c r="BL1665" s="2" t="s">
        <v>2815</v>
      </c>
    </row>
    <row r="1666" spans="1:64" x14ac:dyDescent="0.35">
      <c r="A1666">
        <v>7431</v>
      </c>
      <c r="B1666" t="s">
        <v>19</v>
      </c>
      <c r="C1666" s="1">
        <v>45600</v>
      </c>
      <c r="D1666" t="s">
        <v>27</v>
      </c>
      <c r="E1666" t="s">
        <v>38</v>
      </c>
      <c r="F1666">
        <v>5</v>
      </c>
      <c r="G1666">
        <v>1640.08</v>
      </c>
      <c r="H1666">
        <v>8200.4</v>
      </c>
      <c r="I1666">
        <v>820.04</v>
      </c>
      <c r="J1666">
        <v>7380.36</v>
      </c>
      <c r="K1666">
        <v>273</v>
      </c>
      <c r="L1666" s="11">
        <v>0.77908564814814818</v>
      </c>
      <c r="M1666">
        <f t="shared" ref="M1666:M1729" si="131">DAY(C1666)</f>
        <v>4</v>
      </c>
      <c r="N1666">
        <f t="shared" ref="N1666:N1729" si="132">MONTH(C1666)</f>
        <v>11</v>
      </c>
      <c r="O1666">
        <f t="shared" ref="O1666:O1729" si="133">YEAR(C1666)</f>
        <v>2024</v>
      </c>
      <c r="P1666" s="4">
        <f t="shared" si="129"/>
        <v>45600</v>
      </c>
      <c r="Q1666" t="s">
        <v>1134</v>
      </c>
      <c r="R1666" t="s">
        <v>1137</v>
      </c>
      <c r="S1666">
        <v>1</v>
      </c>
      <c r="T1666" t="s">
        <v>1149</v>
      </c>
      <c r="U1666" s="11" t="str">
        <f t="shared" si="130"/>
        <v>06:41:53 PM</v>
      </c>
      <c r="BL1666" s="2" t="s">
        <v>2816</v>
      </c>
    </row>
    <row r="1667" spans="1:64" x14ac:dyDescent="0.35">
      <c r="A1667">
        <v>2871</v>
      </c>
      <c r="B1667" t="s">
        <v>15</v>
      </c>
      <c r="C1667" s="1">
        <v>45415</v>
      </c>
      <c r="D1667" t="s">
        <v>1</v>
      </c>
      <c r="E1667" t="s">
        <v>26</v>
      </c>
      <c r="F1667">
        <v>4</v>
      </c>
      <c r="G1667">
        <v>2075.83</v>
      </c>
      <c r="H1667">
        <v>8303.32</v>
      </c>
      <c r="I1667">
        <v>1245.83</v>
      </c>
      <c r="J1667">
        <v>7057.49</v>
      </c>
      <c r="K1667">
        <v>371</v>
      </c>
      <c r="L1667" s="11">
        <v>0.77642361111111113</v>
      </c>
      <c r="M1667">
        <f t="shared" si="131"/>
        <v>3</v>
      </c>
      <c r="N1667">
        <f t="shared" si="132"/>
        <v>5</v>
      </c>
      <c r="O1667">
        <f t="shared" si="133"/>
        <v>2024</v>
      </c>
      <c r="P1667" s="4">
        <f t="shared" ref="P1667:P1730" si="134">DATE(O1667,N1667,M1667)</f>
        <v>45415</v>
      </c>
      <c r="Q1667" t="s">
        <v>1139</v>
      </c>
      <c r="R1667" t="s">
        <v>1137</v>
      </c>
      <c r="S1667">
        <v>5</v>
      </c>
      <c r="T1667" t="s">
        <v>1144</v>
      </c>
      <c r="U1667" s="11" t="str">
        <f t="shared" si="130"/>
        <v>06:38:03 PM</v>
      </c>
      <c r="BL1667" s="2" t="s">
        <v>2817</v>
      </c>
    </row>
    <row r="1668" spans="1:64" x14ac:dyDescent="0.35">
      <c r="A1668">
        <v>6766</v>
      </c>
      <c r="B1668" t="s">
        <v>13</v>
      </c>
      <c r="C1668" s="1">
        <v>45801</v>
      </c>
      <c r="D1668" t="s">
        <v>27</v>
      </c>
      <c r="E1668" t="s">
        <v>22</v>
      </c>
      <c r="F1668">
        <v>4</v>
      </c>
      <c r="G1668">
        <v>1977.89</v>
      </c>
      <c r="H1668">
        <v>7911.56</v>
      </c>
      <c r="I1668">
        <v>1186.9000000000001</v>
      </c>
      <c r="J1668">
        <v>6724.66</v>
      </c>
      <c r="K1668">
        <v>53</v>
      </c>
      <c r="L1668" s="11">
        <v>0.59375</v>
      </c>
      <c r="M1668">
        <f t="shared" si="131"/>
        <v>24</v>
      </c>
      <c r="N1668">
        <f t="shared" si="132"/>
        <v>5</v>
      </c>
      <c r="O1668">
        <f t="shared" si="133"/>
        <v>2025</v>
      </c>
      <c r="P1668" s="4">
        <f t="shared" si="134"/>
        <v>45801</v>
      </c>
      <c r="Q1668" t="s">
        <v>1136</v>
      </c>
      <c r="R1668" t="s">
        <v>1137</v>
      </c>
      <c r="S1668">
        <v>3</v>
      </c>
      <c r="T1668" t="s">
        <v>1150</v>
      </c>
      <c r="U1668" s="11" t="str">
        <f t="shared" si="130"/>
        <v>02:15:00 PM</v>
      </c>
      <c r="BL1668" s="2" t="s">
        <v>2818</v>
      </c>
    </row>
    <row r="1669" spans="1:64" x14ac:dyDescent="0.35">
      <c r="A1669">
        <v>8501</v>
      </c>
      <c r="B1669" t="s">
        <v>0</v>
      </c>
      <c r="C1669" s="1">
        <v>45624</v>
      </c>
      <c r="D1669" t="s">
        <v>23</v>
      </c>
      <c r="E1669" t="s">
        <v>12</v>
      </c>
      <c r="F1669">
        <v>4</v>
      </c>
      <c r="G1669">
        <v>1662.49</v>
      </c>
      <c r="H1669">
        <v>6649.96</v>
      </c>
      <c r="I1669">
        <v>664.83</v>
      </c>
      <c r="J1669">
        <v>5985.13</v>
      </c>
      <c r="K1669">
        <v>72</v>
      </c>
      <c r="L1669" s="11">
        <v>7.6817129629629624E-2</v>
      </c>
      <c r="M1669">
        <f t="shared" si="131"/>
        <v>28</v>
      </c>
      <c r="N1669">
        <f t="shared" si="132"/>
        <v>11</v>
      </c>
      <c r="O1669">
        <f t="shared" si="133"/>
        <v>2024</v>
      </c>
      <c r="P1669" s="4">
        <f t="shared" si="134"/>
        <v>45624</v>
      </c>
      <c r="Q1669" t="s">
        <v>1138</v>
      </c>
      <c r="R1669" t="s">
        <v>1135</v>
      </c>
      <c r="S1669">
        <v>3</v>
      </c>
      <c r="T1669" t="s">
        <v>1147</v>
      </c>
      <c r="U1669" s="11" t="str">
        <f t="shared" si="130"/>
        <v>01:50:37 AM</v>
      </c>
      <c r="BL1669" s="2" t="s">
        <v>2819</v>
      </c>
    </row>
    <row r="1670" spans="1:64" x14ac:dyDescent="0.35">
      <c r="A1670">
        <v>3826</v>
      </c>
      <c r="B1670" t="s">
        <v>31</v>
      </c>
      <c r="C1670" s="1">
        <v>45777</v>
      </c>
      <c r="D1670" t="s">
        <v>24</v>
      </c>
      <c r="E1670" t="s">
        <v>38</v>
      </c>
      <c r="F1670">
        <v>3</v>
      </c>
      <c r="G1670">
        <v>1627.63</v>
      </c>
      <c r="H1670">
        <v>4882.8900000000003</v>
      </c>
      <c r="I1670">
        <v>0</v>
      </c>
      <c r="J1670">
        <v>4882.8900000000003</v>
      </c>
      <c r="K1670">
        <v>37</v>
      </c>
      <c r="L1670" s="11">
        <v>0.73831018518518521</v>
      </c>
      <c r="M1670">
        <f t="shared" si="131"/>
        <v>30</v>
      </c>
      <c r="N1670">
        <f t="shared" si="132"/>
        <v>4</v>
      </c>
      <c r="O1670">
        <f t="shared" si="133"/>
        <v>2025</v>
      </c>
      <c r="P1670" s="4">
        <f t="shared" si="134"/>
        <v>45777</v>
      </c>
      <c r="Q1670" t="s">
        <v>1134</v>
      </c>
      <c r="R1670" t="s">
        <v>1135</v>
      </c>
      <c r="S1670">
        <v>2</v>
      </c>
      <c r="T1670" t="s">
        <v>1149</v>
      </c>
      <c r="U1670" s="11" t="str">
        <f t="shared" si="130"/>
        <v>05:43:10 PM</v>
      </c>
      <c r="BL1670" s="2" t="s">
        <v>2820</v>
      </c>
    </row>
    <row r="1671" spans="1:64" x14ac:dyDescent="0.35">
      <c r="A1671">
        <v>5873</v>
      </c>
      <c r="B1671" t="s">
        <v>15</v>
      </c>
      <c r="C1671" s="1">
        <v>45858</v>
      </c>
      <c r="D1671" t="s">
        <v>6</v>
      </c>
      <c r="E1671" t="s">
        <v>2</v>
      </c>
      <c r="F1671">
        <v>3</v>
      </c>
      <c r="G1671">
        <v>792.65</v>
      </c>
      <c r="H1671">
        <v>2377.9499999999998</v>
      </c>
      <c r="I1671">
        <v>238.21</v>
      </c>
      <c r="J1671">
        <v>2139.7399999999998</v>
      </c>
      <c r="K1671">
        <v>227</v>
      </c>
      <c r="L1671" s="11">
        <v>0.55496527777777782</v>
      </c>
      <c r="M1671">
        <f t="shared" si="131"/>
        <v>20</v>
      </c>
      <c r="N1671">
        <f t="shared" si="132"/>
        <v>7</v>
      </c>
      <c r="O1671">
        <f t="shared" si="133"/>
        <v>2025</v>
      </c>
      <c r="P1671" s="4">
        <f t="shared" si="134"/>
        <v>45858</v>
      </c>
      <c r="Q1671" t="s">
        <v>1136</v>
      </c>
      <c r="R1671" t="s">
        <v>1135</v>
      </c>
      <c r="S1671">
        <v>1</v>
      </c>
      <c r="T1671" t="s">
        <v>1149</v>
      </c>
      <c r="U1671" s="11" t="str">
        <f t="shared" si="130"/>
        <v>01:19:09 PM</v>
      </c>
      <c r="BL1671" s="2" t="s">
        <v>2821</v>
      </c>
    </row>
    <row r="1672" spans="1:64" x14ac:dyDescent="0.35">
      <c r="A1672">
        <v>2388</v>
      </c>
      <c r="B1672" t="s">
        <v>19</v>
      </c>
      <c r="C1672" s="1">
        <v>45667</v>
      </c>
      <c r="D1672" t="s">
        <v>17</v>
      </c>
      <c r="E1672" t="s">
        <v>2</v>
      </c>
      <c r="F1672">
        <v>5</v>
      </c>
      <c r="G1672">
        <v>168.49</v>
      </c>
      <c r="H1672">
        <v>842.45</v>
      </c>
      <c r="I1672">
        <v>178.45</v>
      </c>
      <c r="J1672">
        <v>664</v>
      </c>
      <c r="K1672">
        <v>71</v>
      </c>
      <c r="L1672" s="11">
        <v>0.77664351851851854</v>
      </c>
      <c r="M1672">
        <f t="shared" si="131"/>
        <v>10</v>
      </c>
      <c r="N1672">
        <f t="shared" si="132"/>
        <v>1</v>
      </c>
      <c r="O1672">
        <f t="shared" si="133"/>
        <v>2025</v>
      </c>
      <c r="P1672" s="4">
        <f t="shared" si="134"/>
        <v>45667</v>
      </c>
      <c r="Q1672" t="s">
        <v>1139</v>
      </c>
      <c r="R1672" t="s">
        <v>1137</v>
      </c>
      <c r="S1672">
        <v>5</v>
      </c>
      <c r="T1672" t="s">
        <v>1143</v>
      </c>
      <c r="U1672" s="11" t="str">
        <f t="shared" si="130"/>
        <v>06:38:22 PM</v>
      </c>
      <c r="BL1672" s="2" t="s">
        <v>2822</v>
      </c>
    </row>
    <row r="1673" spans="1:64" x14ac:dyDescent="0.35">
      <c r="A1673">
        <v>3194</v>
      </c>
      <c r="B1673" t="s">
        <v>31</v>
      </c>
      <c r="C1673" s="1">
        <v>45388</v>
      </c>
      <c r="D1673" t="s">
        <v>11</v>
      </c>
      <c r="E1673" t="s">
        <v>12</v>
      </c>
      <c r="F1673">
        <v>3</v>
      </c>
      <c r="G1673">
        <v>820.04</v>
      </c>
      <c r="H1673">
        <v>2460.12</v>
      </c>
      <c r="I1673">
        <v>293.82</v>
      </c>
      <c r="J1673">
        <v>2166.3000000000002</v>
      </c>
      <c r="K1673">
        <v>366</v>
      </c>
      <c r="L1673" s="11">
        <v>4.5590277777777778E-2</v>
      </c>
      <c r="M1673">
        <f t="shared" si="131"/>
        <v>6</v>
      </c>
      <c r="N1673">
        <f t="shared" si="132"/>
        <v>4</v>
      </c>
      <c r="O1673">
        <f t="shared" si="133"/>
        <v>2024</v>
      </c>
      <c r="P1673" s="4">
        <f t="shared" si="134"/>
        <v>45388</v>
      </c>
      <c r="Q1673" t="s">
        <v>1138</v>
      </c>
      <c r="R1673" t="s">
        <v>1135</v>
      </c>
      <c r="S1673">
        <v>3</v>
      </c>
      <c r="T1673" t="s">
        <v>1148</v>
      </c>
      <c r="U1673" s="11" t="str">
        <f t="shared" si="130"/>
        <v>01:05:39 AM</v>
      </c>
      <c r="BL1673" s="2" t="s">
        <v>2823</v>
      </c>
    </row>
    <row r="1674" spans="1:64" x14ac:dyDescent="0.35">
      <c r="A1674">
        <v>2931</v>
      </c>
      <c r="B1674" t="s">
        <v>15</v>
      </c>
      <c r="C1674" s="1">
        <v>45330</v>
      </c>
      <c r="D1674" t="s">
        <v>34</v>
      </c>
      <c r="E1674" t="s">
        <v>26</v>
      </c>
      <c r="F1674">
        <v>2</v>
      </c>
      <c r="G1674">
        <v>1872.48</v>
      </c>
      <c r="H1674">
        <v>3744.96</v>
      </c>
      <c r="I1674">
        <v>748.66</v>
      </c>
      <c r="J1674">
        <v>2996.3</v>
      </c>
      <c r="K1674">
        <v>355</v>
      </c>
      <c r="L1674" s="11">
        <v>0.780787037037037</v>
      </c>
      <c r="M1674">
        <f t="shared" si="131"/>
        <v>8</v>
      </c>
      <c r="N1674">
        <f t="shared" si="132"/>
        <v>2</v>
      </c>
      <c r="O1674">
        <f t="shared" si="133"/>
        <v>2024</v>
      </c>
      <c r="P1674" s="4">
        <f t="shared" si="134"/>
        <v>45330</v>
      </c>
      <c r="Q1674" t="s">
        <v>1136</v>
      </c>
      <c r="R1674" t="s">
        <v>1137</v>
      </c>
      <c r="S1674">
        <v>3</v>
      </c>
      <c r="T1674" t="s">
        <v>1146</v>
      </c>
      <c r="U1674" s="11" t="str">
        <f t="shared" si="130"/>
        <v>06:44:20 PM</v>
      </c>
      <c r="BL1674" s="2" t="s">
        <v>2824</v>
      </c>
    </row>
    <row r="1675" spans="1:64" x14ac:dyDescent="0.35">
      <c r="A1675">
        <v>6003</v>
      </c>
      <c r="B1675" t="s">
        <v>19</v>
      </c>
      <c r="C1675" s="1">
        <v>45235</v>
      </c>
      <c r="D1675" t="s">
        <v>9</v>
      </c>
      <c r="E1675" t="s">
        <v>2</v>
      </c>
      <c r="F1675">
        <v>2</v>
      </c>
      <c r="G1675">
        <v>149.4</v>
      </c>
      <c r="H1675">
        <v>298.8</v>
      </c>
      <c r="I1675">
        <v>59.76</v>
      </c>
      <c r="J1675">
        <v>239.04</v>
      </c>
      <c r="K1675">
        <v>108</v>
      </c>
      <c r="L1675" s="11">
        <v>0.89496527777777779</v>
      </c>
      <c r="M1675">
        <f t="shared" si="131"/>
        <v>5</v>
      </c>
      <c r="N1675">
        <f t="shared" si="132"/>
        <v>11</v>
      </c>
      <c r="O1675">
        <f t="shared" si="133"/>
        <v>2023</v>
      </c>
      <c r="P1675" s="4">
        <f t="shared" si="134"/>
        <v>45235</v>
      </c>
      <c r="Q1675" t="s">
        <v>1138</v>
      </c>
      <c r="R1675" t="s">
        <v>1135</v>
      </c>
      <c r="S1675">
        <v>5</v>
      </c>
      <c r="T1675" t="s">
        <v>1146</v>
      </c>
      <c r="U1675" s="11" t="str">
        <f t="shared" si="130"/>
        <v>09:28:45 PM</v>
      </c>
      <c r="BL1675" s="2" t="s">
        <v>2825</v>
      </c>
    </row>
    <row r="1676" spans="1:64" x14ac:dyDescent="0.35">
      <c r="A1676">
        <v>3999</v>
      </c>
      <c r="B1676" t="s">
        <v>20</v>
      </c>
      <c r="C1676" s="1">
        <v>45434</v>
      </c>
      <c r="D1676" t="s">
        <v>24</v>
      </c>
      <c r="E1676" t="s">
        <v>12</v>
      </c>
      <c r="F1676">
        <v>5</v>
      </c>
      <c r="G1676">
        <v>1876.63</v>
      </c>
      <c r="H1676">
        <v>9383.15</v>
      </c>
      <c r="I1676">
        <v>937.9</v>
      </c>
      <c r="J1676">
        <v>8445.25</v>
      </c>
      <c r="K1676">
        <v>264</v>
      </c>
      <c r="L1676" s="11">
        <v>0.67206018518518518</v>
      </c>
      <c r="M1676">
        <f t="shared" si="131"/>
        <v>22</v>
      </c>
      <c r="N1676">
        <f t="shared" si="132"/>
        <v>5</v>
      </c>
      <c r="O1676">
        <f t="shared" si="133"/>
        <v>2024</v>
      </c>
      <c r="P1676" s="4">
        <f t="shared" si="134"/>
        <v>45434</v>
      </c>
      <c r="Q1676" t="s">
        <v>1138</v>
      </c>
      <c r="R1676" t="s">
        <v>1137</v>
      </c>
      <c r="S1676">
        <v>1</v>
      </c>
      <c r="T1676" t="s">
        <v>1148</v>
      </c>
      <c r="U1676" s="11" t="str">
        <f t="shared" si="130"/>
        <v>04:07:46 PM</v>
      </c>
      <c r="BL1676" s="2" t="s">
        <v>2826</v>
      </c>
    </row>
    <row r="1677" spans="1:64" x14ac:dyDescent="0.35">
      <c r="A1677">
        <v>3316</v>
      </c>
      <c r="B1677" t="s">
        <v>8</v>
      </c>
      <c r="C1677" s="1">
        <v>45541</v>
      </c>
      <c r="D1677" t="s">
        <v>11</v>
      </c>
      <c r="E1677" t="s">
        <v>30</v>
      </c>
      <c r="F1677">
        <v>5</v>
      </c>
      <c r="G1677">
        <v>2134.7600000000002</v>
      </c>
      <c r="H1677">
        <v>10673.8</v>
      </c>
      <c r="I1677">
        <v>1067.3800000000001</v>
      </c>
      <c r="J1677">
        <v>9606.42</v>
      </c>
      <c r="K1677">
        <v>160</v>
      </c>
      <c r="L1677" s="11">
        <v>0.24038194444444444</v>
      </c>
      <c r="M1677">
        <f t="shared" si="131"/>
        <v>6</v>
      </c>
      <c r="N1677">
        <f t="shared" si="132"/>
        <v>9</v>
      </c>
      <c r="O1677">
        <f t="shared" si="133"/>
        <v>2024</v>
      </c>
      <c r="P1677" s="4">
        <f t="shared" si="134"/>
        <v>45541</v>
      </c>
      <c r="Q1677" t="s">
        <v>1138</v>
      </c>
      <c r="R1677" t="s">
        <v>1137</v>
      </c>
      <c r="S1677">
        <v>2</v>
      </c>
      <c r="T1677" t="s">
        <v>1145</v>
      </c>
      <c r="U1677" s="11" t="str">
        <f t="shared" si="130"/>
        <v>05:46:09 AM</v>
      </c>
      <c r="BL1677" s="2" t="s">
        <v>2827</v>
      </c>
    </row>
    <row r="1678" spans="1:64" x14ac:dyDescent="0.35">
      <c r="A1678">
        <v>7364</v>
      </c>
      <c r="B1678" t="s">
        <v>15</v>
      </c>
      <c r="C1678" s="1">
        <v>45469</v>
      </c>
      <c r="D1678" t="s">
        <v>16</v>
      </c>
      <c r="E1678" t="s">
        <v>18</v>
      </c>
      <c r="F1678">
        <v>5</v>
      </c>
      <c r="G1678">
        <v>1242.51</v>
      </c>
      <c r="H1678">
        <v>6212.55</v>
      </c>
      <c r="I1678">
        <v>304.61</v>
      </c>
      <c r="J1678">
        <v>5907.94</v>
      </c>
      <c r="K1678">
        <v>247</v>
      </c>
      <c r="L1678" s="11">
        <v>0.42956018518518518</v>
      </c>
      <c r="M1678">
        <f t="shared" si="131"/>
        <v>26</v>
      </c>
      <c r="N1678">
        <f t="shared" si="132"/>
        <v>6</v>
      </c>
      <c r="O1678">
        <f t="shared" si="133"/>
        <v>2024</v>
      </c>
      <c r="P1678" s="4">
        <f t="shared" si="134"/>
        <v>45469</v>
      </c>
      <c r="Q1678" t="s">
        <v>1134</v>
      </c>
      <c r="R1678" t="s">
        <v>1135</v>
      </c>
      <c r="S1678">
        <v>3</v>
      </c>
      <c r="T1678" t="s">
        <v>1144</v>
      </c>
      <c r="U1678" s="11" t="str">
        <f t="shared" si="130"/>
        <v>10:18:34 AM</v>
      </c>
      <c r="BL1678" s="2" t="s">
        <v>2828</v>
      </c>
    </row>
    <row r="1679" spans="1:64" x14ac:dyDescent="0.35">
      <c r="A1679">
        <v>3258</v>
      </c>
      <c r="B1679" t="s">
        <v>0</v>
      </c>
      <c r="C1679" s="1">
        <v>45591</v>
      </c>
      <c r="D1679" t="s">
        <v>11</v>
      </c>
      <c r="E1679" t="s">
        <v>14</v>
      </c>
      <c r="F1679">
        <v>3</v>
      </c>
      <c r="G1679">
        <v>579.34</v>
      </c>
      <c r="H1679">
        <v>1738.02</v>
      </c>
      <c r="I1679">
        <v>341.13</v>
      </c>
      <c r="J1679">
        <v>1396.89</v>
      </c>
      <c r="K1679">
        <v>76</v>
      </c>
      <c r="L1679" s="11">
        <v>0.84049768518518519</v>
      </c>
      <c r="M1679">
        <f t="shared" si="131"/>
        <v>26</v>
      </c>
      <c r="N1679">
        <f t="shared" si="132"/>
        <v>10</v>
      </c>
      <c r="O1679">
        <f t="shared" si="133"/>
        <v>2024</v>
      </c>
      <c r="P1679" s="4">
        <f t="shared" si="134"/>
        <v>45591</v>
      </c>
      <c r="Q1679" t="s">
        <v>1134</v>
      </c>
      <c r="R1679" t="s">
        <v>1137</v>
      </c>
      <c r="S1679">
        <v>2</v>
      </c>
      <c r="T1679" t="s">
        <v>1147</v>
      </c>
      <c r="U1679" s="11" t="str">
        <f t="shared" si="130"/>
        <v>08:10:19 PM</v>
      </c>
      <c r="BL1679" s="2" t="s">
        <v>2829</v>
      </c>
    </row>
    <row r="1680" spans="1:64" x14ac:dyDescent="0.35">
      <c r="A1680">
        <v>7286</v>
      </c>
      <c r="B1680" t="s">
        <v>0</v>
      </c>
      <c r="C1680" s="1">
        <v>45473</v>
      </c>
      <c r="D1680" t="s">
        <v>16</v>
      </c>
      <c r="E1680" t="s">
        <v>33</v>
      </c>
      <c r="F1680">
        <v>3</v>
      </c>
      <c r="G1680">
        <v>1282.3499999999999</v>
      </c>
      <c r="H1680">
        <v>3847.05</v>
      </c>
      <c r="I1680">
        <v>0</v>
      </c>
      <c r="J1680">
        <v>3847.05</v>
      </c>
      <c r="K1680">
        <v>291</v>
      </c>
      <c r="L1680" s="11">
        <v>0.44130787037037039</v>
      </c>
      <c r="M1680">
        <f t="shared" si="131"/>
        <v>30</v>
      </c>
      <c r="N1680">
        <f t="shared" si="132"/>
        <v>6</v>
      </c>
      <c r="O1680">
        <f t="shared" si="133"/>
        <v>2024</v>
      </c>
      <c r="P1680" s="4">
        <f t="shared" si="134"/>
        <v>45473</v>
      </c>
      <c r="Q1680" t="s">
        <v>1139</v>
      </c>
      <c r="R1680" t="s">
        <v>1137</v>
      </c>
      <c r="S1680">
        <v>4</v>
      </c>
      <c r="T1680" t="s">
        <v>1145</v>
      </c>
      <c r="U1680" s="11" t="str">
        <f t="shared" si="130"/>
        <v>10:35:29 AM</v>
      </c>
      <c r="BL1680" s="2" t="s">
        <v>2830</v>
      </c>
    </row>
    <row r="1681" spans="1:64" x14ac:dyDescent="0.35">
      <c r="A1681">
        <v>4043</v>
      </c>
      <c r="B1681" t="s">
        <v>3</v>
      </c>
      <c r="C1681" s="1">
        <v>45523</v>
      </c>
      <c r="D1681" t="s">
        <v>6</v>
      </c>
      <c r="E1681" t="s">
        <v>33</v>
      </c>
      <c r="F1681">
        <v>3</v>
      </c>
      <c r="G1681">
        <v>1680.75</v>
      </c>
      <c r="H1681">
        <v>5042.25</v>
      </c>
      <c r="I1681">
        <v>756.13</v>
      </c>
      <c r="J1681">
        <v>4286.12</v>
      </c>
      <c r="K1681">
        <v>204</v>
      </c>
      <c r="L1681" s="11">
        <v>0.39719907407407407</v>
      </c>
      <c r="M1681">
        <f t="shared" si="131"/>
        <v>19</v>
      </c>
      <c r="N1681">
        <f t="shared" si="132"/>
        <v>8</v>
      </c>
      <c r="O1681">
        <f t="shared" si="133"/>
        <v>2024</v>
      </c>
      <c r="P1681" s="4">
        <f t="shared" si="134"/>
        <v>45523</v>
      </c>
      <c r="Q1681" t="s">
        <v>1139</v>
      </c>
      <c r="R1681" t="s">
        <v>1135</v>
      </c>
      <c r="S1681">
        <v>1</v>
      </c>
      <c r="T1681" t="s">
        <v>1143</v>
      </c>
      <c r="U1681" s="11" t="str">
        <f t="shared" si="130"/>
        <v>09:31:58 AM</v>
      </c>
      <c r="BL1681" s="2" t="s">
        <v>2831</v>
      </c>
    </row>
    <row r="1682" spans="1:64" x14ac:dyDescent="0.35">
      <c r="A1682">
        <v>9804</v>
      </c>
      <c r="B1682" t="s">
        <v>3</v>
      </c>
      <c r="C1682" s="1">
        <v>45683</v>
      </c>
      <c r="D1682" t="s">
        <v>4</v>
      </c>
      <c r="E1682" t="s">
        <v>2</v>
      </c>
      <c r="F1682">
        <v>5</v>
      </c>
      <c r="G1682">
        <v>2397.04</v>
      </c>
      <c r="H1682">
        <v>11985.2</v>
      </c>
      <c r="I1682">
        <v>231.57</v>
      </c>
      <c r="J1682">
        <v>11753.63</v>
      </c>
      <c r="K1682">
        <v>433</v>
      </c>
      <c r="L1682" s="11">
        <v>0.93996527777777783</v>
      </c>
      <c r="M1682">
        <f t="shared" si="131"/>
        <v>26</v>
      </c>
      <c r="N1682">
        <f t="shared" si="132"/>
        <v>1</v>
      </c>
      <c r="O1682">
        <f t="shared" si="133"/>
        <v>2025</v>
      </c>
      <c r="P1682" s="4">
        <f t="shared" si="134"/>
        <v>45683</v>
      </c>
      <c r="Q1682" t="s">
        <v>1136</v>
      </c>
      <c r="R1682" t="s">
        <v>1137</v>
      </c>
      <c r="S1682">
        <v>4</v>
      </c>
      <c r="T1682" t="s">
        <v>1142</v>
      </c>
      <c r="U1682" s="11" t="str">
        <f t="shared" si="130"/>
        <v>10:33:33 PM</v>
      </c>
      <c r="BL1682" s="2" t="s">
        <v>2832</v>
      </c>
    </row>
    <row r="1683" spans="1:64" x14ac:dyDescent="0.35">
      <c r="A1683">
        <v>3838</v>
      </c>
      <c r="B1683" t="s">
        <v>3</v>
      </c>
      <c r="C1683" s="1">
        <v>45576</v>
      </c>
      <c r="D1683" t="s">
        <v>6</v>
      </c>
      <c r="E1683" t="s">
        <v>14</v>
      </c>
      <c r="F1683">
        <v>3</v>
      </c>
      <c r="G1683">
        <v>2001.13</v>
      </c>
      <c r="H1683">
        <v>6003.39</v>
      </c>
      <c r="I1683">
        <v>1201.01</v>
      </c>
      <c r="J1683">
        <v>4802.38</v>
      </c>
      <c r="K1683">
        <v>93</v>
      </c>
      <c r="L1683" s="11">
        <v>0.9362731481481481</v>
      </c>
      <c r="M1683">
        <f t="shared" si="131"/>
        <v>11</v>
      </c>
      <c r="N1683">
        <f t="shared" si="132"/>
        <v>10</v>
      </c>
      <c r="O1683">
        <f t="shared" si="133"/>
        <v>2024</v>
      </c>
      <c r="P1683" s="4">
        <f t="shared" si="134"/>
        <v>45576</v>
      </c>
      <c r="Q1683" t="s">
        <v>1139</v>
      </c>
      <c r="R1683" t="s">
        <v>1137</v>
      </c>
      <c r="S1683">
        <v>4</v>
      </c>
      <c r="T1683" t="s">
        <v>1149</v>
      </c>
      <c r="U1683" s="11" t="str">
        <f t="shared" si="130"/>
        <v>10:28:14 PM</v>
      </c>
      <c r="BL1683" s="2" t="s">
        <v>2833</v>
      </c>
    </row>
    <row r="1684" spans="1:64" x14ac:dyDescent="0.35">
      <c r="A1684">
        <v>3733</v>
      </c>
      <c r="B1684" t="s">
        <v>15</v>
      </c>
      <c r="C1684" s="1">
        <v>45525</v>
      </c>
      <c r="D1684" t="s">
        <v>23</v>
      </c>
      <c r="E1684" t="s">
        <v>29</v>
      </c>
      <c r="F1684">
        <v>5</v>
      </c>
      <c r="G1684">
        <v>722.1</v>
      </c>
      <c r="H1684">
        <v>3610.5</v>
      </c>
      <c r="I1684">
        <v>0</v>
      </c>
      <c r="J1684">
        <v>3610.5</v>
      </c>
      <c r="K1684">
        <v>142</v>
      </c>
      <c r="L1684" s="11">
        <v>0.82085648148148149</v>
      </c>
      <c r="M1684">
        <f t="shared" si="131"/>
        <v>21</v>
      </c>
      <c r="N1684">
        <f t="shared" si="132"/>
        <v>8</v>
      </c>
      <c r="O1684">
        <f t="shared" si="133"/>
        <v>2024</v>
      </c>
      <c r="P1684" s="4">
        <f t="shared" si="134"/>
        <v>45525</v>
      </c>
      <c r="Q1684" t="s">
        <v>1138</v>
      </c>
      <c r="R1684" t="s">
        <v>1137</v>
      </c>
      <c r="S1684">
        <v>4</v>
      </c>
      <c r="T1684" t="s">
        <v>1150</v>
      </c>
      <c r="U1684" s="11" t="str">
        <f t="shared" si="130"/>
        <v>07:42:02 PM</v>
      </c>
      <c r="BL1684" s="2" t="s">
        <v>2834</v>
      </c>
    </row>
    <row r="1685" spans="1:64" x14ac:dyDescent="0.35">
      <c r="A1685">
        <v>5732</v>
      </c>
      <c r="B1685" t="s">
        <v>31</v>
      </c>
      <c r="C1685" s="1">
        <v>45253</v>
      </c>
      <c r="D1685" t="s">
        <v>4</v>
      </c>
      <c r="E1685" t="s">
        <v>30</v>
      </c>
      <c r="F1685">
        <v>5</v>
      </c>
      <c r="G1685">
        <v>810.91</v>
      </c>
      <c r="H1685">
        <v>4054.55</v>
      </c>
      <c r="I1685">
        <v>810.91</v>
      </c>
      <c r="J1685">
        <v>3243.64</v>
      </c>
      <c r="K1685">
        <v>106</v>
      </c>
      <c r="L1685" s="11">
        <v>0.75488425925925928</v>
      </c>
      <c r="M1685">
        <f t="shared" si="131"/>
        <v>23</v>
      </c>
      <c r="N1685">
        <f t="shared" si="132"/>
        <v>11</v>
      </c>
      <c r="O1685">
        <f t="shared" si="133"/>
        <v>2023</v>
      </c>
      <c r="P1685" s="4">
        <f t="shared" si="134"/>
        <v>45253</v>
      </c>
      <c r="Q1685" t="s">
        <v>1138</v>
      </c>
      <c r="R1685" t="s">
        <v>1135</v>
      </c>
      <c r="S1685">
        <v>1</v>
      </c>
      <c r="T1685" t="s">
        <v>1146</v>
      </c>
      <c r="U1685" s="11" t="str">
        <f t="shared" si="130"/>
        <v>06:07:02 PM</v>
      </c>
      <c r="BL1685" s="2" t="s">
        <v>2835</v>
      </c>
    </row>
    <row r="1686" spans="1:64" x14ac:dyDescent="0.35">
      <c r="A1686">
        <v>4065</v>
      </c>
      <c r="B1686" t="s">
        <v>15</v>
      </c>
      <c r="C1686" s="1">
        <v>45389</v>
      </c>
      <c r="D1686" t="s">
        <v>34</v>
      </c>
      <c r="E1686" t="s">
        <v>38</v>
      </c>
      <c r="F1686">
        <v>5</v>
      </c>
      <c r="G1686">
        <v>2204.48</v>
      </c>
      <c r="H1686">
        <v>11022.4</v>
      </c>
      <c r="I1686">
        <v>0</v>
      </c>
      <c r="J1686">
        <v>11022.4</v>
      </c>
      <c r="K1686">
        <v>26</v>
      </c>
      <c r="L1686" s="11">
        <v>0.14237268518518517</v>
      </c>
      <c r="M1686">
        <f t="shared" si="131"/>
        <v>7</v>
      </c>
      <c r="N1686">
        <f t="shared" si="132"/>
        <v>4</v>
      </c>
      <c r="O1686">
        <f t="shared" si="133"/>
        <v>2024</v>
      </c>
      <c r="P1686" s="4">
        <f t="shared" si="134"/>
        <v>45389</v>
      </c>
      <c r="Q1686" t="s">
        <v>1134</v>
      </c>
      <c r="R1686" t="s">
        <v>1135</v>
      </c>
      <c r="S1686">
        <v>1</v>
      </c>
      <c r="T1686" t="s">
        <v>1141</v>
      </c>
      <c r="U1686" s="11" t="str">
        <f t="shared" si="130"/>
        <v>03:25:01 AM</v>
      </c>
      <c r="BL1686" s="2" t="s">
        <v>2836</v>
      </c>
    </row>
    <row r="1687" spans="1:64" x14ac:dyDescent="0.35">
      <c r="A1687">
        <v>8389</v>
      </c>
      <c r="B1687" t="s">
        <v>0</v>
      </c>
      <c r="C1687" s="1">
        <v>45626</v>
      </c>
      <c r="D1687" t="s">
        <v>6</v>
      </c>
      <c r="E1687" t="s">
        <v>37</v>
      </c>
      <c r="F1687">
        <v>1</v>
      </c>
      <c r="G1687">
        <v>1146.23</v>
      </c>
      <c r="H1687">
        <v>1146.23</v>
      </c>
      <c r="I1687">
        <v>263.11</v>
      </c>
      <c r="J1687">
        <v>883.12</v>
      </c>
      <c r="K1687">
        <v>243</v>
      </c>
      <c r="L1687" s="11">
        <v>0.33025462962962965</v>
      </c>
      <c r="M1687">
        <f t="shared" si="131"/>
        <v>30</v>
      </c>
      <c r="N1687">
        <f t="shared" si="132"/>
        <v>11</v>
      </c>
      <c r="O1687">
        <f t="shared" si="133"/>
        <v>2024</v>
      </c>
      <c r="P1687" s="4">
        <f t="shared" si="134"/>
        <v>45626</v>
      </c>
      <c r="Q1687" t="s">
        <v>1138</v>
      </c>
      <c r="R1687" t="s">
        <v>1137</v>
      </c>
      <c r="S1687">
        <v>5</v>
      </c>
      <c r="T1687" t="s">
        <v>1146</v>
      </c>
      <c r="U1687" s="11" t="str">
        <f t="shared" si="130"/>
        <v>07:55:34 AM</v>
      </c>
      <c r="BL1687" s="2" t="s">
        <v>2837</v>
      </c>
    </row>
    <row r="1688" spans="1:64" x14ac:dyDescent="0.35">
      <c r="A1688">
        <v>1878</v>
      </c>
      <c r="B1688" t="s">
        <v>31</v>
      </c>
      <c r="C1688" s="1">
        <v>45817</v>
      </c>
      <c r="D1688" t="s">
        <v>17</v>
      </c>
      <c r="E1688" t="s">
        <v>37</v>
      </c>
      <c r="F1688">
        <v>3</v>
      </c>
      <c r="G1688">
        <v>1452.5</v>
      </c>
      <c r="H1688">
        <v>4357.5</v>
      </c>
      <c r="I1688">
        <v>322.04000000000002</v>
      </c>
      <c r="J1688">
        <v>4035.46</v>
      </c>
      <c r="K1688">
        <v>297</v>
      </c>
      <c r="L1688" s="11">
        <v>0.52077546296296295</v>
      </c>
      <c r="M1688">
        <f t="shared" si="131"/>
        <v>9</v>
      </c>
      <c r="N1688">
        <f t="shared" si="132"/>
        <v>6</v>
      </c>
      <c r="O1688">
        <f t="shared" si="133"/>
        <v>2025</v>
      </c>
      <c r="P1688" s="4">
        <f t="shared" si="134"/>
        <v>45817</v>
      </c>
      <c r="Q1688" t="s">
        <v>1136</v>
      </c>
      <c r="R1688" t="s">
        <v>1135</v>
      </c>
      <c r="S1688">
        <v>2</v>
      </c>
      <c r="T1688" t="s">
        <v>1141</v>
      </c>
      <c r="U1688" s="11" t="str">
        <f t="shared" si="130"/>
        <v>12:29:55 PM</v>
      </c>
      <c r="BL1688" s="2" t="s">
        <v>2838</v>
      </c>
    </row>
    <row r="1689" spans="1:64" x14ac:dyDescent="0.35">
      <c r="A1689">
        <v>6882</v>
      </c>
      <c r="B1689" t="s">
        <v>15</v>
      </c>
      <c r="C1689" s="1">
        <v>45152</v>
      </c>
      <c r="D1689" t="s">
        <v>16</v>
      </c>
      <c r="E1689" t="s">
        <v>33</v>
      </c>
      <c r="F1689">
        <v>5</v>
      </c>
      <c r="G1689">
        <v>2021.88</v>
      </c>
      <c r="H1689">
        <v>10109.4</v>
      </c>
      <c r="I1689">
        <v>166.83</v>
      </c>
      <c r="J1689">
        <v>9942.57</v>
      </c>
      <c r="K1689">
        <v>314</v>
      </c>
      <c r="L1689" s="11">
        <v>0.44365740740740739</v>
      </c>
      <c r="M1689">
        <f t="shared" si="131"/>
        <v>14</v>
      </c>
      <c r="N1689">
        <f t="shared" si="132"/>
        <v>8</v>
      </c>
      <c r="O1689">
        <f t="shared" si="133"/>
        <v>2023</v>
      </c>
      <c r="P1689" s="4">
        <f t="shared" si="134"/>
        <v>45152</v>
      </c>
      <c r="Q1689" t="s">
        <v>1138</v>
      </c>
      <c r="R1689" t="s">
        <v>1137</v>
      </c>
      <c r="S1689">
        <v>2</v>
      </c>
      <c r="T1689" t="s">
        <v>1143</v>
      </c>
      <c r="U1689" s="11" t="str">
        <f t="shared" si="130"/>
        <v>10:38:52 AM</v>
      </c>
      <c r="BL1689" s="2" t="s">
        <v>2839</v>
      </c>
    </row>
    <row r="1690" spans="1:64" x14ac:dyDescent="0.35">
      <c r="A1690">
        <v>8939</v>
      </c>
      <c r="B1690" t="s">
        <v>13</v>
      </c>
      <c r="C1690" s="1">
        <v>45251</v>
      </c>
      <c r="D1690" t="s">
        <v>17</v>
      </c>
      <c r="E1690" t="s">
        <v>2</v>
      </c>
      <c r="F1690">
        <v>4</v>
      </c>
      <c r="G1690">
        <v>1601.07</v>
      </c>
      <c r="H1690">
        <v>6404.28</v>
      </c>
      <c r="I1690">
        <v>177.62</v>
      </c>
      <c r="J1690">
        <v>6226.66</v>
      </c>
      <c r="K1690">
        <v>168</v>
      </c>
      <c r="L1690" s="11">
        <v>0.86818287037037034</v>
      </c>
      <c r="M1690">
        <f t="shared" si="131"/>
        <v>21</v>
      </c>
      <c r="N1690">
        <f t="shared" si="132"/>
        <v>11</v>
      </c>
      <c r="O1690">
        <f t="shared" si="133"/>
        <v>2023</v>
      </c>
      <c r="P1690" s="4">
        <f t="shared" si="134"/>
        <v>45251</v>
      </c>
      <c r="Q1690" t="s">
        <v>1138</v>
      </c>
      <c r="R1690" t="s">
        <v>1137</v>
      </c>
      <c r="S1690">
        <v>5</v>
      </c>
      <c r="T1690" t="s">
        <v>1141</v>
      </c>
      <c r="U1690" s="11" t="str">
        <f t="shared" si="130"/>
        <v>08:50:11 PM</v>
      </c>
      <c r="BL1690" s="2" t="s">
        <v>2840</v>
      </c>
    </row>
    <row r="1691" spans="1:64" x14ac:dyDescent="0.35">
      <c r="A1691">
        <v>4196</v>
      </c>
      <c r="B1691" t="s">
        <v>19</v>
      </c>
      <c r="C1691" s="1">
        <v>45778</v>
      </c>
      <c r="D1691" t="s">
        <v>24</v>
      </c>
      <c r="E1691" t="s">
        <v>7</v>
      </c>
      <c r="F1691">
        <v>2</v>
      </c>
      <c r="G1691">
        <v>903.04</v>
      </c>
      <c r="H1691">
        <v>1806.08</v>
      </c>
      <c r="I1691">
        <v>0</v>
      </c>
      <c r="J1691">
        <v>1806.08</v>
      </c>
      <c r="K1691">
        <v>347</v>
      </c>
      <c r="L1691" s="11">
        <v>0.10906250000000001</v>
      </c>
      <c r="M1691">
        <f t="shared" si="131"/>
        <v>1</v>
      </c>
      <c r="N1691">
        <f t="shared" si="132"/>
        <v>5</v>
      </c>
      <c r="O1691">
        <f t="shared" si="133"/>
        <v>2025</v>
      </c>
      <c r="P1691" s="4">
        <f t="shared" si="134"/>
        <v>45778</v>
      </c>
      <c r="Q1691" t="s">
        <v>1136</v>
      </c>
      <c r="R1691" t="s">
        <v>1137</v>
      </c>
      <c r="S1691">
        <v>5</v>
      </c>
      <c r="T1691" t="s">
        <v>1145</v>
      </c>
      <c r="U1691" s="11" t="str">
        <f t="shared" si="130"/>
        <v>02:37:03 AM</v>
      </c>
      <c r="BL1691" s="2" t="s">
        <v>2841</v>
      </c>
    </row>
    <row r="1692" spans="1:64" x14ac:dyDescent="0.35">
      <c r="A1692">
        <v>7290</v>
      </c>
      <c r="B1692" t="s">
        <v>15</v>
      </c>
      <c r="C1692" s="1">
        <v>45581</v>
      </c>
      <c r="D1692" t="s">
        <v>4</v>
      </c>
      <c r="E1692" t="s">
        <v>18</v>
      </c>
      <c r="F1692">
        <v>4</v>
      </c>
      <c r="G1692">
        <v>97.94</v>
      </c>
      <c r="H1692">
        <v>391.76</v>
      </c>
      <c r="I1692">
        <v>39.01</v>
      </c>
      <c r="J1692">
        <v>352.75</v>
      </c>
      <c r="K1692">
        <v>457</v>
      </c>
      <c r="L1692" s="11">
        <v>0.62105324074074075</v>
      </c>
      <c r="M1692">
        <f t="shared" si="131"/>
        <v>16</v>
      </c>
      <c r="N1692">
        <f t="shared" si="132"/>
        <v>10</v>
      </c>
      <c r="O1692">
        <f t="shared" si="133"/>
        <v>2024</v>
      </c>
      <c r="P1692" s="4">
        <f t="shared" si="134"/>
        <v>45581</v>
      </c>
      <c r="Q1692" t="s">
        <v>1139</v>
      </c>
      <c r="R1692" t="s">
        <v>1137</v>
      </c>
      <c r="S1692">
        <v>4</v>
      </c>
      <c r="T1692" t="s">
        <v>1143</v>
      </c>
      <c r="U1692" s="11" t="str">
        <f t="shared" si="130"/>
        <v>02:54:19 PM</v>
      </c>
      <c r="BL1692" s="2" t="s">
        <v>2842</v>
      </c>
    </row>
    <row r="1693" spans="1:64" x14ac:dyDescent="0.35">
      <c r="A1693">
        <v>9281</v>
      </c>
      <c r="B1693" t="s">
        <v>8</v>
      </c>
      <c r="C1693" s="1">
        <v>45652</v>
      </c>
      <c r="D1693" t="s">
        <v>23</v>
      </c>
      <c r="E1693" t="s">
        <v>32</v>
      </c>
      <c r="F1693">
        <v>4</v>
      </c>
      <c r="G1693">
        <v>1702.33</v>
      </c>
      <c r="H1693">
        <v>6809.32</v>
      </c>
      <c r="I1693">
        <v>1021.73</v>
      </c>
      <c r="J1693">
        <v>5787.59</v>
      </c>
      <c r="K1693">
        <v>48</v>
      </c>
      <c r="L1693" s="11">
        <v>6.9108796296296293E-2</v>
      </c>
      <c r="M1693">
        <f t="shared" si="131"/>
        <v>26</v>
      </c>
      <c r="N1693">
        <f t="shared" si="132"/>
        <v>12</v>
      </c>
      <c r="O1693">
        <f t="shared" si="133"/>
        <v>2024</v>
      </c>
      <c r="P1693" s="4">
        <f t="shared" si="134"/>
        <v>45652</v>
      </c>
      <c r="Q1693" t="s">
        <v>1139</v>
      </c>
      <c r="R1693" t="s">
        <v>1137</v>
      </c>
      <c r="S1693">
        <v>5</v>
      </c>
      <c r="T1693" t="s">
        <v>1149</v>
      </c>
      <c r="U1693" s="11" t="str">
        <f t="shared" si="130"/>
        <v>01:39:31 AM</v>
      </c>
      <c r="BL1693" s="2" t="s">
        <v>2843</v>
      </c>
    </row>
    <row r="1694" spans="1:64" x14ac:dyDescent="0.35">
      <c r="A1694">
        <v>9109</v>
      </c>
      <c r="B1694" t="s">
        <v>3</v>
      </c>
      <c r="C1694" s="1">
        <v>45462</v>
      </c>
      <c r="D1694" t="s">
        <v>23</v>
      </c>
      <c r="E1694" t="s">
        <v>33</v>
      </c>
      <c r="F1694">
        <v>1</v>
      </c>
      <c r="G1694">
        <v>1918.13</v>
      </c>
      <c r="H1694">
        <v>1918.13</v>
      </c>
      <c r="I1694">
        <v>184.26</v>
      </c>
      <c r="J1694">
        <v>1733.87</v>
      </c>
      <c r="K1694">
        <v>109</v>
      </c>
      <c r="L1694" s="11">
        <v>0.51407407407407413</v>
      </c>
      <c r="M1694">
        <f t="shared" si="131"/>
        <v>19</v>
      </c>
      <c r="N1694">
        <f t="shared" si="132"/>
        <v>6</v>
      </c>
      <c r="O1694">
        <f t="shared" si="133"/>
        <v>2024</v>
      </c>
      <c r="P1694" s="4">
        <f t="shared" si="134"/>
        <v>45462</v>
      </c>
      <c r="Q1694" t="s">
        <v>1136</v>
      </c>
      <c r="R1694" t="s">
        <v>1135</v>
      </c>
      <c r="S1694">
        <v>3</v>
      </c>
      <c r="T1694" t="s">
        <v>1146</v>
      </c>
      <c r="U1694" s="11" t="str">
        <f t="shared" si="130"/>
        <v>12:20:16 PM</v>
      </c>
      <c r="BL1694" s="2" t="s">
        <v>2844</v>
      </c>
    </row>
    <row r="1695" spans="1:64" x14ac:dyDescent="0.35">
      <c r="A1695">
        <v>9056</v>
      </c>
      <c r="B1695" t="s">
        <v>3</v>
      </c>
      <c r="C1695" s="1">
        <v>45467</v>
      </c>
      <c r="D1695" t="s">
        <v>34</v>
      </c>
      <c r="E1695" t="s">
        <v>38</v>
      </c>
      <c r="F1695">
        <v>3</v>
      </c>
      <c r="G1695">
        <v>2314.87</v>
      </c>
      <c r="H1695">
        <v>6944.61</v>
      </c>
      <c r="I1695">
        <v>1041.6500000000001</v>
      </c>
      <c r="J1695">
        <v>5902.96</v>
      </c>
      <c r="K1695">
        <v>107</v>
      </c>
      <c r="L1695" s="11">
        <v>0.22248842592592594</v>
      </c>
      <c r="M1695">
        <f t="shared" si="131"/>
        <v>24</v>
      </c>
      <c r="N1695">
        <f t="shared" si="132"/>
        <v>6</v>
      </c>
      <c r="O1695">
        <f t="shared" si="133"/>
        <v>2024</v>
      </c>
      <c r="P1695" s="4">
        <f t="shared" si="134"/>
        <v>45467</v>
      </c>
      <c r="Q1695" t="s">
        <v>1134</v>
      </c>
      <c r="R1695" t="s">
        <v>1137</v>
      </c>
      <c r="S1695">
        <v>2</v>
      </c>
      <c r="T1695" t="s">
        <v>1145</v>
      </c>
      <c r="U1695" s="11" t="str">
        <f t="shared" si="130"/>
        <v>05:20:23 AM</v>
      </c>
      <c r="BL1695" s="2" t="s">
        <v>2845</v>
      </c>
    </row>
    <row r="1696" spans="1:64" x14ac:dyDescent="0.35">
      <c r="A1696">
        <v>8272</v>
      </c>
      <c r="B1696" t="s">
        <v>8</v>
      </c>
      <c r="C1696" s="1">
        <v>45524</v>
      </c>
      <c r="D1696" t="s">
        <v>6</v>
      </c>
      <c r="E1696" t="s">
        <v>21</v>
      </c>
      <c r="F1696">
        <v>2</v>
      </c>
      <c r="G1696">
        <v>2133.9299999999998</v>
      </c>
      <c r="H1696">
        <v>4267.8599999999997</v>
      </c>
      <c r="I1696">
        <v>639.92999999999995</v>
      </c>
      <c r="J1696">
        <v>3627.93</v>
      </c>
      <c r="K1696">
        <v>312</v>
      </c>
      <c r="L1696" s="11">
        <v>0.70108796296296294</v>
      </c>
      <c r="M1696">
        <f t="shared" si="131"/>
        <v>20</v>
      </c>
      <c r="N1696">
        <f t="shared" si="132"/>
        <v>8</v>
      </c>
      <c r="O1696">
        <f t="shared" si="133"/>
        <v>2024</v>
      </c>
      <c r="P1696" s="4">
        <f t="shared" si="134"/>
        <v>45524</v>
      </c>
      <c r="Q1696" t="s">
        <v>1138</v>
      </c>
      <c r="R1696" t="s">
        <v>1135</v>
      </c>
      <c r="S1696">
        <v>5</v>
      </c>
      <c r="T1696" t="s">
        <v>1148</v>
      </c>
      <c r="U1696" s="11" t="str">
        <f t="shared" si="130"/>
        <v>04:49:34 PM</v>
      </c>
      <c r="BL1696" s="2" t="s">
        <v>2846</v>
      </c>
    </row>
    <row r="1697" spans="1:64" x14ac:dyDescent="0.35">
      <c r="A1697">
        <v>3740</v>
      </c>
      <c r="B1697" t="s">
        <v>3</v>
      </c>
      <c r="C1697" s="1">
        <v>45209</v>
      </c>
      <c r="D1697" t="s">
        <v>34</v>
      </c>
      <c r="E1697" t="s">
        <v>5</v>
      </c>
      <c r="F1697">
        <v>3</v>
      </c>
      <c r="G1697">
        <v>632.46</v>
      </c>
      <c r="H1697">
        <v>1897.38</v>
      </c>
      <c r="I1697">
        <v>284.69</v>
      </c>
      <c r="J1697">
        <v>1612.69</v>
      </c>
      <c r="K1697">
        <v>134</v>
      </c>
      <c r="L1697" s="11">
        <v>0.17004629629629631</v>
      </c>
      <c r="M1697">
        <f t="shared" si="131"/>
        <v>10</v>
      </c>
      <c r="N1697">
        <f t="shared" si="132"/>
        <v>10</v>
      </c>
      <c r="O1697">
        <f t="shared" si="133"/>
        <v>2023</v>
      </c>
      <c r="P1697" s="4">
        <f t="shared" si="134"/>
        <v>45209</v>
      </c>
      <c r="Q1697" t="s">
        <v>1136</v>
      </c>
      <c r="R1697" t="s">
        <v>1135</v>
      </c>
      <c r="S1697">
        <v>3</v>
      </c>
      <c r="T1697" t="s">
        <v>1141</v>
      </c>
      <c r="U1697" s="11" t="str">
        <f t="shared" si="130"/>
        <v>04:04:52 AM</v>
      </c>
      <c r="BL1697" s="2" t="s">
        <v>2847</v>
      </c>
    </row>
    <row r="1698" spans="1:64" x14ac:dyDescent="0.35">
      <c r="A1698">
        <v>1505</v>
      </c>
      <c r="B1698" t="s">
        <v>25</v>
      </c>
      <c r="C1698" s="1">
        <v>45763</v>
      </c>
      <c r="D1698" t="s">
        <v>23</v>
      </c>
      <c r="E1698" t="s">
        <v>26</v>
      </c>
      <c r="F1698">
        <v>3</v>
      </c>
      <c r="G1698">
        <v>1830.98</v>
      </c>
      <c r="H1698">
        <v>5492.94</v>
      </c>
      <c r="I1698">
        <v>549.46</v>
      </c>
      <c r="J1698">
        <v>4943.4799999999996</v>
      </c>
      <c r="K1698">
        <v>424</v>
      </c>
      <c r="L1698" s="11">
        <v>0.31591435185185185</v>
      </c>
      <c r="M1698">
        <f t="shared" si="131"/>
        <v>16</v>
      </c>
      <c r="N1698">
        <f t="shared" si="132"/>
        <v>4</v>
      </c>
      <c r="O1698">
        <f t="shared" si="133"/>
        <v>2025</v>
      </c>
      <c r="P1698" s="4">
        <f t="shared" si="134"/>
        <v>45763</v>
      </c>
      <c r="Q1698" t="s">
        <v>1138</v>
      </c>
      <c r="R1698" t="s">
        <v>1137</v>
      </c>
      <c r="S1698">
        <v>3</v>
      </c>
      <c r="T1698" t="s">
        <v>1144</v>
      </c>
      <c r="U1698" s="11" t="str">
        <f t="shared" si="130"/>
        <v>07:34:55 AM</v>
      </c>
      <c r="BL1698" s="2" t="s">
        <v>2848</v>
      </c>
    </row>
    <row r="1699" spans="1:64" x14ac:dyDescent="0.35">
      <c r="A1699">
        <v>4613</v>
      </c>
      <c r="B1699" t="s">
        <v>19</v>
      </c>
      <c r="C1699" s="1">
        <v>45371</v>
      </c>
      <c r="D1699" t="s">
        <v>9</v>
      </c>
      <c r="E1699" t="s">
        <v>21</v>
      </c>
      <c r="F1699">
        <v>4</v>
      </c>
      <c r="G1699">
        <v>95.45</v>
      </c>
      <c r="H1699">
        <v>381.8</v>
      </c>
      <c r="I1699">
        <v>404.21</v>
      </c>
      <c r="J1699">
        <v>-22.41</v>
      </c>
      <c r="K1699">
        <v>481</v>
      </c>
      <c r="L1699" s="11">
        <v>0.58868055555555554</v>
      </c>
      <c r="M1699">
        <f t="shared" si="131"/>
        <v>20</v>
      </c>
      <c r="N1699">
        <f t="shared" si="132"/>
        <v>3</v>
      </c>
      <c r="O1699">
        <f t="shared" si="133"/>
        <v>2024</v>
      </c>
      <c r="P1699" s="4">
        <f t="shared" si="134"/>
        <v>45371</v>
      </c>
      <c r="Q1699" t="s">
        <v>1134</v>
      </c>
      <c r="R1699" t="s">
        <v>1137</v>
      </c>
      <c r="S1699">
        <v>3</v>
      </c>
      <c r="T1699" t="s">
        <v>1149</v>
      </c>
      <c r="U1699" s="11" t="str">
        <f t="shared" si="130"/>
        <v>02:07:42 PM</v>
      </c>
      <c r="BL1699" s="2" t="s">
        <v>2849</v>
      </c>
    </row>
    <row r="1700" spans="1:64" x14ac:dyDescent="0.35">
      <c r="A1700">
        <v>1535</v>
      </c>
      <c r="B1700" t="s">
        <v>25</v>
      </c>
      <c r="C1700" s="1">
        <v>45358</v>
      </c>
      <c r="D1700" t="s">
        <v>16</v>
      </c>
      <c r="E1700" t="s">
        <v>30</v>
      </c>
      <c r="F1700">
        <v>4</v>
      </c>
      <c r="G1700">
        <v>1928.09</v>
      </c>
      <c r="H1700">
        <v>7712.36</v>
      </c>
      <c r="I1700">
        <v>1542.14</v>
      </c>
      <c r="J1700">
        <v>6170.22</v>
      </c>
      <c r="K1700">
        <v>9</v>
      </c>
      <c r="L1700" s="11">
        <v>0.64232638888888893</v>
      </c>
      <c r="M1700">
        <f t="shared" si="131"/>
        <v>7</v>
      </c>
      <c r="N1700">
        <f t="shared" si="132"/>
        <v>3</v>
      </c>
      <c r="O1700">
        <f t="shared" si="133"/>
        <v>2024</v>
      </c>
      <c r="P1700" s="4">
        <f t="shared" si="134"/>
        <v>45358</v>
      </c>
      <c r="Q1700" t="s">
        <v>1138</v>
      </c>
      <c r="R1700" t="s">
        <v>1135</v>
      </c>
      <c r="S1700">
        <v>3</v>
      </c>
      <c r="T1700" t="s">
        <v>1150</v>
      </c>
      <c r="U1700" s="11" t="str">
        <f t="shared" si="130"/>
        <v>03:24:57 PM</v>
      </c>
      <c r="BL1700" s="2" t="s">
        <v>2850</v>
      </c>
    </row>
    <row r="1701" spans="1:64" x14ac:dyDescent="0.35">
      <c r="A1701">
        <v>4683</v>
      </c>
      <c r="B1701" t="s">
        <v>19</v>
      </c>
      <c r="C1701" s="1">
        <v>45562</v>
      </c>
      <c r="D1701" t="s">
        <v>24</v>
      </c>
      <c r="E1701" t="s">
        <v>12</v>
      </c>
      <c r="F1701">
        <v>1</v>
      </c>
      <c r="G1701">
        <v>856.56</v>
      </c>
      <c r="H1701">
        <v>856.56</v>
      </c>
      <c r="I1701">
        <v>128.65</v>
      </c>
      <c r="J1701">
        <v>727.91</v>
      </c>
      <c r="K1701">
        <v>404</v>
      </c>
      <c r="L1701" s="11">
        <v>3.0567129629629628E-2</v>
      </c>
      <c r="M1701">
        <f t="shared" si="131"/>
        <v>27</v>
      </c>
      <c r="N1701">
        <f t="shared" si="132"/>
        <v>9</v>
      </c>
      <c r="O1701">
        <f t="shared" si="133"/>
        <v>2024</v>
      </c>
      <c r="P1701" s="4">
        <f t="shared" si="134"/>
        <v>45562</v>
      </c>
      <c r="Q1701" t="s">
        <v>1136</v>
      </c>
      <c r="R1701" t="s">
        <v>1135</v>
      </c>
      <c r="S1701">
        <v>4</v>
      </c>
      <c r="T1701" t="s">
        <v>1142</v>
      </c>
      <c r="U1701" s="11" t="str">
        <f t="shared" si="130"/>
        <v>12:44:01 AM</v>
      </c>
      <c r="BL1701" s="2" t="s">
        <v>2851</v>
      </c>
    </row>
    <row r="1702" spans="1:64" x14ac:dyDescent="0.35">
      <c r="A1702">
        <v>5729</v>
      </c>
      <c r="B1702" t="s">
        <v>3</v>
      </c>
      <c r="C1702" s="1">
        <v>45275</v>
      </c>
      <c r="D1702" t="s">
        <v>27</v>
      </c>
      <c r="E1702" t="s">
        <v>33</v>
      </c>
      <c r="F1702">
        <v>2</v>
      </c>
      <c r="G1702">
        <v>1568.7</v>
      </c>
      <c r="H1702">
        <v>3137.4</v>
      </c>
      <c r="I1702">
        <v>107.9</v>
      </c>
      <c r="J1702">
        <v>3029.5</v>
      </c>
      <c r="K1702">
        <v>225</v>
      </c>
      <c r="L1702" s="11">
        <v>0.38805555555555554</v>
      </c>
      <c r="M1702">
        <f t="shared" si="131"/>
        <v>15</v>
      </c>
      <c r="N1702">
        <f t="shared" si="132"/>
        <v>12</v>
      </c>
      <c r="O1702">
        <f t="shared" si="133"/>
        <v>2023</v>
      </c>
      <c r="P1702" s="4">
        <f t="shared" si="134"/>
        <v>45275</v>
      </c>
      <c r="Q1702" t="s">
        <v>1138</v>
      </c>
      <c r="R1702" t="s">
        <v>1135</v>
      </c>
      <c r="S1702">
        <v>3</v>
      </c>
      <c r="T1702" t="s">
        <v>1148</v>
      </c>
      <c r="U1702" s="11" t="str">
        <f t="shared" si="130"/>
        <v>09:18:48 AM</v>
      </c>
      <c r="BL1702" s="2" t="s">
        <v>2852</v>
      </c>
    </row>
    <row r="1703" spans="1:64" x14ac:dyDescent="0.35">
      <c r="A1703">
        <v>8492</v>
      </c>
      <c r="B1703" t="s">
        <v>8</v>
      </c>
      <c r="C1703" s="1">
        <v>45584</v>
      </c>
      <c r="D1703" t="s">
        <v>11</v>
      </c>
      <c r="E1703" t="s">
        <v>37</v>
      </c>
      <c r="F1703">
        <v>5</v>
      </c>
      <c r="G1703">
        <v>1213.46</v>
      </c>
      <c r="H1703">
        <v>6067.3</v>
      </c>
      <c r="I1703">
        <v>0</v>
      </c>
      <c r="J1703">
        <v>6067.3</v>
      </c>
      <c r="K1703">
        <v>497</v>
      </c>
      <c r="L1703" s="11">
        <v>0.1695949074074074</v>
      </c>
      <c r="M1703">
        <f t="shared" si="131"/>
        <v>19</v>
      </c>
      <c r="N1703">
        <f t="shared" si="132"/>
        <v>10</v>
      </c>
      <c r="O1703">
        <f t="shared" si="133"/>
        <v>2024</v>
      </c>
      <c r="P1703" s="4">
        <f t="shared" si="134"/>
        <v>45584</v>
      </c>
      <c r="Q1703" t="s">
        <v>1139</v>
      </c>
      <c r="R1703" t="s">
        <v>1137</v>
      </c>
      <c r="S1703">
        <v>4</v>
      </c>
      <c r="T1703" t="s">
        <v>1142</v>
      </c>
      <c r="U1703" s="11" t="str">
        <f t="shared" si="130"/>
        <v>04:04:13 AM</v>
      </c>
      <c r="BL1703" s="2" t="s">
        <v>2853</v>
      </c>
    </row>
    <row r="1704" spans="1:64" x14ac:dyDescent="0.35">
      <c r="A1704">
        <v>9115</v>
      </c>
      <c r="B1704" t="s">
        <v>13</v>
      </c>
      <c r="C1704" s="1">
        <v>45571</v>
      </c>
      <c r="D1704" t="s">
        <v>34</v>
      </c>
      <c r="E1704" t="s">
        <v>14</v>
      </c>
      <c r="F1704">
        <v>3</v>
      </c>
      <c r="G1704">
        <v>2457.63</v>
      </c>
      <c r="H1704">
        <v>7372.89</v>
      </c>
      <c r="I1704">
        <v>117.03</v>
      </c>
      <c r="J1704">
        <v>7255.86</v>
      </c>
      <c r="K1704">
        <v>300</v>
      </c>
      <c r="L1704" s="11">
        <v>0.76662037037037034</v>
      </c>
      <c r="M1704">
        <f t="shared" si="131"/>
        <v>6</v>
      </c>
      <c r="N1704">
        <f t="shared" si="132"/>
        <v>10</v>
      </c>
      <c r="O1704">
        <f t="shared" si="133"/>
        <v>2024</v>
      </c>
      <c r="P1704" s="4">
        <f t="shared" si="134"/>
        <v>45571</v>
      </c>
      <c r="Q1704" t="s">
        <v>1134</v>
      </c>
      <c r="R1704" t="s">
        <v>1135</v>
      </c>
      <c r="S1704">
        <v>4</v>
      </c>
      <c r="T1704" t="s">
        <v>1148</v>
      </c>
      <c r="U1704" s="11" t="str">
        <f t="shared" si="130"/>
        <v>06:23:56 PM</v>
      </c>
      <c r="BL1704" s="2" t="s">
        <v>2854</v>
      </c>
    </row>
    <row r="1705" spans="1:64" x14ac:dyDescent="0.35">
      <c r="A1705">
        <v>9369</v>
      </c>
      <c r="B1705" t="s">
        <v>25</v>
      </c>
      <c r="C1705" s="1">
        <v>45232</v>
      </c>
      <c r="D1705" t="s">
        <v>24</v>
      </c>
      <c r="E1705" t="s">
        <v>7</v>
      </c>
      <c r="F1705">
        <v>3</v>
      </c>
      <c r="G1705">
        <v>1137.0999999999999</v>
      </c>
      <c r="H1705">
        <v>3411.3</v>
      </c>
      <c r="I1705">
        <v>341.13</v>
      </c>
      <c r="J1705">
        <v>3070.17</v>
      </c>
      <c r="K1705">
        <v>145</v>
      </c>
      <c r="L1705" s="11">
        <v>5.3043981481481484E-2</v>
      </c>
      <c r="M1705">
        <f t="shared" si="131"/>
        <v>2</v>
      </c>
      <c r="N1705">
        <f t="shared" si="132"/>
        <v>11</v>
      </c>
      <c r="O1705">
        <f t="shared" si="133"/>
        <v>2023</v>
      </c>
      <c r="P1705" s="4">
        <f t="shared" si="134"/>
        <v>45232</v>
      </c>
      <c r="Q1705" t="s">
        <v>1134</v>
      </c>
      <c r="R1705" t="s">
        <v>1137</v>
      </c>
      <c r="S1705">
        <v>3</v>
      </c>
      <c r="T1705" t="s">
        <v>1146</v>
      </c>
      <c r="U1705" s="11" t="str">
        <f t="shared" si="130"/>
        <v>01:16:23 AM</v>
      </c>
      <c r="BL1705" s="2" t="s">
        <v>2855</v>
      </c>
    </row>
    <row r="1706" spans="1:64" x14ac:dyDescent="0.35">
      <c r="A1706">
        <v>2871</v>
      </c>
      <c r="B1706" t="s">
        <v>8</v>
      </c>
      <c r="C1706" s="1">
        <v>45353</v>
      </c>
      <c r="D1706" t="s">
        <v>4</v>
      </c>
      <c r="E1706" t="s">
        <v>10</v>
      </c>
      <c r="F1706">
        <v>4</v>
      </c>
      <c r="G1706">
        <v>2066.6999999999998</v>
      </c>
      <c r="H1706">
        <v>8266.7999999999993</v>
      </c>
      <c r="I1706">
        <v>182.6</v>
      </c>
      <c r="J1706">
        <v>8084.2</v>
      </c>
      <c r="K1706">
        <v>447</v>
      </c>
      <c r="L1706" s="11">
        <v>0.46608796296296295</v>
      </c>
      <c r="M1706">
        <f t="shared" si="131"/>
        <v>2</v>
      </c>
      <c r="N1706">
        <f t="shared" si="132"/>
        <v>3</v>
      </c>
      <c r="O1706">
        <f t="shared" si="133"/>
        <v>2024</v>
      </c>
      <c r="P1706" s="4">
        <f t="shared" si="134"/>
        <v>45353</v>
      </c>
      <c r="Q1706" t="s">
        <v>1134</v>
      </c>
      <c r="R1706" t="s">
        <v>1137</v>
      </c>
      <c r="S1706">
        <v>2</v>
      </c>
      <c r="T1706" t="s">
        <v>1150</v>
      </c>
      <c r="U1706" s="11" t="str">
        <f t="shared" ref="U1706:U1769" si="135">TEXT(L1706,"hh:mm:ss AM/PM")</f>
        <v>11:11:10 AM</v>
      </c>
      <c r="BL1706" s="2" t="s">
        <v>2856</v>
      </c>
    </row>
    <row r="1707" spans="1:64" x14ac:dyDescent="0.35">
      <c r="A1707">
        <v>9898</v>
      </c>
      <c r="B1707" t="s">
        <v>31</v>
      </c>
      <c r="C1707" s="1">
        <v>45784</v>
      </c>
      <c r="D1707" t="s">
        <v>27</v>
      </c>
      <c r="E1707" t="s">
        <v>32</v>
      </c>
      <c r="F1707">
        <v>4</v>
      </c>
      <c r="G1707">
        <v>672.3</v>
      </c>
      <c r="H1707">
        <v>2689.2</v>
      </c>
      <c r="I1707">
        <v>258.95999999999998</v>
      </c>
      <c r="J1707">
        <v>2430.2399999999998</v>
      </c>
      <c r="K1707">
        <v>293</v>
      </c>
      <c r="L1707" s="11">
        <v>0.41826388888888888</v>
      </c>
      <c r="M1707">
        <f t="shared" si="131"/>
        <v>7</v>
      </c>
      <c r="N1707">
        <f t="shared" si="132"/>
        <v>5</v>
      </c>
      <c r="O1707">
        <f t="shared" si="133"/>
        <v>2025</v>
      </c>
      <c r="P1707" s="4">
        <f t="shared" si="134"/>
        <v>45784</v>
      </c>
      <c r="Q1707" t="s">
        <v>1136</v>
      </c>
      <c r="R1707" t="s">
        <v>1137</v>
      </c>
      <c r="S1707">
        <v>3</v>
      </c>
      <c r="T1707" t="s">
        <v>1144</v>
      </c>
      <c r="U1707" s="11" t="str">
        <f t="shared" si="135"/>
        <v>10:02:18 AM</v>
      </c>
      <c r="BL1707" s="2" t="s">
        <v>2857</v>
      </c>
    </row>
    <row r="1708" spans="1:64" x14ac:dyDescent="0.35">
      <c r="A1708">
        <v>7010</v>
      </c>
      <c r="B1708" t="s">
        <v>19</v>
      </c>
      <c r="C1708" s="1">
        <v>45566</v>
      </c>
      <c r="D1708" t="s">
        <v>1</v>
      </c>
      <c r="E1708" t="s">
        <v>30</v>
      </c>
      <c r="F1708">
        <v>1</v>
      </c>
      <c r="G1708">
        <v>2177.92</v>
      </c>
      <c r="H1708">
        <v>2177.92</v>
      </c>
      <c r="I1708">
        <v>327.02</v>
      </c>
      <c r="J1708">
        <v>1850.9</v>
      </c>
      <c r="K1708">
        <v>358</v>
      </c>
      <c r="L1708" s="11">
        <v>0.68840277777777781</v>
      </c>
      <c r="M1708">
        <f t="shared" si="131"/>
        <v>1</v>
      </c>
      <c r="N1708">
        <f t="shared" si="132"/>
        <v>10</v>
      </c>
      <c r="O1708">
        <f t="shared" si="133"/>
        <v>2024</v>
      </c>
      <c r="P1708" s="4">
        <f t="shared" si="134"/>
        <v>45566</v>
      </c>
      <c r="Q1708" t="s">
        <v>1134</v>
      </c>
      <c r="R1708" t="s">
        <v>1135</v>
      </c>
      <c r="S1708">
        <v>3</v>
      </c>
      <c r="T1708" t="s">
        <v>1148</v>
      </c>
      <c r="U1708" s="11" t="str">
        <f t="shared" si="135"/>
        <v>04:31:18 PM</v>
      </c>
      <c r="BL1708" s="2" t="s">
        <v>2858</v>
      </c>
    </row>
    <row r="1709" spans="1:64" x14ac:dyDescent="0.35">
      <c r="A1709">
        <v>1681</v>
      </c>
      <c r="B1709" t="s">
        <v>15</v>
      </c>
      <c r="C1709" s="1">
        <v>45735</v>
      </c>
      <c r="D1709" t="s">
        <v>6</v>
      </c>
      <c r="E1709" t="s">
        <v>18</v>
      </c>
      <c r="F1709">
        <v>3</v>
      </c>
      <c r="G1709">
        <v>1209.31</v>
      </c>
      <c r="H1709">
        <v>3627.93</v>
      </c>
      <c r="I1709">
        <v>544.48</v>
      </c>
      <c r="J1709">
        <v>3083.45</v>
      </c>
      <c r="K1709">
        <v>235</v>
      </c>
      <c r="L1709" s="11">
        <v>0.57482638888888893</v>
      </c>
      <c r="M1709">
        <f t="shared" si="131"/>
        <v>19</v>
      </c>
      <c r="N1709">
        <f t="shared" si="132"/>
        <v>3</v>
      </c>
      <c r="O1709">
        <f t="shared" si="133"/>
        <v>2025</v>
      </c>
      <c r="P1709" s="4">
        <f t="shared" si="134"/>
        <v>45735</v>
      </c>
      <c r="Q1709" t="s">
        <v>1139</v>
      </c>
      <c r="R1709" t="s">
        <v>1137</v>
      </c>
      <c r="S1709">
        <v>3</v>
      </c>
      <c r="T1709" t="s">
        <v>1141</v>
      </c>
      <c r="U1709" s="11" t="str">
        <f t="shared" si="135"/>
        <v>01:47:45 PM</v>
      </c>
      <c r="BL1709" s="2" t="s">
        <v>2859</v>
      </c>
    </row>
    <row r="1710" spans="1:64" x14ac:dyDescent="0.35">
      <c r="A1710">
        <v>8231</v>
      </c>
      <c r="B1710" t="s">
        <v>31</v>
      </c>
      <c r="C1710" s="1">
        <v>45569</v>
      </c>
      <c r="D1710" t="s">
        <v>16</v>
      </c>
      <c r="E1710" t="s">
        <v>2</v>
      </c>
      <c r="F1710">
        <v>3</v>
      </c>
      <c r="G1710">
        <v>1534.67</v>
      </c>
      <c r="H1710">
        <v>4604.01</v>
      </c>
      <c r="I1710">
        <v>920.47</v>
      </c>
      <c r="J1710">
        <v>3683.54</v>
      </c>
      <c r="K1710">
        <v>477</v>
      </c>
      <c r="L1710" s="11">
        <v>0.46293981481481483</v>
      </c>
      <c r="M1710">
        <f t="shared" si="131"/>
        <v>4</v>
      </c>
      <c r="N1710">
        <f t="shared" si="132"/>
        <v>10</v>
      </c>
      <c r="O1710">
        <f t="shared" si="133"/>
        <v>2024</v>
      </c>
      <c r="P1710" s="4">
        <f t="shared" si="134"/>
        <v>45569</v>
      </c>
      <c r="Q1710" t="s">
        <v>1136</v>
      </c>
      <c r="R1710" t="s">
        <v>1137</v>
      </c>
      <c r="S1710">
        <v>2</v>
      </c>
      <c r="T1710" t="s">
        <v>1150</v>
      </c>
      <c r="U1710" s="11" t="str">
        <f t="shared" si="135"/>
        <v>11:06:38 AM</v>
      </c>
      <c r="BL1710" s="2" t="s">
        <v>2860</v>
      </c>
    </row>
    <row r="1711" spans="1:64" x14ac:dyDescent="0.35">
      <c r="A1711">
        <v>4580</v>
      </c>
      <c r="B1711" t="s">
        <v>0</v>
      </c>
      <c r="C1711" s="1">
        <v>45475</v>
      </c>
      <c r="D1711" t="s">
        <v>16</v>
      </c>
      <c r="E1711" t="s">
        <v>5</v>
      </c>
      <c r="F1711">
        <v>4</v>
      </c>
      <c r="G1711">
        <v>1035.8399999999999</v>
      </c>
      <c r="H1711">
        <v>4143.3599999999997</v>
      </c>
      <c r="I1711">
        <v>102.92</v>
      </c>
      <c r="J1711">
        <v>4040.44</v>
      </c>
      <c r="K1711">
        <v>249</v>
      </c>
      <c r="L1711" s="11">
        <v>0.67123842592592597</v>
      </c>
      <c r="M1711">
        <f t="shared" si="131"/>
        <v>2</v>
      </c>
      <c r="N1711">
        <f t="shared" si="132"/>
        <v>7</v>
      </c>
      <c r="O1711">
        <f t="shared" si="133"/>
        <v>2024</v>
      </c>
      <c r="P1711" s="4">
        <f t="shared" si="134"/>
        <v>45475</v>
      </c>
      <c r="Q1711" t="s">
        <v>1139</v>
      </c>
      <c r="R1711" t="s">
        <v>1137</v>
      </c>
      <c r="S1711">
        <v>1</v>
      </c>
      <c r="T1711" t="s">
        <v>1144</v>
      </c>
      <c r="U1711" s="11" t="str">
        <f t="shared" si="135"/>
        <v>04:06:35 PM</v>
      </c>
      <c r="BL1711" s="2" t="s">
        <v>2861</v>
      </c>
    </row>
    <row r="1712" spans="1:64" x14ac:dyDescent="0.35">
      <c r="A1712">
        <v>2677</v>
      </c>
      <c r="B1712" t="s">
        <v>3</v>
      </c>
      <c r="C1712" s="1">
        <v>45716</v>
      </c>
      <c r="D1712" t="s">
        <v>11</v>
      </c>
      <c r="E1712" t="s">
        <v>28</v>
      </c>
      <c r="F1712">
        <v>5</v>
      </c>
      <c r="G1712">
        <v>1134.6099999999999</v>
      </c>
      <c r="H1712">
        <v>5673.05</v>
      </c>
      <c r="I1712">
        <v>246.51</v>
      </c>
      <c r="J1712">
        <v>5426.54</v>
      </c>
      <c r="K1712">
        <v>16</v>
      </c>
      <c r="L1712" s="11">
        <v>0.22832175925925927</v>
      </c>
      <c r="M1712">
        <f t="shared" si="131"/>
        <v>28</v>
      </c>
      <c r="N1712">
        <f t="shared" si="132"/>
        <v>2</v>
      </c>
      <c r="O1712">
        <f t="shared" si="133"/>
        <v>2025</v>
      </c>
      <c r="P1712" s="4">
        <f t="shared" si="134"/>
        <v>45716</v>
      </c>
      <c r="Q1712" t="s">
        <v>1138</v>
      </c>
      <c r="R1712" t="s">
        <v>1137</v>
      </c>
      <c r="S1712">
        <v>1</v>
      </c>
      <c r="T1712" t="s">
        <v>1142</v>
      </c>
      <c r="U1712" s="11" t="str">
        <f t="shared" si="135"/>
        <v>05:28:47 AM</v>
      </c>
      <c r="BL1712" s="2" t="s">
        <v>2862</v>
      </c>
    </row>
    <row r="1713" spans="1:64" x14ac:dyDescent="0.35">
      <c r="A1713">
        <v>5055</v>
      </c>
      <c r="B1713" t="s">
        <v>25</v>
      </c>
      <c r="C1713" s="1">
        <v>45376</v>
      </c>
      <c r="D1713" t="s">
        <v>16</v>
      </c>
      <c r="E1713" t="s">
        <v>32</v>
      </c>
      <c r="F1713">
        <v>1</v>
      </c>
      <c r="G1713">
        <v>1442.54</v>
      </c>
      <c r="H1713">
        <v>1442.54</v>
      </c>
      <c r="I1713">
        <v>135.29</v>
      </c>
      <c r="J1713">
        <v>1307.25</v>
      </c>
      <c r="K1713">
        <v>498</v>
      </c>
      <c r="L1713" s="11">
        <v>0.21395833333333333</v>
      </c>
      <c r="M1713">
        <f t="shared" si="131"/>
        <v>25</v>
      </c>
      <c r="N1713">
        <f t="shared" si="132"/>
        <v>3</v>
      </c>
      <c r="O1713">
        <f t="shared" si="133"/>
        <v>2024</v>
      </c>
      <c r="P1713" s="4">
        <f t="shared" si="134"/>
        <v>45376</v>
      </c>
      <c r="Q1713" t="s">
        <v>1138</v>
      </c>
      <c r="R1713" t="s">
        <v>1137</v>
      </c>
      <c r="S1713">
        <v>4</v>
      </c>
      <c r="T1713" t="s">
        <v>1150</v>
      </c>
      <c r="U1713" s="11" t="str">
        <f t="shared" si="135"/>
        <v>05:08:06 AM</v>
      </c>
      <c r="BL1713" s="2" t="s">
        <v>2863</v>
      </c>
    </row>
    <row r="1714" spans="1:64" x14ac:dyDescent="0.35">
      <c r="A1714">
        <v>1528</v>
      </c>
      <c r="B1714" t="s">
        <v>3</v>
      </c>
      <c r="C1714" s="1">
        <v>45494</v>
      </c>
      <c r="D1714" t="s">
        <v>4</v>
      </c>
      <c r="E1714" t="s">
        <v>22</v>
      </c>
      <c r="F1714">
        <v>5</v>
      </c>
      <c r="G1714">
        <v>1647.55</v>
      </c>
      <c r="H1714">
        <v>8237.75</v>
      </c>
      <c r="I1714">
        <v>0</v>
      </c>
      <c r="J1714">
        <v>8237.75</v>
      </c>
      <c r="K1714">
        <v>97</v>
      </c>
      <c r="L1714" s="11">
        <v>0.81274305555555559</v>
      </c>
      <c r="M1714">
        <f t="shared" si="131"/>
        <v>21</v>
      </c>
      <c r="N1714">
        <f t="shared" si="132"/>
        <v>7</v>
      </c>
      <c r="O1714">
        <f t="shared" si="133"/>
        <v>2024</v>
      </c>
      <c r="P1714" s="4">
        <f t="shared" si="134"/>
        <v>45494</v>
      </c>
      <c r="Q1714" t="s">
        <v>1138</v>
      </c>
      <c r="R1714" t="s">
        <v>1135</v>
      </c>
      <c r="S1714">
        <v>4</v>
      </c>
      <c r="T1714" t="s">
        <v>1141</v>
      </c>
      <c r="U1714" s="11" t="str">
        <f t="shared" si="135"/>
        <v>07:30:21 PM</v>
      </c>
      <c r="BL1714" s="2" t="s">
        <v>2864</v>
      </c>
    </row>
    <row r="1715" spans="1:64" x14ac:dyDescent="0.35">
      <c r="A1715">
        <v>5305</v>
      </c>
      <c r="B1715" t="s">
        <v>13</v>
      </c>
      <c r="C1715" s="1">
        <v>45415</v>
      </c>
      <c r="D1715" t="s">
        <v>24</v>
      </c>
      <c r="E1715" t="s">
        <v>22</v>
      </c>
      <c r="F1715">
        <v>4</v>
      </c>
      <c r="G1715">
        <v>2222.7399999999998</v>
      </c>
      <c r="H1715">
        <v>8890.9599999999991</v>
      </c>
      <c r="I1715">
        <v>0</v>
      </c>
      <c r="J1715">
        <v>8890.9599999999991</v>
      </c>
      <c r="K1715">
        <v>378</v>
      </c>
      <c r="L1715" s="11">
        <v>0.34902777777777777</v>
      </c>
      <c r="M1715">
        <f t="shared" si="131"/>
        <v>3</v>
      </c>
      <c r="N1715">
        <f t="shared" si="132"/>
        <v>5</v>
      </c>
      <c r="O1715">
        <f t="shared" si="133"/>
        <v>2024</v>
      </c>
      <c r="P1715" s="4">
        <f t="shared" si="134"/>
        <v>45415</v>
      </c>
      <c r="Q1715" t="s">
        <v>1138</v>
      </c>
      <c r="R1715" t="s">
        <v>1137</v>
      </c>
      <c r="S1715">
        <v>2</v>
      </c>
      <c r="T1715" t="s">
        <v>1150</v>
      </c>
      <c r="U1715" s="11" t="str">
        <f t="shared" si="135"/>
        <v>08:22:36 AM</v>
      </c>
      <c r="BL1715" s="2" t="s">
        <v>2865</v>
      </c>
    </row>
    <row r="1716" spans="1:64" x14ac:dyDescent="0.35">
      <c r="A1716">
        <v>2425</v>
      </c>
      <c r="B1716" t="s">
        <v>25</v>
      </c>
      <c r="C1716" s="1">
        <v>45486</v>
      </c>
      <c r="D1716" t="s">
        <v>4</v>
      </c>
      <c r="E1716" t="s">
        <v>18</v>
      </c>
      <c r="F1716">
        <v>5</v>
      </c>
      <c r="G1716">
        <v>899.72</v>
      </c>
      <c r="H1716">
        <v>4498.6000000000004</v>
      </c>
      <c r="I1716">
        <v>216.63</v>
      </c>
      <c r="J1716">
        <v>4281.97</v>
      </c>
      <c r="K1716">
        <v>270</v>
      </c>
      <c r="L1716" s="11">
        <v>0.41181712962962963</v>
      </c>
      <c r="M1716">
        <f t="shared" si="131"/>
        <v>13</v>
      </c>
      <c r="N1716">
        <f t="shared" si="132"/>
        <v>7</v>
      </c>
      <c r="O1716">
        <f t="shared" si="133"/>
        <v>2024</v>
      </c>
      <c r="P1716" s="4">
        <f t="shared" si="134"/>
        <v>45486</v>
      </c>
      <c r="Q1716" t="s">
        <v>1139</v>
      </c>
      <c r="R1716" t="s">
        <v>1137</v>
      </c>
      <c r="S1716">
        <v>5</v>
      </c>
      <c r="T1716" t="s">
        <v>1145</v>
      </c>
      <c r="U1716" s="11" t="str">
        <f t="shared" si="135"/>
        <v>09:53:01 AM</v>
      </c>
      <c r="BL1716" s="2" t="s">
        <v>2866</v>
      </c>
    </row>
    <row r="1717" spans="1:64" x14ac:dyDescent="0.35">
      <c r="A1717">
        <v>2923</v>
      </c>
      <c r="B1717" t="s">
        <v>19</v>
      </c>
      <c r="C1717" s="1">
        <v>45747</v>
      </c>
      <c r="D1717" t="s">
        <v>1</v>
      </c>
      <c r="E1717" t="s">
        <v>21</v>
      </c>
      <c r="F1717">
        <v>1</v>
      </c>
      <c r="G1717">
        <v>102.92</v>
      </c>
      <c r="H1717">
        <v>102.92</v>
      </c>
      <c r="I1717">
        <v>20.75</v>
      </c>
      <c r="J1717">
        <v>82.17</v>
      </c>
      <c r="K1717">
        <v>165</v>
      </c>
      <c r="L1717" s="11">
        <v>0.24309027777777778</v>
      </c>
      <c r="M1717">
        <f t="shared" si="131"/>
        <v>31</v>
      </c>
      <c r="N1717">
        <f t="shared" si="132"/>
        <v>3</v>
      </c>
      <c r="O1717">
        <f t="shared" si="133"/>
        <v>2025</v>
      </c>
      <c r="P1717" s="4">
        <f t="shared" si="134"/>
        <v>45747</v>
      </c>
      <c r="Q1717" t="s">
        <v>1136</v>
      </c>
      <c r="R1717" t="s">
        <v>1135</v>
      </c>
      <c r="S1717">
        <v>1</v>
      </c>
      <c r="T1717" t="s">
        <v>1145</v>
      </c>
      <c r="U1717" s="11" t="str">
        <f t="shared" si="135"/>
        <v>05:50:03 AM</v>
      </c>
      <c r="BL1717" s="2" t="s">
        <v>2867</v>
      </c>
    </row>
    <row r="1718" spans="1:64" x14ac:dyDescent="0.35">
      <c r="A1718">
        <v>4882</v>
      </c>
      <c r="B1718" t="s">
        <v>19</v>
      </c>
      <c r="C1718" s="1">
        <v>45308</v>
      </c>
      <c r="D1718" t="s">
        <v>6</v>
      </c>
      <c r="E1718" t="s">
        <v>10</v>
      </c>
      <c r="F1718">
        <v>5</v>
      </c>
      <c r="G1718">
        <v>1183.58</v>
      </c>
      <c r="H1718">
        <v>5917.9</v>
      </c>
      <c r="I1718">
        <v>390.1</v>
      </c>
      <c r="J1718">
        <v>5527.8</v>
      </c>
      <c r="K1718">
        <v>340</v>
      </c>
      <c r="L1718" s="11">
        <v>0.16460648148148149</v>
      </c>
      <c r="M1718">
        <f t="shared" si="131"/>
        <v>17</v>
      </c>
      <c r="N1718">
        <f t="shared" si="132"/>
        <v>1</v>
      </c>
      <c r="O1718">
        <f t="shared" si="133"/>
        <v>2024</v>
      </c>
      <c r="P1718" s="4">
        <f t="shared" si="134"/>
        <v>45308</v>
      </c>
      <c r="Q1718" t="s">
        <v>1136</v>
      </c>
      <c r="R1718" t="s">
        <v>1137</v>
      </c>
      <c r="S1718">
        <v>4</v>
      </c>
      <c r="T1718" t="s">
        <v>1142</v>
      </c>
      <c r="U1718" s="11" t="str">
        <f t="shared" si="135"/>
        <v>03:57:02 AM</v>
      </c>
      <c r="BL1718" s="2" t="s">
        <v>2868</v>
      </c>
    </row>
    <row r="1719" spans="1:64" x14ac:dyDescent="0.35">
      <c r="A1719">
        <v>6744</v>
      </c>
      <c r="B1719" t="s">
        <v>8</v>
      </c>
      <c r="C1719" s="1">
        <v>45813</v>
      </c>
      <c r="D1719" t="s">
        <v>6</v>
      </c>
      <c r="E1719" t="s">
        <v>30</v>
      </c>
      <c r="F1719">
        <v>2</v>
      </c>
      <c r="G1719">
        <v>825.02</v>
      </c>
      <c r="H1719">
        <v>1650.04</v>
      </c>
      <c r="I1719">
        <v>283.02999999999997</v>
      </c>
      <c r="J1719">
        <v>1367.01</v>
      </c>
      <c r="K1719">
        <v>51</v>
      </c>
      <c r="L1719" s="11">
        <v>0.7815509259259259</v>
      </c>
      <c r="M1719">
        <f t="shared" si="131"/>
        <v>5</v>
      </c>
      <c r="N1719">
        <f t="shared" si="132"/>
        <v>6</v>
      </c>
      <c r="O1719">
        <f t="shared" si="133"/>
        <v>2025</v>
      </c>
      <c r="P1719" s="4">
        <f t="shared" si="134"/>
        <v>45813</v>
      </c>
      <c r="Q1719" t="s">
        <v>1134</v>
      </c>
      <c r="R1719" t="s">
        <v>1135</v>
      </c>
      <c r="S1719">
        <v>1</v>
      </c>
      <c r="T1719" t="s">
        <v>1143</v>
      </c>
      <c r="U1719" s="11" t="str">
        <f t="shared" si="135"/>
        <v>06:45:26 PM</v>
      </c>
      <c r="BL1719" s="2" t="s">
        <v>2869</v>
      </c>
    </row>
    <row r="1720" spans="1:64" x14ac:dyDescent="0.35">
      <c r="A1720">
        <v>8015</v>
      </c>
      <c r="B1720" t="s">
        <v>20</v>
      </c>
      <c r="C1720" s="1">
        <v>45273</v>
      </c>
      <c r="D1720" t="s">
        <v>23</v>
      </c>
      <c r="E1720" t="s">
        <v>7</v>
      </c>
      <c r="F1720">
        <v>3</v>
      </c>
      <c r="G1720">
        <v>2380.44</v>
      </c>
      <c r="H1720">
        <v>7141.32</v>
      </c>
      <c r="I1720">
        <v>1428.43</v>
      </c>
      <c r="J1720">
        <v>5712.89</v>
      </c>
      <c r="K1720">
        <v>167</v>
      </c>
      <c r="L1720" s="11">
        <v>0.16989583333333333</v>
      </c>
      <c r="M1720">
        <f t="shared" si="131"/>
        <v>13</v>
      </c>
      <c r="N1720">
        <f t="shared" si="132"/>
        <v>12</v>
      </c>
      <c r="O1720">
        <f t="shared" si="133"/>
        <v>2023</v>
      </c>
      <c r="P1720" s="4">
        <f t="shared" si="134"/>
        <v>45273</v>
      </c>
      <c r="Q1720" t="s">
        <v>1139</v>
      </c>
      <c r="R1720" t="s">
        <v>1137</v>
      </c>
      <c r="S1720">
        <v>2</v>
      </c>
      <c r="T1720" t="s">
        <v>1149</v>
      </c>
      <c r="U1720" s="11" t="str">
        <f t="shared" si="135"/>
        <v>04:04:39 AM</v>
      </c>
      <c r="BL1720" s="2" t="s">
        <v>2870</v>
      </c>
    </row>
    <row r="1721" spans="1:64" x14ac:dyDescent="0.35">
      <c r="A1721">
        <v>3281</v>
      </c>
      <c r="B1721" t="s">
        <v>31</v>
      </c>
      <c r="C1721" s="1">
        <v>45754</v>
      </c>
      <c r="D1721" t="s">
        <v>6</v>
      </c>
      <c r="E1721" t="s">
        <v>26</v>
      </c>
      <c r="F1721">
        <v>2</v>
      </c>
      <c r="G1721">
        <v>1103.07</v>
      </c>
      <c r="H1721">
        <v>2206.14</v>
      </c>
      <c r="I1721">
        <v>441.56</v>
      </c>
      <c r="J1721">
        <v>1764.58</v>
      </c>
      <c r="K1721">
        <v>138</v>
      </c>
      <c r="L1721" s="11">
        <v>0.10751157407407408</v>
      </c>
      <c r="M1721">
        <f t="shared" si="131"/>
        <v>7</v>
      </c>
      <c r="N1721">
        <f t="shared" si="132"/>
        <v>4</v>
      </c>
      <c r="O1721">
        <f t="shared" si="133"/>
        <v>2025</v>
      </c>
      <c r="P1721" s="4">
        <f t="shared" si="134"/>
        <v>45754</v>
      </c>
      <c r="Q1721" t="s">
        <v>1138</v>
      </c>
      <c r="R1721" t="s">
        <v>1135</v>
      </c>
      <c r="S1721">
        <v>2</v>
      </c>
      <c r="T1721" t="s">
        <v>1145</v>
      </c>
      <c r="U1721" s="11" t="str">
        <f t="shared" si="135"/>
        <v>02:34:49 AM</v>
      </c>
      <c r="BL1721" s="2" t="s">
        <v>2871</v>
      </c>
    </row>
    <row r="1722" spans="1:64" x14ac:dyDescent="0.35">
      <c r="A1722">
        <v>4385</v>
      </c>
      <c r="B1722" t="s">
        <v>25</v>
      </c>
      <c r="C1722" s="1">
        <v>45776</v>
      </c>
      <c r="D1722" t="s">
        <v>1</v>
      </c>
      <c r="E1722" t="s">
        <v>30</v>
      </c>
      <c r="F1722">
        <v>4</v>
      </c>
      <c r="G1722">
        <v>378.48</v>
      </c>
      <c r="H1722">
        <v>1513.92</v>
      </c>
      <c r="I1722">
        <v>230.74</v>
      </c>
      <c r="J1722">
        <v>1283.18</v>
      </c>
      <c r="K1722">
        <v>485</v>
      </c>
      <c r="L1722" s="11">
        <v>0.77337962962962958</v>
      </c>
      <c r="M1722">
        <f t="shared" si="131"/>
        <v>29</v>
      </c>
      <c r="N1722">
        <f t="shared" si="132"/>
        <v>4</v>
      </c>
      <c r="O1722">
        <f t="shared" si="133"/>
        <v>2025</v>
      </c>
      <c r="P1722" s="4">
        <f t="shared" si="134"/>
        <v>45776</v>
      </c>
      <c r="Q1722" t="s">
        <v>1139</v>
      </c>
      <c r="R1722" t="s">
        <v>1135</v>
      </c>
      <c r="S1722">
        <v>5</v>
      </c>
      <c r="T1722" t="s">
        <v>1149</v>
      </c>
      <c r="U1722" s="11" t="str">
        <f t="shared" si="135"/>
        <v>06:33:40 PM</v>
      </c>
      <c r="BL1722" s="2" t="s">
        <v>2872</v>
      </c>
    </row>
    <row r="1723" spans="1:64" x14ac:dyDescent="0.35">
      <c r="A1723">
        <v>4390</v>
      </c>
      <c r="B1723" t="s">
        <v>31</v>
      </c>
      <c r="C1723" s="1">
        <v>45770</v>
      </c>
      <c r="D1723" t="s">
        <v>9</v>
      </c>
      <c r="E1723" t="s">
        <v>29</v>
      </c>
      <c r="F1723">
        <v>4</v>
      </c>
      <c r="G1723">
        <v>1137.93</v>
      </c>
      <c r="H1723">
        <v>4551.72</v>
      </c>
      <c r="I1723">
        <v>454.84</v>
      </c>
      <c r="J1723">
        <v>4096.88</v>
      </c>
      <c r="K1723">
        <v>101</v>
      </c>
      <c r="L1723" s="11">
        <v>0.95417824074074076</v>
      </c>
      <c r="M1723">
        <f t="shared" si="131"/>
        <v>23</v>
      </c>
      <c r="N1723">
        <f t="shared" si="132"/>
        <v>4</v>
      </c>
      <c r="O1723">
        <f t="shared" si="133"/>
        <v>2025</v>
      </c>
      <c r="P1723" s="4">
        <f t="shared" si="134"/>
        <v>45770</v>
      </c>
      <c r="Q1723" t="s">
        <v>1134</v>
      </c>
      <c r="R1723" t="s">
        <v>1137</v>
      </c>
      <c r="S1723">
        <v>5</v>
      </c>
      <c r="T1723" t="s">
        <v>1149</v>
      </c>
      <c r="U1723" s="11" t="str">
        <f t="shared" si="135"/>
        <v>10:54:01 PM</v>
      </c>
      <c r="BL1723" s="2" t="s">
        <v>2873</v>
      </c>
    </row>
    <row r="1724" spans="1:64" x14ac:dyDescent="0.35">
      <c r="A1724">
        <v>1972</v>
      </c>
      <c r="B1724" t="s">
        <v>0</v>
      </c>
      <c r="C1724" s="1">
        <v>45587</v>
      </c>
      <c r="D1724" t="s">
        <v>4</v>
      </c>
      <c r="E1724" t="s">
        <v>18</v>
      </c>
      <c r="F1724">
        <v>5</v>
      </c>
      <c r="G1724">
        <v>2280.84</v>
      </c>
      <c r="H1724">
        <v>11404.2</v>
      </c>
      <c r="I1724">
        <v>2280.84</v>
      </c>
      <c r="J1724">
        <v>9123.36</v>
      </c>
      <c r="K1724">
        <v>370</v>
      </c>
      <c r="L1724" s="11">
        <v>0.85047453703703701</v>
      </c>
      <c r="M1724">
        <f t="shared" si="131"/>
        <v>22</v>
      </c>
      <c r="N1724">
        <f t="shared" si="132"/>
        <v>10</v>
      </c>
      <c r="O1724">
        <f t="shared" si="133"/>
        <v>2024</v>
      </c>
      <c r="P1724" s="4">
        <f t="shared" si="134"/>
        <v>45587</v>
      </c>
      <c r="Q1724" t="s">
        <v>1134</v>
      </c>
      <c r="R1724" t="s">
        <v>1137</v>
      </c>
      <c r="S1724">
        <v>2</v>
      </c>
      <c r="T1724" t="s">
        <v>1147</v>
      </c>
      <c r="U1724" s="11" t="str">
        <f t="shared" si="135"/>
        <v>08:24:41 PM</v>
      </c>
      <c r="BL1724" s="2" t="s">
        <v>2874</v>
      </c>
    </row>
    <row r="1725" spans="1:64" x14ac:dyDescent="0.35">
      <c r="A1725">
        <v>6747</v>
      </c>
      <c r="B1725" t="s">
        <v>31</v>
      </c>
      <c r="C1725" s="1">
        <v>45558</v>
      </c>
      <c r="D1725" t="s">
        <v>4</v>
      </c>
      <c r="E1725" t="s">
        <v>37</v>
      </c>
      <c r="F1725">
        <v>5</v>
      </c>
      <c r="G1725">
        <v>944.54</v>
      </c>
      <c r="H1725">
        <v>4722.7</v>
      </c>
      <c r="I1725">
        <v>944.54</v>
      </c>
      <c r="J1725">
        <v>3778.16</v>
      </c>
      <c r="K1725">
        <v>162</v>
      </c>
      <c r="L1725" s="11">
        <v>0.11373842592592592</v>
      </c>
      <c r="M1725">
        <f t="shared" si="131"/>
        <v>23</v>
      </c>
      <c r="N1725">
        <f t="shared" si="132"/>
        <v>9</v>
      </c>
      <c r="O1725">
        <f t="shared" si="133"/>
        <v>2024</v>
      </c>
      <c r="P1725" s="4">
        <f t="shared" si="134"/>
        <v>45558</v>
      </c>
      <c r="Q1725" t="s">
        <v>1139</v>
      </c>
      <c r="R1725" t="s">
        <v>1137</v>
      </c>
      <c r="S1725">
        <v>4</v>
      </c>
      <c r="T1725" t="s">
        <v>1142</v>
      </c>
      <c r="U1725" s="11" t="str">
        <f t="shared" si="135"/>
        <v>02:43:47 AM</v>
      </c>
      <c r="BL1725" s="2" t="s">
        <v>2875</v>
      </c>
    </row>
    <row r="1726" spans="1:64" x14ac:dyDescent="0.35">
      <c r="A1726">
        <v>5605</v>
      </c>
      <c r="B1726" t="s">
        <v>31</v>
      </c>
      <c r="C1726" s="1">
        <v>45608</v>
      </c>
      <c r="D1726" t="s">
        <v>4</v>
      </c>
      <c r="E1726" t="s">
        <v>36</v>
      </c>
      <c r="F1726">
        <v>3</v>
      </c>
      <c r="G1726">
        <v>1232.55</v>
      </c>
      <c r="H1726">
        <v>3697.65</v>
      </c>
      <c r="I1726">
        <v>370.18</v>
      </c>
      <c r="J1726">
        <v>3327.47</v>
      </c>
      <c r="K1726">
        <v>260</v>
      </c>
      <c r="L1726" s="11">
        <v>0.85363425925925929</v>
      </c>
      <c r="M1726">
        <f t="shared" si="131"/>
        <v>12</v>
      </c>
      <c r="N1726">
        <f t="shared" si="132"/>
        <v>11</v>
      </c>
      <c r="O1726">
        <f t="shared" si="133"/>
        <v>2024</v>
      </c>
      <c r="P1726" s="4">
        <f t="shared" si="134"/>
        <v>45608</v>
      </c>
      <c r="Q1726" t="s">
        <v>1139</v>
      </c>
      <c r="R1726" t="s">
        <v>1135</v>
      </c>
      <c r="S1726">
        <v>1</v>
      </c>
      <c r="T1726" t="s">
        <v>1141</v>
      </c>
      <c r="U1726" s="11" t="str">
        <f t="shared" si="135"/>
        <v>08:29:14 PM</v>
      </c>
      <c r="BL1726" s="2" t="s">
        <v>2876</v>
      </c>
    </row>
    <row r="1727" spans="1:64" x14ac:dyDescent="0.35">
      <c r="A1727">
        <v>9827</v>
      </c>
      <c r="B1727" t="s">
        <v>20</v>
      </c>
      <c r="C1727" s="1">
        <v>45275</v>
      </c>
      <c r="D1727" t="s">
        <v>1</v>
      </c>
      <c r="E1727" t="s">
        <v>21</v>
      </c>
      <c r="F1727">
        <v>4</v>
      </c>
      <c r="G1727">
        <v>1045.8</v>
      </c>
      <c r="H1727">
        <v>4183.2</v>
      </c>
      <c r="I1727">
        <v>627.48</v>
      </c>
      <c r="J1727">
        <v>3555.72</v>
      </c>
      <c r="K1727">
        <v>439</v>
      </c>
      <c r="L1727" s="11">
        <v>0.96940972222222221</v>
      </c>
      <c r="M1727">
        <f t="shared" si="131"/>
        <v>15</v>
      </c>
      <c r="N1727">
        <f t="shared" si="132"/>
        <v>12</v>
      </c>
      <c r="O1727">
        <f t="shared" si="133"/>
        <v>2023</v>
      </c>
      <c r="P1727" s="4">
        <f t="shared" si="134"/>
        <v>45275</v>
      </c>
      <c r="Q1727" t="s">
        <v>1139</v>
      </c>
      <c r="R1727" t="s">
        <v>1135</v>
      </c>
      <c r="S1727">
        <v>3</v>
      </c>
      <c r="T1727" t="s">
        <v>1142</v>
      </c>
      <c r="U1727" s="11" t="str">
        <f t="shared" si="135"/>
        <v>11:15:57 PM</v>
      </c>
      <c r="BL1727" s="2" t="s">
        <v>2877</v>
      </c>
    </row>
    <row r="1728" spans="1:64" x14ac:dyDescent="0.35">
      <c r="A1728">
        <v>6302</v>
      </c>
      <c r="B1728" t="s">
        <v>25</v>
      </c>
      <c r="C1728" s="1">
        <v>45691</v>
      </c>
      <c r="D1728" t="s">
        <v>24</v>
      </c>
      <c r="E1728" t="s">
        <v>32</v>
      </c>
      <c r="F1728">
        <v>4</v>
      </c>
      <c r="G1728">
        <v>2358.86</v>
      </c>
      <c r="H1728">
        <v>9435.44</v>
      </c>
      <c r="I1728">
        <v>1887.42</v>
      </c>
      <c r="J1728">
        <v>7548.02</v>
      </c>
      <c r="K1728">
        <v>333</v>
      </c>
      <c r="L1728" s="11">
        <v>0.23760416666666667</v>
      </c>
      <c r="M1728">
        <f t="shared" si="131"/>
        <v>3</v>
      </c>
      <c r="N1728">
        <f t="shared" si="132"/>
        <v>2</v>
      </c>
      <c r="O1728">
        <f t="shared" si="133"/>
        <v>2025</v>
      </c>
      <c r="P1728" s="4">
        <f t="shared" si="134"/>
        <v>45691</v>
      </c>
      <c r="Q1728" t="s">
        <v>1136</v>
      </c>
      <c r="R1728" t="s">
        <v>1135</v>
      </c>
      <c r="S1728">
        <v>5</v>
      </c>
      <c r="T1728" t="s">
        <v>1143</v>
      </c>
      <c r="U1728" s="11" t="str">
        <f t="shared" si="135"/>
        <v>05:42:09 AM</v>
      </c>
      <c r="BL1728" s="2" t="s">
        <v>2878</v>
      </c>
    </row>
    <row r="1729" spans="1:64" x14ac:dyDescent="0.35">
      <c r="A1729">
        <v>5794</v>
      </c>
      <c r="B1729" t="s">
        <v>0</v>
      </c>
      <c r="C1729" s="1">
        <v>45369</v>
      </c>
      <c r="D1729" t="s">
        <v>16</v>
      </c>
      <c r="E1729" t="s">
        <v>21</v>
      </c>
      <c r="F1729">
        <v>4</v>
      </c>
      <c r="G1729">
        <v>120.35</v>
      </c>
      <c r="H1729">
        <v>481.4</v>
      </c>
      <c r="I1729">
        <v>0</v>
      </c>
      <c r="J1729">
        <v>481.4</v>
      </c>
      <c r="K1729">
        <v>493</v>
      </c>
      <c r="L1729" s="11">
        <v>5.7812500000000003E-2</v>
      </c>
      <c r="M1729">
        <f t="shared" si="131"/>
        <v>18</v>
      </c>
      <c r="N1729">
        <f t="shared" si="132"/>
        <v>3</v>
      </c>
      <c r="O1729">
        <f t="shared" si="133"/>
        <v>2024</v>
      </c>
      <c r="P1729" s="4">
        <f t="shared" si="134"/>
        <v>45369</v>
      </c>
      <c r="Q1729" t="s">
        <v>1138</v>
      </c>
      <c r="R1729" t="s">
        <v>1137</v>
      </c>
      <c r="S1729">
        <v>3</v>
      </c>
      <c r="T1729" t="s">
        <v>1144</v>
      </c>
      <c r="U1729" s="11" t="str">
        <f t="shared" si="135"/>
        <v>01:23:15 AM</v>
      </c>
      <c r="BL1729" s="2" t="s">
        <v>2879</v>
      </c>
    </row>
    <row r="1730" spans="1:64" x14ac:dyDescent="0.35">
      <c r="A1730">
        <v>5380</v>
      </c>
      <c r="B1730" t="s">
        <v>25</v>
      </c>
      <c r="C1730" s="1">
        <v>45811</v>
      </c>
      <c r="D1730" t="s">
        <v>1</v>
      </c>
      <c r="E1730" t="s">
        <v>30</v>
      </c>
      <c r="F1730">
        <v>2</v>
      </c>
      <c r="G1730">
        <v>508.79</v>
      </c>
      <c r="H1730">
        <v>1017.58</v>
      </c>
      <c r="I1730">
        <v>134.46</v>
      </c>
      <c r="J1730">
        <v>883.12</v>
      </c>
      <c r="K1730">
        <v>4</v>
      </c>
      <c r="L1730" s="11">
        <v>1.8194444444444444E-2</v>
      </c>
      <c r="M1730">
        <f t="shared" ref="M1730:M1793" si="136">DAY(C1730)</f>
        <v>3</v>
      </c>
      <c r="N1730">
        <f t="shared" ref="N1730:N1793" si="137">MONTH(C1730)</f>
        <v>6</v>
      </c>
      <c r="O1730">
        <f t="shared" ref="O1730:O1793" si="138">YEAR(C1730)</f>
        <v>2025</v>
      </c>
      <c r="P1730" s="4">
        <f t="shared" si="134"/>
        <v>45811</v>
      </c>
      <c r="Q1730" t="s">
        <v>1139</v>
      </c>
      <c r="R1730" t="s">
        <v>1135</v>
      </c>
      <c r="S1730">
        <v>4</v>
      </c>
      <c r="T1730" t="s">
        <v>1145</v>
      </c>
      <c r="U1730" s="11" t="str">
        <f t="shared" si="135"/>
        <v>12:26:12 AM</v>
      </c>
      <c r="BL1730" s="2" t="s">
        <v>2880</v>
      </c>
    </row>
    <row r="1731" spans="1:64" x14ac:dyDescent="0.35">
      <c r="A1731">
        <v>9428</v>
      </c>
      <c r="B1731" t="s">
        <v>15</v>
      </c>
      <c r="C1731" s="1">
        <v>45844</v>
      </c>
      <c r="D1731" t="s">
        <v>1</v>
      </c>
      <c r="E1731" t="s">
        <v>29</v>
      </c>
      <c r="F1731">
        <v>5</v>
      </c>
      <c r="G1731">
        <v>2013.58</v>
      </c>
      <c r="H1731">
        <v>10067.9</v>
      </c>
      <c r="I1731">
        <v>1510.6</v>
      </c>
      <c r="J1731">
        <v>8557.2999999999993</v>
      </c>
      <c r="K1731">
        <v>443</v>
      </c>
      <c r="L1731" s="11">
        <v>0.39202546296296298</v>
      </c>
      <c r="M1731">
        <f t="shared" si="136"/>
        <v>6</v>
      </c>
      <c r="N1731">
        <f t="shared" si="137"/>
        <v>7</v>
      </c>
      <c r="O1731">
        <f t="shared" si="138"/>
        <v>2025</v>
      </c>
      <c r="P1731" s="4">
        <f t="shared" ref="P1731:P1794" si="139">DATE(O1731,N1731,M1731)</f>
        <v>45844</v>
      </c>
      <c r="Q1731" t="s">
        <v>1139</v>
      </c>
      <c r="R1731" t="s">
        <v>1135</v>
      </c>
      <c r="S1731">
        <v>5</v>
      </c>
      <c r="T1731" t="s">
        <v>1146</v>
      </c>
      <c r="U1731" s="11" t="str">
        <f t="shared" si="135"/>
        <v>09:24:31 AM</v>
      </c>
      <c r="BL1731" s="2" t="s">
        <v>2881</v>
      </c>
    </row>
    <row r="1732" spans="1:64" x14ac:dyDescent="0.35">
      <c r="A1732">
        <v>2560</v>
      </c>
      <c r="B1732" t="s">
        <v>13</v>
      </c>
      <c r="C1732" s="1">
        <v>45250</v>
      </c>
      <c r="D1732" t="s">
        <v>23</v>
      </c>
      <c r="E1732" t="s">
        <v>5</v>
      </c>
      <c r="F1732">
        <v>2</v>
      </c>
      <c r="G1732">
        <v>502.15</v>
      </c>
      <c r="H1732">
        <v>1004.3</v>
      </c>
      <c r="I1732">
        <v>0</v>
      </c>
      <c r="J1732">
        <v>1004.3</v>
      </c>
      <c r="K1732">
        <v>265</v>
      </c>
      <c r="L1732" s="11">
        <v>0.75730324074074074</v>
      </c>
      <c r="M1732">
        <f t="shared" si="136"/>
        <v>20</v>
      </c>
      <c r="N1732">
        <f t="shared" si="137"/>
        <v>11</v>
      </c>
      <c r="O1732">
        <f t="shared" si="138"/>
        <v>2023</v>
      </c>
      <c r="P1732" s="4">
        <f t="shared" si="139"/>
        <v>45250</v>
      </c>
      <c r="Q1732" t="s">
        <v>1139</v>
      </c>
      <c r="R1732" t="s">
        <v>1137</v>
      </c>
      <c r="S1732">
        <v>3</v>
      </c>
      <c r="T1732" t="s">
        <v>1147</v>
      </c>
      <c r="U1732" s="11" t="str">
        <f t="shared" si="135"/>
        <v>06:10:31 PM</v>
      </c>
      <c r="BL1732" s="2" t="s">
        <v>2882</v>
      </c>
    </row>
    <row r="1733" spans="1:64" x14ac:dyDescent="0.35">
      <c r="A1733">
        <v>7743</v>
      </c>
      <c r="B1733" t="s">
        <v>8</v>
      </c>
      <c r="C1733" s="1">
        <v>45858</v>
      </c>
      <c r="D1733" t="s">
        <v>11</v>
      </c>
      <c r="E1733" t="s">
        <v>38</v>
      </c>
      <c r="F1733">
        <v>2</v>
      </c>
      <c r="G1733">
        <v>154.38</v>
      </c>
      <c r="H1733">
        <v>308.76</v>
      </c>
      <c r="I1733">
        <v>30.71</v>
      </c>
      <c r="J1733">
        <v>278.05</v>
      </c>
      <c r="K1733">
        <v>104</v>
      </c>
      <c r="L1733" s="11">
        <v>0.4791435185185185</v>
      </c>
      <c r="M1733">
        <f t="shared" si="136"/>
        <v>20</v>
      </c>
      <c r="N1733">
        <f t="shared" si="137"/>
        <v>7</v>
      </c>
      <c r="O1733">
        <f t="shared" si="138"/>
        <v>2025</v>
      </c>
      <c r="P1733" s="4">
        <f t="shared" si="139"/>
        <v>45858</v>
      </c>
      <c r="Q1733" t="s">
        <v>1134</v>
      </c>
      <c r="R1733" t="s">
        <v>1135</v>
      </c>
      <c r="S1733">
        <v>4</v>
      </c>
      <c r="T1733" t="s">
        <v>1146</v>
      </c>
      <c r="U1733" s="11" t="str">
        <f t="shared" si="135"/>
        <v>11:29:58 AM</v>
      </c>
      <c r="BL1733" s="2" t="s">
        <v>2883</v>
      </c>
    </row>
    <row r="1734" spans="1:64" x14ac:dyDescent="0.35">
      <c r="A1734">
        <v>1971</v>
      </c>
      <c r="B1734" t="s">
        <v>25</v>
      </c>
      <c r="C1734" s="1">
        <v>45360</v>
      </c>
      <c r="D1734" t="s">
        <v>24</v>
      </c>
      <c r="E1734" t="s">
        <v>10</v>
      </c>
      <c r="F1734">
        <v>1</v>
      </c>
      <c r="G1734">
        <v>1967.1</v>
      </c>
      <c r="H1734">
        <v>1967.1</v>
      </c>
      <c r="I1734">
        <v>196.71</v>
      </c>
      <c r="J1734">
        <v>1770.39</v>
      </c>
      <c r="K1734">
        <v>169</v>
      </c>
      <c r="L1734" s="11">
        <v>0.97601851851851851</v>
      </c>
      <c r="M1734">
        <f t="shared" si="136"/>
        <v>9</v>
      </c>
      <c r="N1734">
        <f t="shared" si="137"/>
        <v>3</v>
      </c>
      <c r="O1734">
        <f t="shared" si="138"/>
        <v>2024</v>
      </c>
      <c r="P1734" s="4">
        <f t="shared" si="139"/>
        <v>45360</v>
      </c>
      <c r="Q1734" t="s">
        <v>1134</v>
      </c>
      <c r="R1734" t="s">
        <v>1135</v>
      </c>
      <c r="S1734">
        <v>1</v>
      </c>
      <c r="T1734" t="s">
        <v>1148</v>
      </c>
      <c r="U1734" s="11" t="str">
        <f t="shared" si="135"/>
        <v>11:25:28 PM</v>
      </c>
      <c r="BL1734" s="2" t="s">
        <v>2884</v>
      </c>
    </row>
    <row r="1735" spans="1:64" x14ac:dyDescent="0.35">
      <c r="A1735">
        <v>3078</v>
      </c>
      <c r="B1735" t="s">
        <v>20</v>
      </c>
      <c r="C1735" s="1">
        <v>45689</v>
      </c>
      <c r="D1735" t="s">
        <v>23</v>
      </c>
      <c r="E1735" t="s">
        <v>5</v>
      </c>
      <c r="F1735">
        <v>1</v>
      </c>
      <c r="G1735">
        <v>1380.29</v>
      </c>
      <c r="H1735">
        <v>1380.29</v>
      </c>
      <c r="I1735">
        <v>276.39</v>
      </c>
      <c r="J1735">
        <v>1103.9000000000001</v>
      </c>
      <c r="K1735">
        <v>390</v>
      </c>
      <c r="L1735" s="11">
        <v>0.63908564814814817</v>
      </c>
      <c r="M1735">
        <f t="shared" si="136"/>
        <v>1</v>
      </c>
      <c r="N1735">
        <f t="shared" si="137"/>
        <v>2</v>
      </c>
      <c r="O1735">
        <f t="shared" si="138"/>
        <v>2025</v>
      </c>
      <c r="P1735" s="4">
        <f t="shared" si="139"/>
        <v>45689</v>
      </c>
      <c r="Q1735" t="s">
        <v>1136</v>
      </c>
      <c r="R1735" t="s">
        <v>1137</v>
      </c>
      <c r="S1735">
        <v>4</v>
      </c>
      <c r="T1735" t="s">
        <v>1141</v>
      </c>
      <c r="U1735" s="11" t="str">
        <f t="shared" si="135"/>
        <v>03:20:17 PM</v>
      </c>
      <c r="BL1735" s="2" t="s">
        <v>2885</v>
      </c>
    </row>
    <row r="1736" spans="1:64" x14ac:dyDescent="0.35">
      <c r="A1736">
        <v>3174</v>
      </c>
      <c r="B1736" t="s">
        <v>0</v>
      </c>
      <c r="C1736" s="1">
        <v>45338</v>
      </c>
      <c r="D1736" t="s">
        <v>1</v>
      </c>
      <c r="E1736" t="s">
        <v>12</v>
      </c>
      <c r="F1736">
        <v>2</v>
      </c>
      <c r="G1736">
        <v>303.77999999999997</v>
      </c>
      <c r="H1736">
        <v>607.55999999999995</v>
      </c>
      <c r="I1736">
        <v>60.59</v>
      </c>
      <c r="J1736">
        <v>546.97</v>
      </c>
      <c r="K1736">
        <v>33</v>
      </c>
      <c r="L1736" s="11">
        <v>0.4767939814814815</v>
      </c>
      <c r="M1736">
        <f t="shared" si="136"/>
        <v>16</v>
      </c>
      <c r="N1736">
        <f t="shared" si="137"/>
        <v>2</v>
      </c>
      <c r="O1736">
        <f t="shared" si="138"/>
        <v>2024</v>
      </c>
      <c r="P1736" s="4">
        <f t="shared" si="139"/>
        <v>45338</v>
      </c>
      <c r="Q1736" t="s">
        <v>1138</v>
      </c>
      <c r="R1736" t="s">
        <v>1135</v>
      </c>
      <c r="S1736">
        <v>5</v>
      </c>
      <c r="T1736" t="s">
        <v>1143</v>
      </c>
      <c r="U1736" s="11" t="str">
        <f t="shared" si="135"/>
        <v>11:26:35 AM</v>
      </c>
      <c r="BL1736" s="2" t="s">
        <v>2886</v>
      </c>
    </row>
    <row r="1737" spans="1:64" x14ac:dyDescent="0.35">
      <c r="A1737">
        <v>3396</v>
      </c>
      <c r="B1737" t="s">
        <v>15</v>
      </c>
      <c r="C1737" s="1">
        <v>45697</v>
      </c>
      <c r="D1737" t="s">
        <v>9</v>
      </c>
      <c r="E1737" t="s">
        <v>7</v>
      </c>
      <c r="F1737">
        <v>4</v>
      </c>
      <c r="G1737">
        <v>405.87</v>
      </c>
      <c r="H1737">
        <v>1623.48</v>
      </c>
      <c r="I1737">
        <v>243.19</v>
      </c>
      <c r="J1737">
        <v>1380.29</v>
      </c>
      <c r="K1737">
        <v>308</v>
      </c>
      <c r="L1737" s="11">
        <v>0.35322916666666665</v>
      </c>
      <c r="M1737">
        <f t="shared" si="136"/>
        <v>9</v>
      </c>
      <c r="N1737">
        <f t="shared" si="137"/>
        <v>2</v>
      </c>
      <c r="O1737">
        <f t="shared" si="138"/>
        <v>2025</v>
      </c>
      <c r="P1737" s="4">
        <f t="shared" si="139"/>
        <v>45697</v>
      </c>
      <c r="Q1737" t="s">
        <v>1136</v>
      </c>
      <c r="R1737" t="s">
        <v>1137</v>
      </c>
      <c r="S1737">
        <v>2</v>
      </c>
      <c r="T1737" t="s">
        <v>1144</v>
      </c>
      <c r="U1737" s="11" t="str">
        <f t="shared" si="135"/>
        <v>08:28:39 AM</v>
      </c>
      <c r="BL1737" s="2" t="s">
        <v>2887</v>
      </c>
    </row>
    <row r="1738" spans="1:64" x14ac:dyDescent="0.35">
      <c r="A1738">
        <v>6277</v>
      </c>
      <c r="B1738" t="s">
        <v>15</v>
      </c>
      <c r="C1738" s="1">
        <v>45788</v>
      </c>
      <c r="D1738" t="s">
        <v>34</v>
      </c>
      <c r="E1738" t="s">
        <v>2</v>
      </c>
      <c r="F1738">
        <v>2</v>
      </c>
      <c r="G1738">
        <v>859.05</v>
      </c>
      <c r="H1738">
        <v>1718.1</v>
      </c>
      <c r="I1738">
        <v>304.61</v>
      </c>
      <c r="J1738">
        <v>1413.49</v>
      </c>
      <c r="K1738">
        <v>276</v>
      </c>
      <c r="L1738" s="11">
        <v>0.40994212962962961</v>
      </c>
      <c r="M1738">
        <f t="shared" si="136"/>
        <v>11</v>
      </c>
      <c r="N1738">
        <f t="shared" si="137"/>
        <v>5</v>
      </c>
      <c r="O1738">
        <f t="shared" si="138"/>
        <v>2025</v>
      </c>
      <c r="P1738" s="4">
        <f t="shared" si="139"/>
        <v>45788</v>
      </c>
      <c r="Q1738" t="s">
        <v>1138</v>
      </c>
      <c r="R1738" t="s">
        <v>1137</v>
      </c>
      <c r="S1738">
        <v>1</v>
      </c>
      <c r="T1738" t="s">
        <v>1143</v>
      </c>
      <c r="U1738" s="11" t="str">
        <f t="shared" si="135"/>
        <v>09:50:19 AM</v>
      </c>
      <c r="BL1738" s="2" t="s">
        <v>2888</v>
      </c>
    </row>
    <row r="1739" spans="1:64" x14ac:dyDescent="0.35">
      <c r="A1739">
        <v>5055</v>
      </c>
      <c r="B1739" t="s">
        <v>0</v>
      </c>
      <c r="C1739" s="1">
        <v>45736</v>
      </c>
      <c r="D1739" t="s">
        <v>34</v>
      </c>
      <c r="E1739" t="s">
        <v>37</v>
      </c>
      <c r="F1739">
        <v>5</v>
      </c>
      <c r="G1739">
        <v>554.44000000000005</v>
      </c>
      <c r="H1739">
        <v>2772.2</v>
      </c>
      <c r="I1739">
        <v>554.44000000000005</v>
      </c>
      <c r="J1739">
        <v>2217.7600000000002</v>
      </c>
      <c r="K1739">
        <v>112</v>
      </c>
      <c r="L1739" s="11">
        <v>0.88976851851851857</v>
      </c>
      <c r="M1739">
        <f t="shared" si="136"/>
        <v>20</v>
      </c>
      <c r="N1739">
        <f t="shared" si="137"/>
        <v>3</v>
      </c>
      <c r="O1739">
        <f t="shared" si="138"/>
        <v>2025</v>
      </c>
      <c r="P1739" s="4">
        <f t="shared" si="139"/>
        <v>45736</v>
      </c>
      <c r="Q1739" t="s">
        <v>1134</v>
      </c>
      <c r="R1739" t="s">
        <v>1137</v>
      </c>
      <c r="S1739">
        <v>3</v>
      </c>
      <c r="T1739" t="s">
        <v>1141</v>
      </c>
      <c r="U1739" s="11" t="str">
        <f t="shared" si="135"/>
        <v>09:21:16 PM</v>
      </c>
      <c r="BL1739" s="2" t="s">
        <v>2889</v>
      </c>
    </row>
    <row r="1740" spans="1:64" x14ac:dyDescent="0.35">
      <c r="A1740">
        <v>7434</v>
      </c>
      <c r="B1740" t="s">
        <v>31</v>
      </c>
      <c r="C1740" s="1">
        <v>45525</v>
      </c>
      <c r="D1740" t="s">
        <v>16</v>
      </c>
      <c r="E1740" t="s">
        <v>32</v>
      </c>
      <c r="F1740">
        <v>1</v>
      </c>
      <c r="G1740">
        <v>1808.57</v>
      </c>
      <c r="H1740">
        <v>1808.57</v>
      </c>
      <c r="I1740">
        <v>361.88</v>
      </c>
      <c r="J1740">
        <v>1446.69</v>
      </c>
      <c r="K1740">
        <v>144</v>
      </c>
      <c r="L1740" s="11">
        <v>0.44119212962962961</v>
      </c>
      <c r="M1740">
        <f t="shared" si="136"/>
        <v>21</v>
      </c>
      <c r="N1740">
        <f t="shared" si="137"/>
        <v>8</v>
      </c>
      <c r="O1740">
        <f t="shared" si="138"/>
        <v>2024</v>
      </c>
      <c r="P1740" s="4">
        <f t="shared" si="139"/>
        <v>45525</v>
      </c>
      <c r="Q1740" t="s">
        <v>1134</v>
      </c>
      <c r="R1740" t="s">
        <v>1137</v>
      </c>
      <c r="S1740">
        <v>5</v>
      </c>
      <c r="T1740" t="s">
        <v>1142</v>
      </c>
      <c r="U1740" s="11" t="str">
        <f t="shared" si="135"/>
        <v>10:35:19 AM</v>
      </c>
      <c r="BL1740" s="2" t="s">
        <v>2890</v>
      </c>
    </row>
    <row r="1741" spans="1:64" x14ac:dyDescent="0.35">
      <c r="A1741">
        <v>3329</v>
      </c>
      <c r="B1741" t="s">
        <v>31</v>
      </c>
      <c r="C1741" s="1">
        <v>45593</v>
      </c>
      <c r="D1741" t="s">
        <v>24</v>
      </c>
      <c r="E1741" t="s">
        <v>18</v>
      </c>
      <c r="F1741">
        <v>3</v>
      </c>
      <c r="G1741">
        <v>873.16</v>
      </c>
      <c r="H1741">
        <v>2619.48</v>
      </c>
      <c r="I1741">
        <v>0</v>
      </c>
      <c r="J1741">
        <v>2619.48</v>
      </c>
      <c r="K1741">
        <v>498</v>
      </c>
      <c r="L1741" s="11">
        <v>0.85288194444444443</v>
      </c>
      <c r="M1741">
        <f t="shared" si="136"/>
        <v>28</v>
      </c>
      <c r="N1741">
        <f t="shared" si="137"/>
        <v>10</v>
      </c>
      <c r="O1741">
        <f t="shared" si="138"/>
        <v>2024</v>
      </c>
      <c r="P1741" s="4">
        <f t="shared" si="139"/>
        <v>45593</v>
      </c>
      <c r="Q1741" t="s">
        <v>1134</v>
      </c>
      <c r="R1741" t="s">
        <v>1137</v>
      </c>
      <c r="S1741">
        <v>2</v>
      </c>
      <c r="T1741" t="s">
        <v>1144</v>
      </c>
      <c r="U1741" s="11" t="str">
        <f t="shared" si="135"/>
        <v>08:28:09 PM</v>
      </c>
      <c r="BL1741" s="2" t="s">
        <v>2891</v>
      </c>
    </row>
    <row r="1742" spans="1:64" x14ac:dyDescent="0.35">
      <c r="A1742">
        <v>5402</v>
      </c>
      <c r="B1742" t="s">
        <v>3</v>
      </c>
      <c r="C1742" s="1">
        <v>45632</v>
      </c>
      <c r="D1742" t="s">
        <v>27</v>
      </c>
      <c r="E1742" t="s">
        <v>2</v>
      </c>
      <c r="F1742">
        <v>2</v>
      </c>
      <c r="G1742">
        <v>871.5</v>
      </c>
      <c r="H1742">
        <v>1743</v>
      </c>
      <c r="I1742">
        <v>327.85</v>
      </c>
      <c r="J1742">
        <v>1415.15</v>
      </c>
      <c r="K1742">
        <v>191</v>
      </c>
      <c r="L1742" s="11">
        <v>0.8171180555555555</v>
      </c>
      <c r="M1742">
        <f t="shared" si="136"/>
        <v>6</v>
      </c>
      <c r="N1742">
        <f t="shared" si="137"/>
        <v>12</v>
      </c>
      <c r="O1742">
        <f t="shared" si="138"/>
        <v>2024</v>
      </c>
      <c r="P1742" s="4">
        <f t="shared" si="139"/>
        <v>45632</v>
      </c>
      <c r="Q1742" t="s">
        <v>1136</v>
      </c>
      <c r="R1742" t="s">
        <v>1135</v>
      </c>
      <c r="S1742">
        <v>4</v>
      </c>
      <c r="T1742" t="s">
        <v>1148</v>
      </c>
      <c r="U1742" s="11" t="str">
        <f t="shared" si="135"/>
        <v>07:36:39 PM</v>
      </c>
      <c r="BL1742" s="2" t="s">
        <v>2892</v>
      </c>
    </row>
    <row r="1743" spans="1:64" x14ac:dyDescent="0.35">
      <c r="A1743">
        <v>7786</v>
      </c>
      <c r="B1743" t="s">
        <v>20</v>
      </c>
      <c r="C1743" s="1">
        <v>45436</v>
      </c>
      <c r="D1743" t="s">
        <v>9</v>
      </c>
      <c r="E1743" t="s">
        <v>29</v>
      </c>
      <c r="F1743">
        <v>2</v>
      </c>
      <c r="G1743">
        <v>2440.1999999999998</v>
      </c>
      <c r="H1743">
        <v>4880.3999999999996</v>
      </c>
      <c r="I1743">
        <v>0</v>
      </c>
      <c r="J1743">
        <v>4880.3999999999996</v>
      </c>
      <c r="K1743">
        <v>7</v>
      </c>
      <c r="L1743" s="11">
        <v>0.54795138888888884</v>
      </c>
      <c r="M1743">
        <f t="shared" si="136"/>
        <v>24</v>
      </c>
      <c r="N1743">
        <f t="shared" si="137"/>
        <v>5</v>
      </c>
      <c r="O1743">
        <f t="shared" si="138"/>
        <v>2024</v>
      </c>
      <c r="P1743" s="4">
        <f t="shared" si="139"/>
        <v>45436</v>
      </c>
      <c r="Q1743" t="s">
        <v>1139</v>
      </c>
      <c r="R1743" t="s">
        <v>1135</v>
      </c>
      <c r="S1743">
        <v>2</v>
      </c>
      <c r="T1743" t="s">
        <v>1147</v>
      </c>
      <c r="U1743" s="11" t="str">
        <f t="shared" si="135"/>
        <v>01:09:03 PM</v>
      </c>
      <c r="BL1743" s="2" t="s">
        <v>2893</v>
      </c>
    </row>
    <row r="1744" spans="1:64" x14ac:dyDescent="0.35">
      <c r="A1744">
        <v>8405</v>
      </c>
      <c r="B1744" t="s">
        <v>20</v>
      </c>
      <c r="C1744" s="1">
        <v>45203</v>
      </c>
      <c r="D1744" t="s">
        <v>6</v>
      </c>
      <c r="E1744" t="s">
        <v>18</v>
      </c>
      <c r="F1744">
        <v>4</v>
      </c>
      <c r="G1744">
        <v>858.22</v>
      </c>
      <c r="H1744">
        <v>3432.88</v>
      </c>
      <c r="I1744">
        <v>343.62</v>
      </c>
      <c r="J1744">
        <v>3089.26</v>
      </c>
      <c r="K1744">
        <v>292</v>
      </c>
      <c r="L1744" s="11">
        <v>0.30939814814814814</v>
      </c>
      <c r="M1744">
        <f t="shared" si="136"/>
        <v>4</v>
      </c>
      <c r="N1744">
        <f t="shared" si="137"/>
        <v>10</v>
      </c>
      <c r="O1744">
        <f t="shared" si="138"/>
        <v>2023</v>
      </c>
      <c r="P1744" s="4">
        <f t="shared" si="139"/>
        <v>45203</v>
      </c>
      <c r="Q1744" t="s">
        <v>1139</v>
      </c>
      <c r="R1744" t="s">
        <v>1137</v>
      </c>
      <c r="S1744">
        <v>5</v>
      </c>
      <c r="T1744" t="s">
        <v>1149</v>
      </c>
      <c r="U1744" s="11" t="str">
        <f t="shared" si="135"/>
        <v>07:25:32 AM</v>
      </c>
      <c r="BL1744" s="2" t="s">
        <v>2894</v>
      </c>
    </row>
    <row r="1745" spans="1:64" x14ac:dyDescent="0.35">
      <c r="A1745">
        <v>2525</v>
      </c>
      <c r="B1745" t="s">
        <v>25</v>
      </c>
      <c r="C1745" s="1">
        <v>45457</v>
      </c>
      <c r="D1745" t="s">
        <v>6</v>
      </c>
      <c r="E1745" t="s">
        <v>21</v>
      </c>
      <c r="F1745">
        <v>4</v>
      </c>
      <c r="G1745">
        <v>2471.7399999999998</v>
      </c>
      <c r="H1745">
        <v>9886.9599999999991</v>
      </c>
      <c r="I1745">
        <v>229.08</v>
      </c>
      <c r="J1745">
        <v>9657.8799999999992</v>
      </c>
      <c r="K1745">
        <v>232</v>
      </c>
      <c r="L1745" s="11">
        <v>0.7205555555555555</v>
      </c>
      <c r="M1745">
        <f t="shared" si="136"/>
        <v>14</v>
      </c>
      <c r="N1745">
        <f t="shared" si="137"/>
        <v>6</v>
      </c>
      <c r="O1745">
        <f t="shared" si="138"/>
        <v>2024</v>
      </c>
      <c r="P1745" s="4">
        <f t="shared" si="139"/>
        <v>45457</v>
      </c>
      <c r="Q1745" t="s">
        <v>1134</v>
      </c>
      <c r="R1745" t="s">
        <v>1137</v>
      </c>
      <c r="S1745">
        <v>5</v>
      </c>
      <c r="T1745" t="s">
        <v>1141</v>
      </c>
      <c r="U1745" s="11" t="str">
        <f t="shared" si="135"/>
        <v>05:17:36 PM</v>
      </c>
      <c r="BL1745" s="2" t="s">
        <v>2895</v>
      </c>
    </row>
    <row r="1746" spans="1:64" x14ac:dyDescent="0.35">
      <c r="A1746">
        <v>9447</v>
      </c>
      <c r="B1746" t="s">
        <v>19</v>
      </c>
      <c r="C1746" s="1">
        <v>45727</v>
      </c>
      <c r="D1746" t="s">
        <v>16</v>
      </c>
      <c r="E1746" t="s">
        <v>36</v>
      </c>
      <c r="F1746">
        <v>3</v>
      </c>
      <c r="G1746">
        <v>893.91</v>
      </c>
      <c r="H1746">
        <v>2681.73</v>
      </c>
      <c r="I1746">
        <v>402.55</v>
      </c>
      <c r="J1746">
        <v>2279.1799999999998</v>
      </c>
      <c r="K1746">
        <v>456</v>
      </c>
      <c r="L1746" s="11">
        <v>0.82578703703703704</v>
      </c>
      <c r="M1746">
        <f t="shared" si="136"/>
        <v>11</v>
      </c>
      <c r="N1746">
        <f t="shared" si="137"/>
        <v>3</v>
      </c>
      <c r="O1746">
        <f t="shared" si="138"/>
        <v>2025</v>
      </c>
      <c r="P1746" s="4">
        <f t="shared" si="139"/>
        <v>45727</v>
      </c>
      <c r="Q1746" t="s">
        <v>1139</v>
      </c>
      <c r="R1746" t="s">
        <v>1135</v>
      </c>
      <c r="S1746">
        <v>2</v>
      </c>
      <c r="T1746" t="s">
        <v>1141</v>
      </c>
      <c r="U1746" s="11" t="str">
        <f t="shared" si="135"/>
        <v>07:49:08 PM</v>
      </c>
      <c r="BL1746" s="2" t="s">
        <v>2896</v>
      </c>
    </row>
    <row r="1747" spans="1:64" x14ac:dyDescent="0.35">
      <c r="A1747">
        <v>5558</v>
      </c>
      <c r="B1747" t="s">
        <v>25</v>
      </c>
      <c r="C1747" s="1">
        <v>45684</v>
      </c>
      <c r="D1747" t="s">
        <v>34</v>
      </c>
      <c r="E1747" t="s">
        <v>7</v>
      </c>
      <c r="F1747">
        <v>4</v>
      </c>
      <c r="G1747">
        <v>1678.26</v>
      </c>
      <c r="H1747">
        <v>6713.04</v>
      </c>
      <c r="I1747">
        <v>170.15</v>
      </c>
      <c r="J1747">
        <v>6542.89</v>
      </c>
      <c r="K1747">
        <v>342</v>
      </c>
      <c r="L1747" s="11">
        <v>0.95818287037037042</v>
      </c>
      <c r="M1747">
        <f t="shared" si="136"/>
        <v>27</v>
      </c>
      <c r="N1747">
        <f t="shared" si="137"/>
        <v>1</v>
      </c>
      <c r="O1747">
        <f t="shared" si="138"/>
        <v>2025</v>
      </c>
      <c r="P1747" s="4">
        <f t="shared" si="139"/>
        <v>45684</v>
      </c>
      <c r="Q1747" t="s">
        <v>1139</v>
      </c>
      <c r="R1747" t="s">
        <v>1137</v>
      </c>
      <c r="S1747">
        <v>4</v>
      </c>
      <c r="T1747" t="s">
        <v>1149</v>
      </c>
      <c r="U1747" s="11" t="str">
        <f t="shared" si="135"/>
        <v>10:59:47 PM</v>
      </c>
      <c r="BL1747" s="2" t="s">
        <v>2897</v>
      </c>
    </row>
    <row r="1748" spans="1:64" x14ac:dyDescent="0.35">
      <c r="A1748">
        <v>7046</v>
      </c>
      <c r="B1748" t="s">
        <v>25</v>
      </c>
      <c r="C1748" s="1">
        <v>45498</v>
      </c>
      <c r="D1748" t="s">
        <v>9</v>
      </c>
      <c r="E1748" t="s">
        <v>28</v>
      </c>
      <c r="F1748">
        <v>5</v>
      </c>
      <c r="G1748">
        <v>385.95</v>
      </c>
      <c r="H1748">
        <v>1929.75</v>
      </c>
      <c r="I1748">
        <v>122.84</v>
      </c>
      <c r="J1748">
        <v>1806.91</v>
      </c>
      <c r="K1748">
        <v>116</v>
      </c>
      <c r="L1748" s="11">
        <v>0.74003472222222222</v>
      </c>
      <c r="M1748">
        <f t="shared" si="136"/>
        <v>25</v>
      </c>
      <c r="N1748">
        <f t="shared" si="137"/>
        <v>7</v>
      </c>
      <c r="O1748">
        <f t="shared" si="138"/>
        <v>2024</v>
      </c>
      <c r="P1748" s="4">
        <f t="shared" si="139"/>
        <v>45498</v>
      </c>
      <c r="Q1748" t="s">
        <v>1136</v>
      </c>
      <c r="R1748" t="s">
        <v>1137</v>
      </c>
      <c r="S1748">
        <v>2</v>
      </c>
      <c r="T1748" t="s">
        <v>1147</v>
      </c>
      <c r="U1748" s="11" t="str">
        <f t="shared" si="135"/>
        <v>05:45:39 PM</v>
      </c>
      <c r="BL1748" s="2" t="s">
        <v>2898</v>
      </c>
    </row>
    <row r="1749" spans="1:64" x14ac:dyDescent="0.35">
      <c r="A1749">
        <v>8996</v>
      </c>
      <c r="B1749" t="s">
        <v>19</v>
      </c>
      <c r="C1749" s="1">
        <v>45399</v>
      </c>
      <c r="D1749" t="s">
        <v>23</v>
      </c>
      <c r="E1749" t="s">
        <v>12</v>
      </c>
      <c r="F1749">
        <v>3</v>
      </c>
      <c r="G1749">
        <v>1171.1300000000001</v>
      </c>
      <c r="H1749">
        <v>3513.39</v>
      </c>
      <c r="I1749">
        <v>143.59</v>
      </c>
      <c r="J1749">
        <v>3369.8</v>
      </c>
      <c r="K1749">
        <v>283</v>
      </c>
      <c r="L1749" s="11">
        <v>0.42063657407407407</v>
      </c>
      <c r="M1749">
        <f t="shared" si="136"/>
        <v>17</v>
      </c>
      <c r="N1749">
        <f t="shared" si="137"/>
        <v>4</v>
      </c>
      <c r="O1749">
        <f t="shared" si="138"/>
        <v>2024</v>
      </c>
      <c r="P1749" s="4">
        <f t="shared" si="139"/>
        <v>45399</v>
      </c>
      <c r="Q1749" t="s">
        <v>1138</v>
      </c>
      <c r="R1749" t="s">
        <v>1137</v>
      </c>
      <c r="S1749">
        <v>5</v>
      </c>
      <c r="T1749" t="s">
        <v>1146</v>
      </c>
      <c r="U1749" s="11" t="str">
        <f t="shared" si="135"/>
        <v>10:05:43 AM</v>
      </c>
      <c r="BL1749" s="2" t="s">
        <v>2899</v>
      </c>
    </row>
    <row r="1750" spans="1:64" x14ac:dyDescent="0.35">
      <c r="A1750">
        <v>1040</v>
      </c>
      <c r="B1750" t="s">
        <v>3</v>
      </c>
      <c r="C1750" s="1">
        <v>45819</v>
      </c>
      <c r="D1750" t="s">
        <v>6</v>
      </c>
      <c r="E1750" t="s">
        <v>30</v>
      </c>
      <c r="F1750">
        <v>2</v>
      </c>
      <c r="G1750">
        <v>1949.67</v>
      </c>
      <c r="H1750">
        <v>3899.34</v>
      </c>
      <c r="I1750">
        <v>282.2</v>
      </c>
      <c r="J1750">
        <v>3617.14</v>
      </c>
      <c r="K1750">
        <v>101</v>
      </c>
      <c r="L1750" s="11">
        <v>0.27553240740740742</v>
      </c>
      <c r="M1750">
        <f t="shared" si="136"/>
        <v>11</v>
      </c>
      <c r="N1750">
        <f t="shared" si="137"/>
        <v>6</v>
      </c>
      <c r="O1750">
        <f t="shared" si="138"/>
        <v>2025</v>
      </c>
      <c r="P1750" s="4">
        <f t="shared" si="139"/>
        <v>45819</v>
      </c>
      <c r="Q1750" t="s">
        <v>1134</v>
      </c>
      <c r="R1750" t="s">
        <v>1135</v>
      </c>
      <c r="S1750">
        <v>5</v>
      </c>
      <c r="T1750" t="s">
        <v>1142</v>
      </c>
      <c r="U1750" s="11" t="str">
        <f t="shared" si="135"/>
        <v>06:36:46 AM</v>
      </c>
      <c r="BL1750" s="2" t="s">
        <v>2900</v>
      </c>
    </row>
    <row r="1751" spans="1:64" x14ac:dyDescent="0.35">
      <c r="A1751">
        <v>2526</v>
      </c>
      <c r="B1751" t="s">
        <v>8</v>
      </c>
      <c r="C1751" s="1">
        <v>45712</v>
      </c>
      <c r="D1751" t="s">
        <v>17</v>
      </c>
      <c r="E1751" t="s">
        <v>36</v>
      </c>
      <c r="F1751">
        <v>5</v>
      </c>
      <c r="G1751">
        <v>195.05</v>
      </c>
      <c r="H1751">
        <v>975.25</v>
      </c>
      <c r="I1751">
        <v>159.36000000000001</v>
      </c>
      <c r="J1751">
        <v>815.89</v>
      </c>
      <c r="K1751">
        <v>272</v>
      </c>
      <c r="L1751" s="11">
        <v>0.35957175925925927</v>
      </c>
      <c r="M1751">
        <f t="shared" si="136"/>
        <v>24</v>
      </c>
      <c r="N1751">
        <f t="shared" si="137"/>
        <v>2</v>
      </c>
      <c r="O1751">
        <f t="shared" si="138"/>
        <v>2025</v>
      </c>
      <c r="P1751" s="4">
        <f t="shared" si="139"/>
        <v>45712</v>
      </c>
      <c r="Q1751" t="s">
        <v>1134</v>
      </c>
      <c r="R1751" t="s">
        <v>1135</v>
      </c>
      <c r="S1751">
        <v>3</v>
      </c>
      <c r="T1751" t="s">
        <v>1146</v>
      </c>
      <c r="U1751" s="11" t="str">
        <f t="shared" si="135"/>
        <v>08:37:47 AM</v>
      </c>
      <c r="BL1751" s="2" t="s">
        <v>2901</v>
      </c>
    </row>
    <row r="1752" spans="1:64" x14ac:dyDescent="0.35">
      <c r="A1752">
        <v>8511</v>
      </c>
      <c r="B1752" t="s">
        <v>3</v>
      </c>
      <c r="C1752" s="1">
        <v>45638</v>
      </c>
      <c r="D1752" t="s">
        <v>23</v>
      </c>
      <c r="E1752" t="s">
        <v>12</v>
      </c>
      <c r="F1752">
        <v>2</v>
      </c>
      <c r="G1752">
        <v>322.87</v>
      </c>
      <c r="H1752">
        <v>645.74</v>
      </c>
      <c r="I1752">
        <v>0</v>
      </c>
      <c r="J1752">
        <v>645.74</v>
      </c>
      <c r="K1752">
        <v>84</v>
      </c>
      <c r="L1752" s="11">
        <v>0.47939814814814813</v>
      </c>
      <c r="M1752">
        <f t="shared" si="136"/>
        <v>12</v>
      </c>
      <c r="N1752">
        <f t="shared" si="137"/>
        <v>12</v>
      </c>
      <c r="O1752">
        <f t="shared" si="138"/>
        <v>2024</v>
      </c>
      <c r="P1752" s="4">
        <f t="shared" si="139"/>
        <v>45638</v>
      </c>
      <c r="Q1752" t="s">
        <v>1136</v>
      </c>
      <c r="R1752" t="s">
        <v>1137</v>
      </c>
      <c r="S1752">
        <v>3</v>
      </c>
      <c r="T1752" t="s">
        <v>1147</v>
      </c>
      <c r="U1752" s="11" t="str">
        <f t="shared" si="135"/>
        <v>11:30:20 AM</v>
      </c>
      <c r="BL1752" s="2" t="s">
        <v>2902</v>
      </c>
    </row>
    <row r="1753" spans="1:64" x14ac:dyDescent="0.35">
      <c r="A1753">
        <v>6869</v>
      </c>
      <c r="B1753" t="s">
        <v>8</v>
      </c>
      <c r="C1753" s="1">
        <v>45805</v>
      </c>
      <c r="D1753" t="s">
        <v>27</v>
      </c>
      <c r="E1753" t="s">
        <v>5</v>
      </c>
      <c r="F1753">
        <v>2</v>
      </c>
      <c r="G1753">
        <v>751.98</v>
      </c>
      <c r="H1753">
        <v>1503.96</v>
      </c>
      <c r="I1753">
        <v>225.76</v>
      </c>
      <c r="J1753">
        <v>1278.2</v>
      </c>
      <c r="K1753">
        <v>491</v>
      </c>
      <c r="L1753" s="11">
        <v>0.42390046296296297</v>
      </c>
      <c r="M1753">
        <f t="shared" si="136"/>
        <v>28</v>
      </c>
      <c r="N1753">
        <f t="shared" si="137"/>
        <v>5</v>
      </c>
      <c r="O1753">
        <f t="shared" si="138"/>
        <v>2025</v>
      </c>
      <c r="P1753" s="4">
        <f t="shared" si="139"/>
        <v>45805</v>
      </c>
      <c r="Q1753" t="s">
        <v>1136</v>
      </c>
      <c r="R1753" t="s">
        <v>1137</v>
      </c>
      <c r="S1753">
        <v>1</v>
      </c>
      <c r="T1753" t="s">
        <v>1144</v>
      </c>
      <c r="U1753" s="11" t="str">
        <f t="shared" si="135"/>
        <v>10:10:25 AM</v>
      </c>
      <c r="BL1753" s="2" t="s">
        <v>2903</v>
      </c>
    </row>
    <row r="1754" spans="1:64" x14ac:dyDescent="0.35">
      <c r="A1754">
        <v>2037</v>
      </c>
      <c r="B1754" t="s">
        <v>13</v>
      </c>
      <c r="C1754" s="1">
        <v>45763</v>
      </c>
      <c r="D1754" t="s">
        <v>27</v>
      </c>
      <c r="E1754" t="s">
        <v>5</v>
      </c>
      <c r="F1754">
        <v>4</v>
      </c>
      <c r="G1754">
        <v>1208.48</v>
      </c>
      <c r="H1754">
        <v>4833.92</v>
      </c>
      <c r="I1754">
        <v>107.9</v>
      </c>
      <c r="J1754">
        <v>4726.0200000000004</v>
      </c>
      <c r="K1754">
        <v>69</v>
      </c>
      <c r="L1754" s="11">
        <v>0.94493055555555561</v>
      </c>
      <c r="M1754">
        <f t="shared" si="136"/>
        <v>16</v>
      </c>
      <c r="N1754">
        <f t="shared" si="137"/>
        <v>4</v>
      </c>
      <c r="O1754">
        <f t="shared" si="138"/>
        <v>2025</v>
      </c>
      <c r="P1754" s="4">
        <f t="shared" si="139"/>
        <v>45763</v>
      </c>
      <c r="Q1754" t="s">
        <v>1139</v>
      </c>
      <c r="R1754" t="s">
        <v>1135</v>
      </c>
      <c r="S1754">
        <v>5</v>
      </c>
      <c r="T1754" t="s">
        <v>1145</v>
      </c>
      <c r="U1754" s="11" t="str">
        <f t="shared" si="135"/>
        <v>10:40:42 PM</v>
      </c>
      <c r="BL1754" s="2" t="s">
        <v>2904</v>
      </c>
    </row>
    <row r="1755" spans="1:64" x14ac:dyDescent="0.35">
      <c r="A1755">
        <v>9756</v>
      </c>
      <c r="B1755" t="s">
        <v>3</v>
      </c>
      <c r="C1755" s="1">
        <v>45453</v>
      </c>
      <c r="D1755" t="s">
        <v>16</v>
      </c>
      <c r="E1755" t="s">
        <v>26</v>
      </c>
      <c r="F1755">
        <v>2</v>
      </c>
      <c r="G1755">
        <v>2304.08</v>
      </c>
      <c r="H1755">
        <v>4608.16</v>
      </c>
      <c r="I1755">
        <v>333.66</v>
      </c>
      <c r="J1755">
        <v>4274.5</v>
      </c>
      <c r="K1755">
        <v>313</v>
      </c>
      <c r="L1755" s="11">
        <v>0.55748842592592596</v>
      </c>
      <c r="M1755">
        <f t="shared" si="136"/>
        <v>10</v>
      </c>
      <c r="N1755">
        <f t="shared" si="137"/>
        <v>6</v>
      </c>
      <c r="O1755">
        <f t="shared" si="138"/>
        <v>2024</v>
      </c>
      <c r="P1755" s="4">
        <f t="shared" si="139"/>
        <v>45453</v>
      </c>
      <c r="Q1755" t="s">
        <v>1134</v>
      </c>
      <c r="R1755" t="s">
        <v>1135</v>
      </c>
      <c r="S1755">
        <v>3</v>
      </c>
      <c r="T1755" t="s">
        <v>1143</v>
      </c>
      <c r="U1755" s="11" t="str">
        <f t="shared" si="135"/>
        <v>01:22:47 PM</v>
      </c>
      <c r="BL1755" s="2" t="s">
        <v>2905</v>
      </c>
    </row>
    <row r="1756" spans="1:64" x14ac:dyDescent="0.35">
      <c r="A1756">
        <v>4568</v>
      </c>
      <c r="B1756" t="s">
        <v>8</v>
      </c>
      <c r="C1756" s="1">
        <v>45478</v>
      </c>
      <c r="D1756" t="s">
        <v>23</v>
      </c>
      <c r="E1756" t="s">
        <v>37</v>
      </c>
      <c r="F1756">
        <v>2</v>
      </c>
      <c r="G1756">
        <v>1922.28</v>
      </c>
      <c r="H1756">
        <v>3844.56</v>
      </c>
      <c r="I1756">
        <v>384.29</v>
      </c>
      <c r="J1756">
        <v>3460.27</v>
      </c>
      <c r="K1756">
        <v>413</v>
      </c>
      <c r="L1756" s="11">
        <v>0.94973379629629628</v>
      </c>
      <c r="M1756">
        <f t="shared" si="136"/>
        <v>5</v>
      </c>
      <c r="N1756">
        <f t="shared" si="137"/>
        <v>7</v>
      </c>
      <c r="O1756">
        <f t="shared" si="138"/>
        <v>2024</v>
      </c>
      <c r="P1756" s="4">
        <f t="shared" si="139"/>
        <v>45478</v>
      </c>
      <c r="Q1756" t="s">
        <v>1138</v>
      </c>
      <c r="R1756" t="s">
        <v>1137</v>
      </c>
      <c r="S1756">
        <v>2</v>
      </c>
      <c r="T1756" t="s">
        <v>1148</v>
      </c>
      <c r="U1756" s="11" t="str">
        <f t="shared" si="135"/>
        <v>10:47:37 PM</v>
      </c>
      <c r="BL1756" s="2" t="s">
        <v>2906</v>
      </c>
    </row>
    <row r="1757" spans="1:64" x14ac:dyDescent="0.35">
      <c r="A1757">
        <v>4470</v>
      </c>
      <c r="B1757" t="s">
        <v>8</v>
      </c>
      <c r="C1757" s="1">
        <v>45529</v>
      </c>
      <c r="D1757" t="s">
        <v>16</v>
      </c>
      <c r="E1757" t="s">
        <v>5</v>
      </c>
      <c r="F1757">
        <v>4</v>
      </c>
      <c r="G1757">
        <v>1505.62</v>
      </c>
      <c r="H1757">
        <v>6022.48</v>
      </c>
      <c r="I1757">
        <v>158.53</v>
      </c>
      <c r="J1757">
        <v>5863.95</v>
      </c>
      <c r="K1757">
        <v>127</v>
      </c>
      <c r="L1757" s="11">
        <v>0.5677430555555556</v>
      </c>
      <c r="M1757">
        <f t="shared" si="136"/>
        <v>25</v>
      </c>
      <c r="N1757">
        <f t="shared" si="137"/>
        <v>8</v>
      </c>
      <c r="O1757">
        <f t="shared" si="138"/>
        <v>2024</v>
      </c>
      <c r="P1757" s="4">
        <f t="shared" si="139"/>
        <v>45529</v>
      </c>
      <c r="Q1757" t="s">
        <v>1136</v>
      </c>
      <c r="R1757" t="s">
        <v>1137</v>
      </c>
      <c r="S1757">
        <v>4</v>
      </c>
      <c r="T1757" t="s">
        <v>1142</v>
      </c>
      <c r="U1757" s="11" t="str">
        <f t="shared" si="135"/>
        <v>01:37:33 PM</v>
      </c>
      <c r="BL1757" s="2" t="s">
        <v>2907</v>
      </c>
    </row>
    <row r="1758" spans="1:64" x14ac:dyDescent="0.35">
      <c r="A1758">
        <v>5399</v>
      </c>
      <c r="B1758" t="s">
        <v>19</v>
      </c>
      <c r="C1758" s="1">
        <v>45395</v>
      </c>
      <c r="D1758" t="s">
        <v>23</v>
      </c>
      <c r="E1758" t="s">
        <v>21</v>
      </c>
      <c r="F1758">
        <v>1</v>
      </c>
      <c r="G1758">
        <v>1829.32</v>
      </c>
      <c r="H1758">
        <v>1829.32</v>
      </c>
      <c r="I1758">
        <v>366.03</v>
      </c>
      <c r="J1758">
        <v>1463.29</v>
      </c>
      <c r="K1758">
        <v>299</v>
      </c>
      <c r="L1758" s="11">
        <v>0.10215277777777777</v>
      </c>
      <c r="M1758">
        <f t="shared" si="136"/>
        <v>13</v>
      </c>
      <c r="N1758">
        <f t="shared" si="137"/>
        <v>4</v>
      </c>
      <c r="O1758">
        <f t="shared" si="138"/>
        <v>2024</v>
      </c>
      <c r="P1758" s="4">
        <f t="shared" si="139"/>
        <v>45395</v>
      </c>
      <c r="Q1758" t="s">
        <v>1138</v>
      </c>
      <c r="R1758" t="s">
        <v>1135</v>
      </c>
      <c r="S1758">
        <v>2</v>
      </c>
      <c r="T1758" t="s">
        <v>1147</v>
      </c>
      <c r="U1758" s="11" t="str">
        <f t="shared" si="135"/>
        <v>02:27:06 AM</v>
      </c>
      <c r="BL1758" s="2" t="s">
        <v>2908</v>
      </c>
    </row>
    <row r="1759" spans="1:64" x14ac:dyDescent="0.35">
      <c r="A1759">
        <v>5646</v>
      </c>
      <c r="B1759" t="s">
        <v>15</v>
      </c>
      <c r="C1759" s="1">
        <v>45407</v>
      </c>
      <c r="D1759" t="s">
        <v>23</v>
      </c>
      <c r="E1759" t="s">
        <v>2</v>
      </c>
      <c r="F1759">
        <v>3</v>
      </c>
      <c r="G1759">
        <v>107.9</v>
      </c>
      <c r="H1759">
        <v>323.7</v>
      </c>
      <c r="I1759">
        <v>117.03</v>
      </c>
      <c r="J1759">
        <v>206.67</v>
      </c>
      <c r="K1759">
        <v>60</v>
      </c>
      <c r="L1759" s="11">
        <v>0.46068287037037037</v>
      </c>
      <c r="M1759">
        <f t="shared" si="136"/>
        <v>25</v>
      </c>
      <c r="N1759">
        <f t="shared" si="137"/>
        <v>4</v>
      </c>
      <c r="O1759">
        <f t="shared" si="138"/>
        <v>2024</v>
      </c>
      <c r="P1759" s="4">
        <f t="shared" si="139"/>
        <v>45407</v>
      </c>
      <c r="Q1759" t="s">
        <v>1138</v>
      </c>
      <c r="R1759" t="s">
        <v>1135</v>
      </c>
      <c r="S1759">
        <v>4</v>
      </c>
      <c r="T1759" t="s">
        <v>1150</v>
      </c>
      <c r="U1759" s="11" t="str">
        <f t="shared" si="135"/>
        <v>11:03:23 AM</v>
      </c>
      <c r="BL1759" s="2" t="s">
        <v>2909</v>
      </c>
    </row>
    <row r="1760" spans="1:64" x14ac:dyDescent="0.35">
      <c r="A1760">
        <v>9967</v>
      </c>
      <c r="B1760" t="s">
        <v>15</v>
      </c>
      <c r="C1760" s="1">
        <v>45593</v>
      </c>
      <c r="D1760" t="s">
        <v>6</v>
      </c>
      <c r="E1760" t="s">
        <v>22</v>
      </c>
      <c r="F1760">
        <v>3</v>
      </c>
      <c r="G1760">
        <v>2060.89</v>
      </c>
      <c r="H1760">
        <v>6182.67</v>
      </c>
      <c r="I1760">
        <v>1236.7</v>
      </c>
      <c r="J1760">
        <v>4945.97</v>
      </c>
      <c r="K1760">
        <v>277</v>
      </c>
      <c r="L1760" s="11">
        <v>0.39228009259259261</v>
      </c>
      <c r="M1760">
        <f t="shared" si="136"/>
        <v>28</v>
      </c>
      <c r="N1760">
        <f t="shared" si="137"/>
        <v>10</v>
      </c>
      <c r="O1760">
        <f t="shared" si="138"/>
        <v>2024</v>
      </c>
      <c r="P1760" s="4">
        <f t="shared" si="139"/>
        <v>45593</v>
      </c>
      <c r="Q1760" t="s">
        <v>1134</v>
      </c>
      <c r="R1760" t="s">
        <v>1135</v>
      </c>
      <c r="S1760">
        <v>3</v>
      </c>
      <c r="T1760" t="s">
        <v>1144</v>
      </c>
      <c r="U1760" s="11" t="str">
        <f t="shared" si="135"/>
        <v>09:24:53 AM</v>
      </c>
      <c r="BL1760" s="2" t="s">
        <v>2910</v>
      </c>
    </row>
    <row r="1761" spans="1:64" x14ac:dyDescent="0.35">
      <c r="A1761">
        <v>3139</v>
      </c>
      <c r="B1761" t="s">
        <v>0</v>
      </c>
      <c r="C1761" s="1">
        <v>45584</v>
      </c>
      <c r="D1761" t="s">
        <v>11</v>
      </c>
      <c r="E1761" t="s">
        <v>2</v>
      </c>
      <c r="F1761">
        <v>1</v>
      </c>
      <c r="G1761">
        <v>1000.15</v>
      </c>
      <c r="H1761">
        <v>1000.15</v>
      </c>
      <c r="I1761">
        <v>291.33</v>
      </c>
      <c r="J1761">
        <v>708.82</v>
      </c>
      <c r="K1761">
        <v>456</v>
      </c>
      <c r="L1761" s="11">
        <v>0.40626157407407409</v>
      </c>
      <c r="M1761">
        <f t="shared" si="136"/>
        <v>19</v>
      </c>
      <c r="N1761">
        <f t="shared" si="137"/>
        <v>10</v>
      </c>
      <c r="O1761">
        <f t="shared" si="138"/>
        <v>2024</v>
      </c>
      <c r="P1761" s="4">
        <f t="shared" si="139"/>
        <v>45584</v>
      </c>
      <c r="Q1761" t="s">
        <v>1134</v>
      </c>
      <c r="R1761" t="s">
        <v>1137</v>
      </c>
      <c r="S1761">
        <v>1</v>
      </c>
      <c r="T1761" t="s">
        <v>1147</v>
      </c>
      <c r="U1761" s="11" t="str">
        <f t="shared" si="135"/>
        <v>09:45:01 AM</v>
      </c>
      <c r="BL1761" s="2" t="s">
        <v>2911</v>
      </c>
    </row>
    <row r="1762" spans="1:64" x14ac:dyDescent="0.35">
      <c r="A1762">
        <v>8951</v>
      </c>
      <c r="B1762" t="s">
        <v>13</v>
      </c>
      <c r="C1762" s="1">
        <v>45757</v>
      </c>
      <c r="D1762" t="s">
        <v>17</v>
      </c>
      <c r="E1762" t="s">
        <v>18</v>
      </c>
      <c r="F1762">
        <v>4</v>
      </c>
      <c r="G1762">
        <v>1908.17</v>
      </c>
      <c r="H1762">
        <v>7632.68</v>
      </c>
      <c r="I1762">
        <v>414.17</v>
      </c>
      <c r="J1762">
        <v>7218.51</v>
      </c>
      <c r="K1762">
        <v>115</v>
      </c>
      <c r="L1762" s="11">
        <v>0.6986458333333333</v>
      </c>
      <c r="M1762">
        <f t="shared" si="136"/>
        <v>10</v>
      </c>
      <c r="N1762">
        <f t="shared" si="137"/>
        <v>4</v>
      </c>
      <c r="O1762">
        <f t="shared" si="138"/>
        <v>2025</v>
      </c>
      <c r="P1762" s="4">
        <f t="shared" si="139"/>
        <v>45757</v>
      </c>
      <c r="Q1762" t="s">
        <v>1136</v>
      </c>
      <c r="R1762" t="s">
        <v>1135</v>
      </c>
      <c r="S1762">
        <v>2</v>
      </c>
      <c r="T1762" t="s">
        <v>1148</v>
      </c>
      <c r="U1762" s="11" t="str">
        <f t="shared" si="135"/>
        <v>04:46:03 PM</v>
      </c>
      <c r="BL1762" s="2" t="s">
        <v>2912</v>
      </c>
    </row>
    <row r="1763" spans="1:64" x14ac:dyDescent="0.35">
      <c r="A1763">
        <v>6631</v>
      </c>
      <c r="B1763" t="s">
        <v>25</v>
      </c>
      <c r="C1763" s="1">
        <v>45839</v>
      </c>
      <c r="D1763" t="s">
        <v>6</v>
      </c>
      <c r="E1763" t="s">
        <v>37</v>
      </c>
      <c r="F1763">
        <v>4</v>
      </c>
      <c r="G1763">
        <v>1097.26</v>
      </c>
      <c r="H1763">
        <v>4389.04</v>
      </c>
      <c r="I1763">
        <v>658.19</v>
      </c>
      <c r="J1763">
        <v>3730.85</v>
      </c>
      <c r="K1763">
        <v>326</v>
      </c>
      <c r="L1763" s="11">
        <v>2.9409722222222223E-2</v>
      </c>
      <c r="M1763">
        <f t="shared" si="136"/>
        <v>1</v>
      </c>
      <c r="N1763">
        <f t="shared" si="137"/>
        <v>7</v>
      </c>
      <c r="O1763">
        <f t="shared" si="138"/>
        <v>2025</v>
      </c>
      <c r="P1763" s="4">
        <f t="shared" si="139"/>
        <v>45839</v>
      </c>
      <c r="Q1763" t="s">
        <v>1134</v>
      </c>
      <c r="R1763" t="s">
        <v>1137</v>
      </c>
      <c r="S1763">
        <v>2</v>
      </c>
      <c r="T1763" t="s">
        <v>1145</v>
      </c>
      <c r="U1763" s="11" t="str">
        <f t="shared" si="135"/>
        <v>12:42:21 AM</v>
      </c>
      <c r="BL1763" s="2" t="s">
        <v>2913</v>
      </c>
    </row>
    <row r="1764" spans="1:64" x14ac:dyDescent="0.35">
      <c r="A1764">
        <v>1793</v>
      </c>
      <c r="B1764" t="s">
        <v>19</v>
      </c>
      <c r="C1764" s="1">
        <v>45180</v>
      </c>
      <c r="D1764" t="s">
        <v>24</v>
      </c>
      <c r="E1764" t="s">
        <v>36</v>
      </c>
      <c r="F1764">
        <v>3</v>
      </c>
      <c r="G1764">
        <v>1092.28</v>
      </c>
      <c r="H1764">
        <v>3276.84</v>
      </c>
      <c r="I1764">
        <v>491.36</v>
      </c>
      <c r="J1764">
        <v>2785.48</v>
      </c>
      <c r="K1764">
        <v>428</v>
      </c>
      <c r="L1764" s="11">
        <v>0.97978009259259258</v>
      </c>
      <c r="M1764">
        <f t="shared" si="136"/>
        <v>11</v>
      </c>
      <c r="N1764">
        <f t="shared" si="137"/>
        <v>9</v>
      </c>
      <c r="O1764">
        <f t="shared" si="138"/>
        <v>2023</v>
      </c>
      <c r="P1764" s="4">
        <f t="shared" si="139"/>
        <v>45180</v>
      </c>
      <c r="Q1764" t="s">
        <v>1134</v>
      </c>
      <c r="R1764" t="s">
        <v>1135</v>
      </c>
      <c r="S1764">
        <v>2</v>
      </c>
      <c r="T1764" t="s">
        <v>1141</v>
      </c>
      <c r="U1764" s="11" t="str">
        <f t="shared" si="135"/>
        <v>11:30:53 PM</v>
      </c>
      <c r="BL1764" s="2" t="s">
        <v>2914</v>
      </c>
    </row>
    <row r="1765" spans="1:64" x14ac:dyDescent="0.35">
      <c r="A1765">
        <v>2631</v>
      </c>
      <c r="B1765" t="s">
        <v>0</v>
      </c>
      <c r="C1765" s="1">
        <v>45631</v>
      </c>
      <c r="D1765" t="s">
        <v>1</v>
      </c>
      <c r="E1765" t="s">
        <v>38</v>
      </c>
      <c r="F1765">
        <v>4</v>
      </c>
      <c r="G1765">
        <v>666.49</v>
      </c>
      <c r="H1765">
        <v>2665.96</v>
      </c>
      <c r="I1765">
        <v>227.42</v>
      </c>
      <c r="J1765">
        <v>2438.54</v>
      </c>
      <c r="K1765">
        <v>253</v>
      </c>
      <c r="L1765" s="11">
        <v>0.39818287037037037</v>
      </c>
      <c r="M1765">
        <f t="shared" si="136"/>
        <v>5</v>
      </c>
      <c r="N1765">
        <f t="shared" si="137"/>
        <v>12</v>
      </c>
      <c r="O1765">
        <f t="shared" si="138"/>
        <v>2024</v>
      </c>
      <c r="P1765" s="4">
        <f t="shared" si="139"/>
        <v>45631</v>
      </c>
      <c r="Q1765" t="s">
        <v>1134</v>
      </c>
      <c r="R1765" t="s">
        <v>1135</v>
      </c>
      <c r="S1765">
        <v>4</v>
      </c>
      <c r="T1765" t="s">
        <v>1146</v>
      </c>
      <c r="U1765" s="11" t="str">
        <f t="shared" si="135"/>
        <v>09:33:23 AM</v>
      </c>
      <c r="BL1765" s="2" t="s">
        <v>2915</v>
      </c>
    </row>
    <row r="1766" spans="1:64" x14ac:dyDescent="0.35">
      <c r="A1766">
        <v>8529</v>
      </c>
      <c r="B1766" t="s">
        <v>19</v>
      </c>
      <c r="C1766" s="1">
        <v>45157</v>
      </c>
      <c r="D1766" t="s">
        <v>4</v>
      </c>
      <c r="E1766" t="s">
        <v>37</v>
      </c>
      <c r="F1766">
        <v>5</v>
      </c>
      <c r="G1766">
        <v>1542.14</v>
      </c>
      <c r="H1766">
        <v>7710.7</v>
      </c>
      <c r="I1766">
        <v>255.64</v>
      </c>
      <c r="J1766">
        <v>7455.06</v>
      </c>
      <c r="K1766">
        <v>289</v>
      </c>
      <c r="L1766" s="11">
        <v>0.46454861111111112</v>
      </c>
      <c r="M1766">
        <f t="shared" si="136"/>
        <v>19</v>
      </c>
      <c r="N1766">
        <f t="shared" si="137"/>
        <v>8</v>
      </c>
      <c r="O1766">
        <f t="shared" si="138"/>
        <v>2023</v>
      </c>
      <c r="P1766" s="4">
        <f t="shared" si="139"/>
        <v>45157</v>
      </c>
      <c r="Q1766" t="s">
        <v>1138</v>
      </c>
      <c r="R1766" t="s">
        <v>1135</v>
      </c>
      <c r="S1766">
        <v>3</v>
      </c>
      <c r="T1766" t="s">
        <v>1150</v>
      </c>
      <c r="U1766" s="11" t="str">
        <f t="shared" si="135"/>
        <v>11:08:57 AM</v>
      </c>
      <c r="BL1766" s="2" t="s">
        <v>2916</v>
      </c>
    </row>
    <row r="1767" spans="1:64" x14ac:dyDescent="0.35">
      <c r="A1767">
        <v>3035</v>
      </c>
      <c r="B1767" t="s">
        <v>13</v>
      </c>
      <c r="C1767" s="1">
        <v>45866</v>
      </c>
      <c r="D1767" t="s">
        <v>1</v>
      </c>
      <c r="E1767" t="s">
        <v>38</v>
      </c>
      <c r="F1767">
        <v>5</v>
      </c>
      <c r="G1767">
        <v>2099.9</v>
      </c>
      <c r="H1767">
        <v>10499.5</v>
      </c>
      <c r="I1767">
        <v>114.54</v>
      </c>
      <c r="J1767">
        <v>10384.959999999999</v>
      </c>
      <c r="K1767">
        <v>329</v>
      </c>
      <c r="L1767" s="11">
        <v>0.22013888888888888</v>
      </c>
      <c r="M1767">
        <f t="shared" si="136"/>
        <v>28</v>
      </c>
      <c r="N1767">
        <f t="shared" si="137"/>
        <v>7</v>
      </c>
      <c r="O1767">
        <f t="shared" si="138"/>
        <v>2025</v>
      </c>
      <c r="P1767" s="4">
        <f t="shared" si="139"/>
        <v>45866</v>
      </c>
      <c r="Q1767" t="s">
        <v>1136</v>
      </c>
      <c r="R1767" t="s">
        <v>1135</v>
      </c>
      <c r="S1767">
        <v>2</v>
      </c>
      <c r="T1767" t="s">
        <v>1141</v>
      </c>
      <c r="U1767" s="11" t="str">
        <f t="shared" si="135"/>
        <v>05:17:00 AM</v>
      </c>
      <c r="BL1767" s="2" t="s">
        <v>2917</v>
      </c>
    </row>
    <row r="1768" spans="1:64" x14ac:dyDescent="0.35">
      <c r="A1768">
        <v>3588</v>
      </c>
      <c r="B1768" t="s">
        <v>31</v>
      </c>
      <c r="C1768" s="1">
        <v>45487</v>
      </c>
      <c r="D1768" t="s">
        <v>11</v>
      </c>
      <c r="E1768" t="s">
        <v>5</v>
      </c>
      <c r="F1768">
        <v>4</v>
      </c>
      <c r="G1768">
        <v>1811.06</v>
      </c>
      <c r="H1768">
        <v>7244.24</v>
      </c>
      <c r="I1768">
        <v>0</v>
      </c>
      <c r="J1768">
        <v>7244.24</v>
      </c>
      <c r="K1768">
        <v>20</v>
      </c>
      <c r="L1768" s="11">
        <v>0.16969907407407409</v>
      </c>
      <c r="M1768">
        <f t="shared" si="136"/>
        <v>14</v>
      </c>
      <c r="N1768">
        <f t="shared" si="137"/>
        <v>7</v>
      </c>
      <c r="O1768">
        <f t="shared" si="138"/>
        <v>2024</v>
      </c>
      <c r="P1768" s="4">
        <f t="shared" si="139"/>
        <v>45487</v>
      </c>
      <c r="Q1768" t="s">
        <v>1139</v>
      </c>
      <c r="R1768" t="s">
        <v>1137</v>
      </c>
      <c r="S1768">
        <v>2</v>
      </c>
      <c r="T1768" t="s">
        <v>1146</v>
      </c>
      <c r="U1768" s="11" t="str">
        <f t="shared" si="135"/>
        <v>04:04:22 AM</v>
      </c>
      <c r="BL1768" s="2" t="s">
        <v>2918</v>
      </c>
    </row>
    <row r="1769" spans="1:64" x14ac:dyDescent="0.35">
      <c r="A1769">
        <v>8479</v>
      </c>
      <c r="B1769" t="s">
        <v>15</v>
      </c>
      <c r="C1769" s="1">
        <v>45145</v>
      </c>
      <c r="D1769" t="s">
        <v>34</v>
      </c>
      <c r="E1769" t="s">
        <v>36</v>
      </c>
      <c r="F1769">
        <v>1</v>
      </c>
      <c r="G1769">
        <v>2345.58</v>
      </c>
      <c r="H1769">
        <v>2345.58</v>
      </c>
      <c r="I1769">
        <v>0</v>
      </c>
      <c r="J1769">
        <v>2345.58</v>
      </c>
      <c r="K1769">
        <v>416</v>
      </c>
      <c r="L1769" s="11">
        <v>0.68726851851851856</v>
      </c>
      <c r="M1769">
        <f t="shared" si="136"/>
        <v>7</v>
      </c>
      <c r="N1769">
        <f t="shared" si="137"/>
        <v>8</v>
      </c>
      <c r="O1769">
        <f t="shared" si="138"/>
        <v>2023</v>
      </c>
      <c r="P1769" s="4">
        <f t="shared" si="139"/>
        <v>45145</v>
      </c>
      <c r="Q1769" t="s">
        <v>1138</v>
      </c>
      <c r="R1769" t="s">
        <v>1137</v>
      </c>
      <c r="S1769">
        <v>1</v>
      </c>
      <c r="T1769" t="s">
        <v>1146</v>
      </c>
      <c r="U1769" s="11" t="str">
        <f t="shared" si="135"/>
        <v>04:29:40 PM</v>
      </c>
      <c r="BL1769" s="2" t="s">
        <v>2919</v>
      </c>
    </row>
    <row r="1770" spans="1:64" x14ac:dyDescent="0.35">
      <c r="A1770">
        <v>8009</v>
      </c>
      <c r="B1770" t="s">
        <v>20</v>
      </c>
      <c r="C1770" s="1">
        <v>45302</v>
      </c>
      <c r="D1770" t="s">
        <v>6</v>
      </c>
      <c r="E1770" t="s">
        <v>18</v>
      </c>
      <c r="F1770">
        <v>1</v>
      </c>
      <c r="G1770">
        <v>1600.24</v>
      </c>
      <c r="H1770">
        <v>1600.24</v>
      </c>
      <c r="I1770">
        <v>239.87</v>
      </c>
      <c r="J1770">
        <v>1360.37</v>
      </c>
      <c r="K1770">
        <v>168</v>
      </c>
      <c r="L1770" s="11">
        <v>0.36682870370370368</v>
      </c>
      <c r="M1770">
        <f t="shared" si="136"/>
        <v>11</v>
      </c>
      <c r="N1770">
        <f t="shared" si="137"/>
        <v>1</v>
      </c>
      <c r="O1770">
        <f t="shared" si="138"/>
        <v>2024</v>
      </c>
      <c r="P1770" s="4">
        <f t="shared" si="139"/>
        <v>45302</v>
      </c>
      <c r="Q1770" t="s">
        <v>1134</v>
      </c>
      <c r="R1770" t="s">
        <v>1135</v>
      </c>
      <c r="S1770">
        <v>1</v>
      </c>
      <c r="T1770" t="s">
        <v>1146</v>
      </c>
      <c r="U1770" s="11" t="str">
        <f t="shared" ref="U1770:U1833" si="140">TEXT(L1770,"hh:mm:ss AM/PM")</f>
        <v>08:48:14 AM</v>
      </c>
      <c r="BL1770" s="2" t="s">
        <v>2920</v>
      </c>
    </row>
    <row r="1771" spans="1:64" x14ac:dyDescent="0.35">
      <c r="A1771">
        <v>3161</v>
      </c>
      <c r="B1771" t="s">
        <v>13</v>
      </c>
      <c r="C1771" s="1">
        <v>45830</v>
      </c>
      <c r="D1771" t="s">
        <v>1</v>
      </c>
      <c r="E1771" t="s">
        <v>22</v>
      </c>
      <c r="F1771">
        <v>3</v>
      </c>
      <c r="G1771">
        <v>945.37</v>
      </c>
      <c r="H1771">
        <v>2836.11</v>
      </c>
      <c r="I1771">
        <v>425.79</v>
      </c>
      <c r="J1771">
        <v>2410.3200000000002</v>
      </c>
      <c r="K1771">
        <v>349</v>
      </c>
      <c r="L1771" s="11">
        <v>0.54289351851851853</v>
      </c>
      <c r="M1771">
        <f t="shared" si="136"/>
        <v>22</v>
      </c>
      <c r="N1771">
        <f t="shared" si="137"/>
        <v>6</v>
      </c>
      <c r="O1771">
        <f t="shared" si="138"/>
        <v>2025</v>
      </c>
      <c r="P1771" s="4">
        <f t="shared" si="139"/>
        <v>45830</v>
      </c>
      <c r="Q1771" t="s">
        <v>1138</v>
      </c>
      <c r="R1771" t="s">
        <v>1137</v>
      </c>
      <c r="S1771">
        <v>3</v>
      </c>
      <c r="T1771" t="s">
        <v>1146</v>
      </c>
      <c r="U1771" s="11" t="str">
        <f t="shared" si="140"/>
        <v>01:01:46 PM</v>
      </c>
      <c r="BL1771" s="2" t="s">
        <v>2921</v>
      </c>
    </row>
    <row r="1772" spans="1:64" x14ac:dyDescent="0.35">
      <c r="A1772">
        <v>5945</v>
      </c>
      <c r="B1772" t="s">
        <v>31</v>
      </c>
      <c r="C1772" s="1">
        <v>45268</v>
      </c>
      <c r="D1772" t="s">
        <v>24</v>
      </c>
      <c r="E1772" t="s">
        <v>22</v>
      </c>
      <c r="F1772">
        <v>1</v>
      </c>
      <c r="G1772">
        <v>863.2</v>
      </c>
      <c r="H1772">
        <v>863.2</v>
      </c>
      <c r="I1772">
        <v>172.64</v>
      </c>
      <c r="J1772">
        <v>690.56</v>
      </c>
      <c r="K1772">
        <v>357</v>
      </c>
      <c r="L1772" s="11">
        <v>0.93478009259259254</v>
      </c>
      <c r="M1772">
        <f t="shared" si="136"/>
        <v>8</v>
      </c>
      <c r="N1772">
        <f t="shared" si="137"/>
        <v>12</v>
      </c>
      <c r="O1772">
        <f t="shared" si="138"/>
        <v>2023</v>
      </c>
      <c r="P1772" s="4">
        <f t="shared" si="139"/>
        <v>45268</v>
      </c>
      <c r="Q1772" t="s">
        <v>1134</v>
      </c>
      <c r="R1772" t="s">
        <v>1135</v>
      </c>
      <c r="S1772">
        <v>3</v>
      </c>
      <c r="T1772" t="s">
        <v>1146</v>
      </c>
      <c r="U1772" s="11" t="str">
        <f t="shared" si="140"/>
        <v>10:26:05 PM</v>
      </c>
      <c r="BL1772" s="2" t="s">
        <v>2922</v>
      </c>
    </row>
    <row r="1773" spans="1:64" x14ac:dyDescent="0.35">
      <c r="A1773">
        <v>5489</v>
      </c>
      <c r="B1773" t="s">
        <v>31</v>
      </c>
      <c r="C1773" s="1">
        <v>45217</v>
      </c>
      <c r="D1773" t="s">
        <v>27</v>
      </c>
      <c r="E1773" t="s">
        <v>7</v>
      </c>
      <c r="F1773">
        <v>3</v>
      </c>
      <c r="G1773">
        <v>1865.01</v>
      </c>
      <c r="H1773">
        <v>5595.03</v>
      </c>
      <c r="I1773">
        <v>1118.8399999999999</v>
      </c>
      <c r="J1773">
        <v>4476.1899999999996</v>
      </c>
      <c r="K1773">
        <v>385</v>
      </c>
      <c r="L1773" s="11">
        <v>0.6256828703703704</v>
      </c>
      <c r="M1773">
        <f t="shared" si="136"/>
        <v>18</v>
      </c>
      <c r="N1773">
        <f t="shared" si="137"/>
        <v>10</v>
      </c>
      <c r="O1773">
        <f t="shared" si="138"/>
        <v>2023</v>
      </c>
      <c r="P1773" s="4">
        <f t="shared" si="139"/>
        <v>45217</v>
      </c>
      <c r="Q1773" t="s">
        <v>1134</v>
      </c>
      <c r="R1773" t="s">
        <v>1135</v>
      </c>
      <c r="S1773">
        <v>5</v>
      </c>
      <c r="T1773" t="s">
        <v>1142</v>
      </c>
      <c r="U1773" s="11" t="str">
        <f t="shared" si="140"/>
        <v>03:00:59 PM</v>
      </c>
      <c r="BL1773" s="2" t="s">
        <v>2923</v>
      </c>
    </row>
    <row r="1774" spans="1:64" x14ac:dyDescent="0.35">
      <c r="A1774">
        <v>6905</v>
      </c>
      <c r="B1774" t="s">
        <v>15</v>
      </c>
      <c r="C1774" s="1">
        <v>45339</v>
      </c>
      <c r="D1774" t="s">
        <v>4</v>
      </c>
      <c r="E1774" t="s">
        <v>10</v>
      </c>
      <c r="F1774">
        <v>3</v>
      </c>
      <c r="G1774">
        <v>1566.21</v>
      </c>
      <c r="H1774">
        <v>4698.63</v>
      </c>
      <c r="I1774">
        <v>704.67</v>
      </c>
      <c r="J1774">
        <v>3993.96</v>
      </c>
      <c r="K1774">
        <v>378</v>
      </c>
      <c r="L1774" s="11">
        <v>0.30023148148148149</v>
      </c>
      <c r="M1774">
        <f t="shared" si="136"/>
        <v>17</v>
      </c>
      <c r="N1774">
        <f t="shared" si="137"/>
        <v>2</v>
      </c>
      <c r="O1774">
        <f t="shared" si="138"/>
        <v>2024</v>
      </c>
      <c r="P1774" s="4">
        <f t="shared" si="139"/>
        <v>45339</v>
      </c>
      <c r="Q1774" t="s">
        <v>1138</v>
      </c>
      <c r="R1774" t="s">
        <v>1135</v>
      </c>
      <c r="S1774">
        <v>1</v>
      </c>
      <c r="T1774" t="s">
        <v>1148</v>
      </c>
      <c r="U1774" s="11" t="str">
        <f t="shared" si="140"/>
        <v>07:12:20 AM</v>
      </c>
      <c r="BL1774" s="2" t="s">
        <v>2924</v>
      </c>
    </row>
    <row r="1775" spans="1:64" x14ac:dyDescent="0.35">
      <c r="A1775">
        <v>2350</v>
      </c>
      <c r="B1775" t="s">
        <v>19</v>
      </c>
      <c r="C1775" s="1">
        <v>45433</v>
      </c>
      <c r="D1775" t="s">
        <v>4</v>
      </c>
      <c r="E1775" t="s">
        <v>32</v>
      </c>
      <c r="F1775">
        <v>4</v>
      </c>
      <c r="G1775">
        <v>834.98</v>
      </c>
      <c r="H1775">
        <v>3339.92</v>
      </c>
      <c r="I1775">
        <v>333.66</v>
      </c>
      <c r="J1775">
        <v>3006.26</v>
      </c>
      <c r="K1775">
        <v>254</v>
      </c>
      <c r="L1775" s="11">
        <v>0.89081018518518518</v>
      </c>
      <c r="M1775">
        <f t="shared" si="136"/>
        <v>21</v>
      </c>
      <c r="N1775">
        <f t="shared" si="137"/>
        <v>5</v>
      </c>
      <c r="O1775">
        <f t="shared" si="138"/>
        <v>2024</v>
      </c>
      <c r="P1775" s="4">
        <f t="shared" si="139"/>
        <v>45433</v>
      </c>
      <c r="Q1775" t="s">
        <v>1136</v>
      </c>
      <c r="R1775" t="s">
        <v>1135</v>
      </c>
      <c r="S1775">
        <v>5</v>
      </c>
      <c r="T1775" t="s">
        <v>1149</v>
      </c>
      <c r="U1775" s="11" t="str">
        <f t="shared" si="140"/>
        <v>09:22:46 PM</v>
      </c>
      <c r="BL1775" s="2" t="s">
        <v>2925</v>
      </c>
    </row>
    <row r="1776" spans="1:64" x14ac:dyDescent="0.35">
      <c r="A1776">
        <v>3711</v>
      </c>
      <c r="B1776" t="s">
        <v>31</v>
      </c>
      <c r="C1776" s="1">
        <v>45185</v>
      </c>
      <c r="D1776" t="s">
        <v>24</v>
      </c>
      <c r="E1776" t="s">
        <v>37</v>
      </c>
      <c r="F1776">
        <v>3</v>
      </c>
      <c r="G1776">
        <v>893.08</v>
      </c>
      <c r="H1776">
        <v>2679.24</v>
      </c>
      <c r="I1776">
        <v>536.17999999999995</v>
      </c>
      <c r="J1776">
        <v>2143.06</v>
      </c>
      <c r="K1776">
        <v>224</v>
      </c>
      <c r="L1776" s="11">
        <v>0.66266203703703708</v>
      </c>
      <c r="M1776">
        <f t="shared" si="136"/>
        <v>16</v>
      </c>
      <c r="N1776">
        <f t="shared" si="137"/>
        <v>9</v>
      </c>
      <c r="O1776">
        <f t="shared" si="138"/>
        <v>2023</v>
      </c>
      <c r="P1776" s="4">
        <f t="shared" si="139"/>
        <v>45185</v>
      </c>
      <c r="Q1776" t="s">
        <v>1134</v>
      </c>
      <c r="R1776" t="s">
        <v>1137</v>
      </c>
      <c r="S1776">
        <v>4</v>
      </c>
      <c r="T1776" t="s">
        <v>1142</v>
      </c>
      <c r="U1776" s="11" t="str">
        <f t="shared" si="140"/>
        <v>03:54:14 PM</v>
      </c>
      <c r="BL1776" s="2" t="s">
        <v>2926</v>
      </c>
    </row>
    <row r="1777" spans="1:64" x14ac:dyDescent="0.35">
      <c r="A1777">
        <v>7493</v>
      </c>
      <c r="B1777" t="s">
        <v>8</v>
      </c>
      <c r="C1777" s="1">
        <v>45630</v>
      </c>
      <c r="D1777" t="s">
        <v>11</v>
      </c>
      <c r="E1777" t="s">
        <v>28</v>
      </c>
      <c r="F1777">
        <v>1</v>
      </c>
      <c r="G1777">
        <v>538.66999999999996</v>
      </c>
      <c r="H1777">
        <v>538.66999999999996</v>
      </c>
      <c r="I1777">
        <v>261.45</v>
      </c>
      <c r="J1777">
        <v>277.22000000000003</v>
      </c>
      <c r="K1777">
        <v>158</v>
      </c>
      <c r="L1777" s="11">
        <v>0.86754629629629632</v>
      </c>
      <c r="M1777">
        <f t="shared" si="136"/>
        <v>4</v>
      </c>
      <c r="N1777">
        <f t="shared" si="137"/>
        <v>12</v>
      </c>
      <c r="O1777">
        <f t="shared" si="138"/>
        <v>2024</v>
      </c>
      <c r="P1777" s="4">
        <f t="shared" si="139"/>
        <v>45630</v>
      </c>
      <c r="Q1777" t="s">
        <v>1136</v>
      </c>
      <c r="R1777" t="s">
        <v>1135</v>
      </c>
      <c r="S1777">
        <v>5</v>
      </c>
      <c r="T1777" t="s">
        <v>1148</v>
      </c>
      <c r="U1777" s="11" t="str">
        <f t="shared" si="140"/>
        <v>08:49:16 PM</v>
      </c>
      <c r="BL1777" s="2" t="s">
        <v>2927</v>
      </c>
    </row>
    <row r="1778" spans="1:64" x14ac:dyDescent="0.35">
      <c r="A1778">
        <v>6005</v>
      </c>
      <c r="B1778" t="s">
        <v>13</v>
      </c>
      <c r="C1778" s="1">
        <v>45708</v>
      </c>
      <c r="D1778" t="s">
        <v>17</v>
      </c>
      <c r="E1778" t="s">
        <v>32</v>
      </c>
      <c r="F1778">
        <v>2</v>
      </c>
      <c r="G1778">
        <v>307.10000000000002</v>
      </c>
      <c r="H1778">
        <v>614.20000000000005</v>
      </c>
      <c r="I1778">
        <v>92.13</v>
      </c>
      <c r="J1778">
        <v>522.07000000000005</v>
      </c>
      <c r="K1778">
        <v>364</v>
      </c>
      <c r="L1778" s="11">
        <v>0.16413194444444446</v>
      </c>
      <c r="M1778">
        <f t="shared" si="136"/>
        <v>20</v>
      </c>
      <c r="N1778">
        <f t="shared" si="137"/>
        <v>2</v>
      </c>
      <c r="O1778">
        <f t="shared" si="138"/>
        <v>2025</v>
      </c>
      <c r="P1778" s="4">
        <f t="shared" si="139"/>
        <v>45708</v>
      </c>
      <c r="Q1778" t="s">
        <v>1139</v>
      </c>
      <c r="R1778" t="s">
        <v>1135</v>
      </c>
      <c r="S1778">
        <v>2</v>
      </c>
      <c r="T1778" t="s">
        <v>1150</v>
      </c>
      <c r="U1778" s="11" t="str">
        <f t="shared" si="140"/>
        <v>03:56:21 AM</v>
      </c>
      <c r="BL1778" s="2" t="s">
        <v>2928</v>
      </c>
    </row>
    <row r="1779" spans="1:64" x14ac:dyDescent="0.35">
      <c r="A1779">
        <v>4836</v>
      </c>
      <c r="B1779" t="s">
        <v>8</v>
      </c>
      <c r="C1779" s="1">
        <v>45478</v>
      </c>
      <c r="D1779" t="s">
        <v>11</v>
      </c>
      <c r="E1779" t="s">
        <v>7</v>
      </c>
      <c r="F1779">
        <v>3</v>
      </c>
      <c r="G1779">
        <v>1037.5</v>
      </c>
      <c r="H1779">
        <v>3112.5</v>
      </c>
      <c r="I1779">
        <v>363.54</v>
      </c>
      <c r="J1779">
        <v>2748.96</v>
      </c>
      <c r="K1779">
        <v>471</v>
      </c>
      <c r="L1779" s="11">
        <v>0.1137962962962963</v>
      </c>
      <c r="M1779">
        <f t="shared" si="136"/>
        <v>5</v>
      </c>
      <c r="N1779">
        <f t="shared" si="137"/>
        <v>7</v>
      </c>
      <c r="O1779">
        <f t="shared" si="138"/>
        <v>2024</v>
      </c>
      <c r="P1779" s="4">
        <f t="shared" si="139"/>
        <v>45478</v>
      </c>
      <c r="Q1779" t="s">
        <v>1134</v>
      </c>
      <c r="R1779" t="s">
        <v>1137</v>
      </c>
      <c r="S1779">
        <v>5</v>
      </c>
      <c r="T1779" t="s">
        <v>1143</v>
      </c>
      <c r="U1779" s="11" t="str">
        <f t="shared" si="140"/>
        <v>02:43:52 AM</v>
      </c>
      <c r="BL1779" s="2" t="s">
        <v>2929</v>
      </c>
    </row>
    <row r="1780" spans="1:64" x14ac:dyDescent="0.35">
      <c r="A1780">
        <v>2494</v>
      </c>
      <c r="B1780" t="s">
        <v>19</v>
      </c>
      <c r="C1780" s="1">
        <v>45691</v>
      </c>
      <c r="D1780" t="s">
        <v>17</v>
      </c>
      <c r="E1780" t="s">
        <v>32</v>
      </c>
      <c r="F1780">
        <v>3</v>
      </c>
      <c r="G1780">
        <v>2487.5100000000002</v>
      </c>
      <c r="H1780">
        <v>7462.53</v>
      </c>
      <c r="I1780">
        <v>1492.34</v>
      </c>
      <c r="J1780">
        <v>5970.19</v>
      </c>
      <c r="K1780">
        <v>226</v>
      </c>
      <c r="L1780" s="11">
        <v>0.39337962962962963</v>
      </c>
      <c r="M1780">
        <f t="shared" si="136"/>
        <v>3</v>
      </c>
      <c r="N1780">
        <f t="shared" si="137"/>
        <v>2</v>
      </c>
      <c r="O1780">
        <f t="shared" si="138"/>
        <v>2025</v>
      </c>
      <c r="P1780" s="4">
        <f t="shared" si="139"/>
        <v>45691</v>
      </c>
      <c r="Q1780" t="s">
        <v>1136</v>
      </c>
      <c r="R1780" t="s">
        <v>1135</v>
      </c>
      <c r="S1780">
        <v>3</v>
      </c>
      <c r="T1780" t="s">
        <v>1142</v>
      </c>
      <c r="U1780" s="11" t="str">
        <f t="shared" si="140"/>
        <v>09:26:28 AM</v>
      </c>
      <c r="BL1780" s="2" t="s">
        <v>2930</v>
      </c>
    </row>
    <row r="1781" spans="1:64" x14ac:dyDescent="0.35">
      <c r="A1781">
        <v>2559</v>
      </c>
      <c r="B1781" t="s">
        <v>3</v>
      </c>
      <c r="C1781" s="1">
        <v>45145</v>
      </c>
      <c r="D1781" t="s">
        <v>23</v>
      </c>
      <c r="E1781" t="s">
        <v>2</v>
      </c>
      <c r="F1781">
        <v>1</v>
      </c>
      <c r="G1781">
        <v>1272.3900000000001</v>
      </c>
      <c r="H1781">
        <v>1272.3900000000001</v>
      </c>
      <c r="I1781">
        <v>254.81</v>
      </c>
      <c r="J1781">
        <v>1017.58</v>
      </c>
      <c r="K1781">
        <v>426</v>
      </c>
      <c r="L1781" s="11">
        <v>0.48886574074074074</v>
      </c>
      <c r="M1781">
        <f t="shared" si="136"/>
        <v>7</v>
      </c>
      <c r="N1781">
        <f t="shared" si="137"/>
        <v>8</v>
      </c>
      <c r="O1781">
        <f t="shared" si="138"/>
        <v>2023</v>
      </c>
      <c r="P1781" s="4">
        <f t="shared" si="139"/>
        <v>45145</v>
      </c>
      <c r="Q1781" t="s">
        <v>1136</v>
      </c>
      <c r="R1781" t="s">
        <v>1135</v>
      </c>
      <c r="S1781">
        <v>4</v>
      </c>
      <c r="T1781" t="s">
        <v>1150</v>
      </c>
      <c r="U1781" s="11" t="str">
        <f t="shared" si="140"/>
        <v>11:43:58 AM</v>
      </c>
      <c r="BL1781" s="2" t="s">
        <v>2931</v>
      </c>
    </row>
    <row r="1782" spans="1:64" x14ac:dyDescent="0.35">
      <c r="A1782">
        <v>4496</v>
      </c>
      <c r="B1782" t="s">
        <v>31</v>
      </c>
      <c r="C1782" s="1">
        <v>45515</v>
      </c>
      <c r="D1782" t="s">
        <v>34</v>
      </c>
      <c r="E1782" t="s">
        <v>33</v>
      </c>
      <c r="F1782">
        <v>2</v>
      </c>
      <c r="G1782">
        <v>112.05</v>
      </c>
      <c r="H1782">
        <v>224.1</v>
      </c>
      <c r="I1782">
        <v>243.19</v>
      </c>
      <c r="J1782">
        <v>-19.09</v>
      </c>
      <c r="K1782">
        <v>124</v>
      </c>
      <c r="L1782" s="11">
        <v>0.9587268518518518</v>
      </c>
      <c r="M1782">
        <f t="shared" si="136"/>
        <v>11</v>
      </c>
      <c r="N1782">
        <f t="shared" si="137"/>
        <v>8</v>
      </c>
      <c r="O1782">
        <f t="shared" si="138"/>
        <v>2024</v>
      </c>
      <c r="P1782" s="4">
        <f t="shared" si="139"/>
        <v>45515</v>
      </c>
      <c r="Q1782" t="s">
        <v>1139</v>
      </c>
      <c r="R1782" t="s">
        <v>1135</v>
      </c>
      <c r="S1782">
        <v>2</v>
      </c>
      <c r="T1782" t="s">
        <v>1141</v>
      </c>
      <c r="U1782" s="11" t="str">
        <f t="shared" si="140"/>
        <v>11:00:34 PM</v>
      </c>
      <c r="BL1782" s="2" t="s">
        <v>2932</v>
      </c>
    </row>
    <row r="1783" spans="1:64" x14ac:dyDescent="0.35">
      <c r="A1783">
        <v>2276</v>
      </c>
      <c r="B1783" t="s">
        <v>15</v>
      </c>
      <c r="C1783" s="1">
        <v>45248</v>
      </c>
      <c r="D1783" t="s">
        <v>9</v>
      </c>
      <c r="E1783" t="s">
        <v>7</v>
      </c>
      <c r="F1783">
        <v>5</v>
      </c>
      <c r="G1783">
        <v>2485.02</v>
      </c>
      <c r="H1783">
        <v>12425.1</v>
      </c>
      <c r="I1783">
        <v>2485.02</v>
      </c>
      <c r="J1783">
        <v>9940.08</v>
      </c>
      <c r="K1783">
        <v>98</v>
      </c>
      <c r="L1783" s="11">
        <v>0.28045138888888888</v>
      </c>
      <c r="M1783">
        <f t="shared" si="136"/>
        <v>18</v>
      </c>
      <c r="N1783">
        <f t="shared" si="137"/>
        <v>11</v>
      </c>
      <c r="O1783">
        <f t="shared" si="138"/>
        <v>2023</v>
      </c>
      <c r="P1783" s="4">
        <f t="shared" si="139"/>
        <v>45248</v>
      </c>
      <c r="Q1783" t="s">
        <v>1136</v>
      </c>
      <c r="R1783" t="s">
        <v>1137</v>
      </c>
      <c r="S1783">
        <v>5</v>
      </c>
      <c r="T1783" t="s">
        <v>1150</v>
      </c>
      <c r="U1783" s="11" t="str">
        <f t="shared" si="140"/>
        <v>06:43:51 AM</v>
      </c>
      <c r="BL1783" s="2" t="s">
        <v>2933</v>
      </c>
    </row>
    <row r="1784" spans="1:64" x14ac:dyDescent="0.35">
      <c r="A1784">
        <v>4705</v>
      </c>
      <c r="B1784" t="s">
        <v>3</v>
      </c>
      <c r="C1784" s="1">
        <v>45548</v>
      </c>
      <c r="D1784" t="s">
        <v>17</v>
      </c>
      <c r="E1784" t="s">
        <v>21</v>
      </c>
      <c r="F1784">
        <v>5</v>
      </c>
      <c r="G1784">
        <v>2221.08</v>
      </c>
      <c r="H1784">
        <v>11105.4</v>
      </c>
      <c r="I1784">
        <v>0</v>
      </c>
      <c r="J1784">
        <v>11105.4</v>
      </c>
      <c r="K1784">
        <v>198</v>
      </c>
      <c r="L1784" s="11">
        <v>0.83920138888888884</v>
      </c>
      <c r="M1784">
        <f t="shared" si="136"/>
        <v>13</v>
      </c>
      <c r="N1784">
        <f t="shared" si="137"/>
        <v>9</v>
      </c>
      <c r="O1784">
        <f t="shared" si="138"/>
        <v>2024</v>
      </c>
      <c r="P1784" s="4">
        <f t="shared" si="139"/>
        <v>45548</v>
      </c>
      <c r="Q1784" t="s">
        <v>1136</v>
      </c>
      <c r="R1784" t="s">
        <v>1135</v>
      </c>
      <c r="S1784">
        <v>4</v>
      </c>
      <c r="T1784" t="s">
        <v>1144</v>
      </c>
      <c r="U1784" s="11" t="str">
        <f t="shared" si="140"/>
        <v>08:08:27 PM</v>
      </c>
      <c r="BL1784" s="2" t="s">
        <v>2934</v>
      </c>
    </row>
    <row r="1785" spans="1:64" x14ac:dyDescent="0.35">
      <c r="A1785">
        <v>8291</v>
      </c>
      <c r="B1785" t="s">
        <v>25</v>
      </c>
      <c r="C1785" s="1">
        <v>45152</v>
      </c>
      <c r="D1785" t="s">
        <v>24</v>
      </c>
      <c r="E1785" t="s">
        <v>5</v>
      </c>
      <c r="F1785">
        <v>3</v>
      </c>
      <c r="G1785">
        <v>959.48</v>
      </c>
      <c r="H1785">
        <v>2878.44</v>
      </c>
      <c r="I1785">
        <v>431.6</v>
      </c>
      <c r="J1785">
        <v>2446.84</v>
      </c>
      <c r="K1785">
        <v>473</v>
      </c>
      <c r="L1785" s="11">
        <v>0.7338541666666667</v>
      </c>
      <c r="M1785">
        <f t="shared" si="136"/>
        <v>14</v>
      </c>
      <c r="N1785">
        <f t="shared" si="137"/>
        <v>8</v>
      </c>
      <c r="O1785">
        <f t="shared" si="138"/>
        <v>2023</v>
      </c>
      <c r="P1785" s="4">
        <f t="shared" si="139"/>
        <v>45152</v>
      </c>
      <c r="Q1785" t="s">
        <v>1139</v>
      </c>
      <c r="R1785" t="s">
        <v>1137</v>
      </c>
      <c r="S1785">
        <v>4</v>
      </c>
      <c r="T1785" t="s">
        <v>1141</v>
      </c>
      <c r="U1785" s="11" t="str">
        <f t="shared" si="140"/>
        <v>05:36:45 PM</v>
      </c>
      <c r="BL1785" s="2" t="s">
        <v>2935</v>
      </c>
    </row>
    <row r="1786" spans="1:64" x14ac:dyDescent="0.35">
      <c r="A1786">
        <v>1132</v>
      </c>
      <c r="B1786" t="s">
        <v>3</v>
      </c>
      <c r="C1786" s="1">
        <v>45685</v>
      </c>
      <c r="D1786" t="s">
        <v>11</v>
      </c>
      <c r="E1786" t="s">
        <v>32</v>
      </c>
      <c r="F1786">
        <v>2</v>
      </c>
      <c r="G1786">
        <v>856.56</v>
      </c>
      <c r="H1786">
        <v>1713.12</v>
      </c>
      <c r="I1786">
        <v>275.56</v>
      </c>
      <c r="J1786">
        <v>1437.56</v>
      </c>
      <c r="K1786">
        <v>423</v>
      </c>
      <c r="L1786" s="11">
        <v>0.57245370370370374</v>
      </c>
      <c r="M1786">
        <f t="shared" si="136"/>
        <v>28</v>
      </c>
      <c r="N1786">
        <f t="shared" si="137"/>
        <v>1</v>
      </c>
      <c r="O1786">
        <f t="shared" si="138"/>
        <v>2025</v>
      </c>
      <c r="P1786" s="4">
        <f t="shared" si="139"/>
        <v>45685</v>
      </c>
      <c r="Q1786" t="s">
        <v>1134</v>
      </c>
      <c r="R1786" t="s">
        <v>1135</v>
      </c>
      <c r="S1786">
        <v>2</v>
      </c>
      <c r="T1786" t="s">
        <v>1147</v>
      </c>
      <c r="U1786" s="11" t="str">
        <f t="shared" si="140"/>
        <v>01:44:20 PM</v>
      </c>
      <c r="BL1786" s="2" t="s">
        <v>2936</v>
      </c>
    </row>
    <row r="1787" spans="1:64" x14ac:dyDescent="0.35">
      <c r="A1787">
        <v>6629</v>
      </c>
      <c r="B1787" t="s">
        <v>0</v>
      </c>
      <c r="C1787" s="1">
        <v>45779</v>
      </c>
      <c r="D1787" t="s">
        <v>27</v>
      </c>
      <c r="E1787" t="s">
        <v>37</v>
      </c>
      <c r="F1787">
        <v>5</v>
      </c>
      <c r="G1787">
        <v>836.64</v>
      </c>
      <c r="H1787">
        <v>4183.2</v>
      </c>
      <c r="I1787">
        <v>0</v>
      </c>
      <c r="J1787">
        <v>4183.2</v>
      </c>
      <c r="K1787">
        <v>413</v>
      </c>
      <c r="L1787" s="11">
        <v>0.84495370370370371</v>
      </c>
      <c r="M1787">
        <f t="shared" si="136"/>
        <v>2</v>
      </c>
      <c r="N1787">
        <f t="shared" si="137"/>
        <v>5</v>
      </c>
      <c r="O1787">
        <f t="shared" si="138"/>
        <v>2025</v>
      </c>
      <c r="P1787" s="4">
        <f t="shared" si="139"/>
        <v>45779</v>
      </c>
      <c r="Q1787" t="s">
        <v>1136</v>
      </c>
      <c r="R1787" t="s">
        <v>1135</v>
      </c>
      <c r="S1787">
        <v>5</v>
      </c>
      <c r="T1787" t="s">
        <v>1150</v>
      </c>
      <c r="U1787" s="11" t="str">
        <f t="shared" si="140"/>
        <v>08:16:44 PM</v>
      </c>
      <c r="BL1787" s="2" t="s">
        <v>2937</v>
      </c>
    </row>
    <row r="1788" spans="1:64" x14ac:dyDescent="0.35">
      <c r="A1788">
        <v>2975</v>
      </c>
      <c r="B1788" t="s">
        <v>25</v>
      </c>
      <c r="C1788" s="1">
        <v>45813</v>
      </c>
      <c r="D1788" t="s">
        <v>16</v>
      </c>
      <c r="E1788" t="s">
        <v>7</v>
      </c>
      <c r="F1788">
        <v>2</v>
      </c>
      <c r="G1788">
        <v>1201.8399999999999</v>
      </c>
      <c r="H1788">
        <v>2403.6799999999998</v>
      </c>
      <c r="I1788">
        <v>240.7</v>
      </c>
      <c r="J1788">
        <v>2162.98</v>
      </c>
      <c r="K1788">
        <v>294</v>
      </c>
      <c r="L1788" s="11">
        <v>0.55091435185185189</v>
      </c>
      <c r="M1788">
        <f t="shared" si="136"/>
        <v>5</v>
      </c>
      <c r="N1788">
        <f t="shared" si="137"/>
        <v>6</v>
      </c>
      <c r="O1788">
        <f t="shared" si="138"/>
        <v>2025</v>
      </c>
      <c r="P1788" s="4">
        <f t="shared" si="139"/>
        <v>45813</v>
      </c>
      <c r="Q1788" t="s">
        <v>1136</v>
      </c>
      <c r="R1788" t="s">
        <v>1137</v>
      </c>
      <c r="S1788">
        <v>4</v>
      </c>
      <c r="T1788" t="s">
        <v>1145</v>
      </c>
      <c r="U1788" s="11" t="str">
        <f t="shared" si="140"/>
        <v>01:13:19 PM</v>
      </c>
      <c r="BL1788" s="2" t="s">
        <v>2938</v>
      </c>
    </row>
    <row r="1789" spans="1:64" x14ac:dyDescent="0.35">
      <c r="A1789">
        <v>7919</v>
      </c>
      <c r="B1789" t="s">
        <v>15</v>
      </c>
      <c r="C1789" s="1">
        <v>45684</v>
      </c>
      <c r="D1789" t="s">
        <v>34</v>
      </c>
      <c r="E1789" t="s">
        <v>5</v>
      </c>
      <c r="F1789">
        <v>1</v>
      </c>
      <c r="G1789">
        <v>2376.29</v>
      </c>
      <c r="H1789">
        <v>2376.29</v>
      </c>
      <c r="I1789">
        <v>231.57</v>
      </c>
      <c r="J1789">
        <v>2144.7199999999998</v>
      </c>
      <c r="K1789">
        <v>87</v>
      </c>
      <c r="L1789" s="11">
        <v>0.16679398148148147</v>
      </c>
      <c r="M1789">
        <f t="shared" si="136"/>
        <v>27</v>
      </c>
      <c r="N1789">
        <f t="shared" si="137"/>
        <v>1</v>
      </c>
      <c r="O1789">
        <f t="shared" si="138"/>
        <v>2025</v>
      </c>
      <c r="P1789" s="4">
        <f t="shared" si="139"/>
        <v>45684</v>
      </c>
      <c r="Q1789" t="s">
        <v>1136</v>
      </c>
      <c r="R1789" t="s">
        <v>1135</v>
      </c>
      <c r="S1789">
        <v>4</v>
      </c>
      <c r="T1789" t="s">
        <v>1142</v>
      </c>
      <c r="U1789" s="11" t="str">
        <f t="shared" si="140"/>
        <v>04:00:11 AM</v>
      </c>
      <c r="BL1789" s="2" t="s">
        <v>2939</v>
      </c>
    </row>
    <row r="1790" spans="1:64" x14ac:dyDescent="0.35">
      <c r="A1790">
        <v>3165</v>
      </c>
      <c r="B1790" t="s">
        <v>20</v>
      </c>
      <c r="C1790" s="1">
        <v>45516</v>
      </c>
      <c r="D1790" t="s">
        <v>11</v>
      </c>
      <c r="E1790" t="s">
        <v>37</v>
      </c>
      <c r="F1790">
        <v>2</v>
      </c>
      <c r="G1790">
        <v>235.72</v>
      </c>
      <c r="H1790">
        <v>471.44</v>
      </c>
      <c r="I1790">
        <v>0</v>
      </c>
      <c r="J1790">
        <v>471.44</v>
      </c>
      <c r="K1790">
        <v>181</v>
      </c>
      <c r="L1790" s="11">
        <v>0.75216435185185182</v>
      </c>
      <c r="M1790">
        <f t="shared" si="136"/>
        <v>12</v>
      </c>
      <c r="N1790">
        <f t="shared" si="137"/>
        <v>8</v>
      </c>
      <c r="O1790">
        <f t="shared" si="138"/>
        <v>2024</v>
      </c>
      <c r="P1790" s="4">
        <f t="shared" si="139"/>
        <v>45516</v>
      </c>
      <c r="Q1790" t="s">
        <v>1138</v>
      </c>
      <c r="R1790" t="s">
        <v>1135</v>
      </c>
      <c r="S1790">
        <v>1</v>
      </c>
      <c r="T1790" t="s">
        <v>1150</v>
      </c>
      <c r="U1790" s="11" t="str">
        <f t="shared" si="140"/>
        <v>06:03:07 PM</v>
      </c>
      <c r="BL1790" s="2" t="s">
        <v>2940</v>
      </c>
    </row>
    <row r="1791" spans="1:64" x14ac:dyDescent="0.35">
      <c r="A1791">
        <v>2160</v>
      </c>
      <c r="B1791" t="s">
        <v>19</v>
      </c>
      <c r="C1791" s="1">
        <v>45322</v>
      </c>
      <c r="D1791" t="s">
        <v>17</v>
      </c>
      <c r="E1791" t="s">
        <v>2</v>
      </c>
      <c r="F1791">
        <v>1</v>
      </c>
      <c r="G1791">
        <v>1799.44</v>
      </c>
      <c r="H1791">
        <v>1799.44</v>
      </c>
      <c r="I1791">
        <v>0</v>
      </c>
      <c r="J1791">
        <v>1799.44</v>
      </c>
      <c r="K1791">
        <v>251</v>
      </c>
      <c r="L1791" s="11">
        <v>0.81688657407407406</v>
      </c>
      <c r="M1791">
        <f t="shared" si="136"/>
        <v>31</v>
      </c>
      <c r="N1791">
        <f t="shared" si="137"/>
        <v>1</v>
      </c>
      <c r="O1791">
        <f t="shared" si="138"/>
        <v>2024</v>
      </c>
      <c r="P1791" s="4">
        <f t="shared" si="139"/>
        <v>45322</v>
      </c>
      <c r="Q1791" t="s">
        <v>1139</v>
      </c>
      <c r="R1791" t="s">
        <v>1137</v>
      </c>
      <c r="S1791">
        <v>4</v>
      </c>
      <c r="T1791" t="s">
        <v>1146</v>
      </c>
      <c r="U1791" s="11" t="str">
        <f t="shared" si="140"/>
        <v>07:36:19 PM</v>
      </c>
      <c r="BL1791" s="2" t="s">
        <v>2941</v>
      </c>
    </row>
    <row r="1792" spans="1:64" x14ac:dyDescent="0.35">
      <c r="A1792">
        <v>7276</v>
      </c>
      <c r="B1792" t="s">
        <v>8</v>
      </c>
      <c r="C1792" s="1">
        <v>45214</v>
      </c>
      <c r="D1792" t="s">
        <v>9</v>
      </c>
      <c r="E1792" t="s">
        <v>33</v>
      </c>
      <c r="F1792">
        <v>4</v>
      </c>
      <c r="G1792">
        <v>827.51</v>
      </c>
      <c r="H1792">
        <v>3310.04</v>
      </c>
      <c r="I1792">
        <v>496.34</v>
      </c>
      <c r="J1792">
        <v>2813.7</v>
      </c>
      <c r="K1792">
        <v>356</v>
      </c>
      <c r="L1792" s="11">
        <v>0.37818287037037035</v>
      </c>
      <c r="M1792">
        <f t="shared" si="136"/>
        <v>15</v>
      </c>
      <c r="N1792">
        <f t="shared" si="137"/>
        <v>10</v>
      </c>
      <c r="O1792">
        <f t="shared" si="138"/>
        <v>2023</v>
      </c>
      <c r="P1792" s="4">
        <f t="shared" si="139"/>
        <v>45214</v>
      </c>
      <c r="Q1792" t="s">
        <v>1138</v>
      </c>
      <c r="R1792" t="s">
        <v>1137</v>
      </c>
      <c r="S1792">
        <v>1</v>
      </c>
      <c r="T1792" t="s">
        <v>1150</v>
      </c>
      <c r="U1792" s="11" t="str">
        <f t="shared" si="140"/>
        <v>09:04:35 AM</v>
      </c>
      <c r="BL1792" s="2" t="s">
        <v>2942</v>
      </c>
    </row>
    <row r="1793" spans="1:64" x14ac:dyDescent="0.35">
      <c r="A1793">
        <v>2678</v>
      </c>
      <c r="B1793" t="s">
        <v>31</v>
      </c>
      <c r="C1793" s="1">
        <v>45225</v>
      </c>
      <c r="D1793" t="s">
        <v>17</v>
      </c>
      <c r="E1793" t="s">
        <v>36</v>
      </c>
      <c r="F1793">
        <v>4</v>
      </c>
      <c r="G1793">
        <v>429.11</v>
      </c>
      <c r="H1793">
        <v>1716.44</v>
      </c>
      <c r="I1793">
        <v>405.04</v>
      </c>
      <c r="J1793">
        <v>1311.4</v>
      </c>
      <c r="K1793">
        <v>276</v>
      </c>
      <c r="L1793" s="11">
        <v>0.31168981481481484</v>
      </c>
      <c r="M1793">
        <f t="shared" si="136"/>
        <v>26</v>
      </c>
      <c r="N1793">
        <f t="shared" si="137"/>
        <v>10</v>
      </c>
      <c r="O1793">
        <f t="shared" si="138"/>
        <v>2023</v>
      </c>
      <c r="P1793" s="4">
        <f t="shared" si="139"/>
        <v>45225</v>
      </c>
      <c r="Q1793" t="s">
        <v>1139</v>
      </c>
      <c r="R1793" t="s">
        <v>1137</v>
      </c>
      <c r="S1793">
        <v>5</v>
      </c>
      <c r="T1793" t="s">
        <v>1145</v>
      </c>
      <c r="U1793" s="11" t="str">
        <f t="shared" si="140"/>
        <v>07:28:50 AM</v>
      </c>
      <c r="BL1793" s="2" t="s">
        <v>2943</v>
      </c>
    </row>
    <row r="1794" spans="1:64" x14ac:dyDescent="0.35">
      <c r="A1794">
        <v>6133</v>
      </c>
      <c r="B1794" t="s">
        <v>20</v>
      </c>
      <c r="C1794" s="1">
        <v>45430</v>
      </c>
      <c r="D1794" t="s">
        <v>11</v>
      </c>
      <c r="E1794" t="s">
        <v>38</v>
      </c>
      <c r="F1794">
        <v>1</v>
      </c>
      <c r="G1794">
        <v>1559.57</v>
      </c>
      <c r="H1794">
        <v>1559.57</v>
      </c>
      <c r="I1794">
        <v>0</v>
      </c>
      <c r="J1794">
        <v>1559.57</v>
      </c>
      <c r="K1794">
        <v>271</v>
      </c>
      <c r="L1794" s="11">
        <v>0.17196759259259259</v>
      </c>
      <c r="M1794">
        <f t="shared" ref="M1794:M1857" si="141">DAY(C1794)</f>
        <v>18</v>
      </c>
      <c r="N1794">
        <f t="shared" ref="N1794:N1857" si="142">MONTH(C1794)</f>
        <v>5</v>
      </c>
      <c r="O1794">
        <f t="shared" ref="O1794:O1857" si="143">YEAR(C1794)</f>
        <v>2024</v>
      </c>
      <c r="P1794" s="4">
        <f t="shared" si="139"/>
        <v>45430</v>
      </c>
      <c r="Q1794" t="s">
        <v>1134</v>
      </c>
      <c r="R1794" t="s">
        <v>1137</v>
      </c>
      <c r="S1794">
        <v>5</v>
      </c>
      <c r="T1794" t="s">
        <v>1149</v>
      </c>
      <c r="U1794" s="11" t="str">
        <f t="shared" si="140"/>
        <v>04:07:38 AM</v>
      </c>
      <c r="BL1794" s="2" t="s">
        <v>2944</v>
      </c>
    </row>
    <row r="1795" spans="1:64" x14ac:dyDescent="0.35">
      <c r="A1795">
        <v>5902</v>
      </c>
      <c r="B1795" t="s">
        <v>8</v>
      </c>
      <c r="C1795" s="1">
        <v>45251</v>
      </c>
      <c r="D1795" t="s">
        <v>6</v>
      </c>
      <c r="E1795" t="s">
        <v>14</v>
      </c>
      <c r="F1795">
        <v>5</v>
      </c>
      <c r="G1795">
        <v>1944.69</v>
      </c>
      <c r="H1795">
        <v>9723.4500000000007</v>
      </c>
      <c r="I1795">
        <v>298.8</v>
      </c>
      <c r="J1795">
        <v>9424.65</v>
      </c>
      <c r="K1795">
        <v>91</v>
      </c>
      <c r="L1795" s="11">
        <v>0.72472222222222227</v>
      </c>
      <c r="M1795">
        <f t="shared" si="141"/>
        <v>21</v>
      </c>
      <c r="N1795">
        <f t="shared" si="142"/>
        <v>11</v>
      </c>
      <c r="O1795">
        <f t="shared" si="143"/>
        <v>2023</v>
      </c>
      <c r="P1795" s="4">
        <f t="shared" ref="P1795:P1858" si="144">DATE(O1795,N1795,M1795)</f>
        <v>45251</v>
      </c>
      <c r="Q1795" t="s">
        <v>1134</v>
      </c>
      <c r="R1795" t="s">
        <v>1137</v>
      </c>
      <c r="S1795">
        <v>5</v>
      </c>
      <c r="T1795" t="s">
        <v>1149</v>
      </c>
      <c r="U1795" s="11" t="str">
        <f t="shared" si="140"/>
        <v>05:23:36 PM</v>
      </c>
      <c r="BL1795" s="2" t="s">
        <v>2945</v>
      </c>
    </row>
    <row r="1796" spans="1:64" x14ac:dyDescent="0.35">
      <c r="A1796">
        <v>7270</v>
      </c>
      <c r="B1796" t="s">
        <v>15</v>
      </c>
      <c r="C1796" s="1">
        <v>45745</v>
      </c>
      <c r="D1796" t="s">
        <v>4</v>
      </c>
      <c r="E1796" t="s">
        <v>10</v>
      </c>
      <c r="F1796">
        <v>1</v>
      </c>
      <c r="G1796">
        <v>308.76</v>
      </c>
      <c r="H1796">
        <v>308.76</v>
      </c>
      <c r="I1796">
        <v>30.71</v>
      </c>
      <c r="J1796">
        <v>278.05</v>
      </c>
      <c r="K1796">
        <v>206</v>
      </c>
      <c r="L1796" s="11">
        <v>0.32619212962962962</v>
      </c>
      <c r="M1796">
        <f t="shared" si="141"/>
        <v>29</v>
      </c>
      <c r="N1796">
        <f t="shared" si="142"/>
        <v>3</v>
      </c>
      <c r="O1796">
        <f t="shared" si="143"/>
        <v>2025</v>
      </c>
      <c r="P1796" s="4">
        <f t="shared" si="144"/>
        <v>45745</v>
      </c>
      <c r="Q1796" t="s">
        <v>1136</v>
      </c>
      <c r="R1796" t="s">
        <v>1135</v>
      </c>
      <c r="S1796">
        <v>3</v>
      </c>
      <c r="T1796" t="s">
        <v>1145</v>
      </c>
      <c r="U1796" s="11" t="str">
        <f t="shared" si="140"/>
        <v>07:49:43 AM</v>
      </c>
      <c r="BL1796" s="2" t="s">
        <v>2946</v>
      </c>
    </row>
    <row r="1797" spans="1:64" x14ac:dyDescent="0.35">
      <c r="A1797">
        <v>3181</v>
      </c>
      <c r="B1797" t="s">
        <v>13</v>
      </c>
      <c r="C1797" s="1">
        <v>45643</v>
      </c>
      <c r="D1797" t="s">
        <v>34</v>
      </c>
      <c r="E1797" t="s">
        <v>30</v>
      </c>
      <c r="F1797">
        <v>3</v>
      </c>
      <c r="G1797">
        <v>522.9</v>
      </c>
      <c r="H1797">
        <v>1568.7</v>
      </c>
      <c r="I1797">
        <v>313.74</v>
      </c>
      <c r="J1797">
        <v>1254.96</v>
      </c>
      <c r="K1797">
        <v>159</v>
      </c>
      <c r="L1797" s="11">
        <v>0.28164351851851854</v>
      </c>
      <c r="M1797">
        <f t="shared" si="141"/>
        <v>17</v>
      </c>
      <c r="N1797">
        <f t="shared" si="142"/>
        <v>12</v>
      </c>
      <c r="O1797">
        <f t="shared" si="143"/>
        <v>2024</v>
      </c>
      <c r="P1797" s="4">
        <f t="shared" si="144"/>
        <v>45643</v>
      </c>
      <c r="Q1797" t="s">
        <v>1139</v>
      </c>
      <c r="R1797" t="s">
        <v>1137</v>
      </c>
      <c r="S1797">
        <v>5</v>
      </c>
      <c r="T1797" t="s">
        <v>1145</v>
      </c>
      <c r="U1797" s="11" t="str">
        <f t="shared" si="140"/>
        <v>06:45:34 AM</v>
      </c>
      <c r="BL1797" s="2" t="s">
        <v>2947</v>
      </c>
    </row>
    <row r="1798" spans="1:64" x14ac:dyDescent="0.35">
      <c r="A1798">
        <v>3340</v>
      </c>
      <c r="B1798" t="s">
        <v>13</v>
      </c>
      <c r="C1798" s="1">
        <v>45198</v>
      </c>
      <c r="D1798" t="s">
        <v>24</v>
      </c>
      <c r="E1798" t="s">
        <v>37</v>
      </c>
      <c r="F1798">
        <v>1</v>
      </c>
      <c r="G1798">
        <v>526.22</v>
      </c>
      <c r="H1798">
        <v>526.22</v>
      </c>
      <c r="I1798">
        <v>105.41</v>
      </c>
      <c r="J1798">
        <v>420.81</v>
      </c>
      <c r="K1798">
        <v>205</v>
      </c>
      <c r="L1798" s="11">
        <v>0.72144675925925927</v>
      </c>
      <c r="M1798">
        <f t="shared" si="141"/>
        <v>29</v>
      </c>
      <c r="N1798">
        <f t="shared" si="142"/>
        <v>9</v>
      </c>
      <c r="O1798">
        <f t="shared" si="143"/>
        <v>2023</v>
      </c>
      <c r="P1798" s="4">
        <f t="shared" si="144"/>
        <v>45198</v>
      </c>
      <c r="Q1798" t="s">
        <v>1134</v>
      </c>
      <c r="R1798" t="s">
        <v>1135</v>
      </c>
      <c r="S1798">
        <v>4</v>
      </c>
      <c r="T1798" t="s">
        <v>1141</v>
      </c>
      <c r="U1798" s="11" t="str">
        <f t="shared" si="140"/>
        <v>05:18:53 PM</v>
      </c>
      <c r="BL1798" s="2" t="s">
        <v>2948</v>
      </c>
    </row>
    <row r="1799" spans="1:64" x14ac:dyDescent="0.35">
      <c r="A1799">
        <v>9691</v>
      </c>
      <c r="B1799" t="s">
        <v>25</v>
      </c>
      <c r="C1799" s="1">
        <v>45582</v>
      </c>
      <c r="D1799" t="s">
        <v>16</v>
      </c>
      <c r="E1799" t="s">
        <v>32</v>
      </c>
      <c r="F1799">
        <v>3</v>
      </c>
      <c r="G1799">
        <v>1169.47</v>
      </c>
      <c r="H1799">
        <v>3508.41</v>
      </c>
      <c r="I1799">
        <v>375.16</v>
      </c>
      <c r="J1799">
        <v>3133.25</v>
      </c>
      <c r="K1799">
        <v>48</v>
      </c>
      <c r="L1799" s="11">
        <v>0.78924768518518518</v>
      </c>
      <c r="M1799">
        <f t="shared" si="141"/>
        <v>17</v>
      </c>
      <c r="N1799">
        <f t="shared" si="142"/>
        <v>10</v>
      </c>
      <c r="O1799">
        <f t="shared" si="143"/>
        <v>2024</v>
      </c>
      <c r="P1799" s="4">
        <f t="shared" si="144"/>
        <v>45582</v>
      </c>
      <c r="Q1799" t="s">
        <v>1139</v>
      </c>
      <c r="R1799" t="s">
        <v>1135</v>
      </c>
      <c r="S1799">
        <v>2</v>
      </c>
      <c r="T1799" t="s">
        <v>1149</v>
      </c>
      <c r="U1799" s="11" t="str">
        <f t="shared" si="140"/>
        <v>06:56:31 PM</v>
      </c>
      <c r="BL1799" s="2" t="s">
        <v>2949</v>
      </c>
    </row>
    <row r="1800" spans="1:64" x14ac:dyDescent="0.35">
      <c r="A1800">
        <v>1138</v>
      </c>
      <c r="B1800" t="s">
        <v>20</v>
      </c>
      <c r="C1800" s="1">
        <v>45619</v>
      </c>
      <c r="D1800" t="s">
        <v>27</v>
      </c>
      <c r="E1800" t="s">
        <v>29</v>
      </c>
      <c r="F1800">
        <v>3</v>
      </c>
      <c r="G1800">
        <v>312.08</v>
      </c>
      <c r="H1800">
        <v>936.24</v>
      </c>
      <c r="I1800">
        <v>191.73</v>
      </c>
      <c r="J1800">
        <v>744.51</v>
      </c>
      <c r="K1800">
        <v>0</v>
      </c>
      <c r="L1800" s="11">
        <v>0.58271990740740742</v>
      </c>
      <c r="M1800">
        <f t="shared" si="141"/>
        <v>23</v>
      </c>
      <c r="N1800">
        <f t="shared" si="142"/>
        <v>11</v>
      </c>
      <c r="O1800">
        <f t="shared" si="143"/>
        <v>2024</v>
      </c>
      <c r="P1800" s="4">
        <f t="shared" si="144"/>
        <v>45619</v>
      </c>
      <c r="Q1800" t="s">
        <v>1134</v>
      </c>
      <c r="R1800" t="s">
        <v>1135</v>
      </c>
      <c r="S1800">
        <v>1</v>
      </c>
      <c r="T1800" t="s">
        <v>1142</v>
      </c>
      <c r="U1800" s="11" t="str">
        <f t="shared" si="140"/>
        <v>01:59:07 PM</v>
      </c>
      <c r="BL1800" s="2" t="s">
        <v>2950</v>
      </c>
    </row>
    <row r="1801" spans="1:64" x14ac:dyDescent="0.35">
      <c r="A1801">
        <v>3688</v>
      </c>
      <c r="B1801" t="s">
        <v>19</v>
      </c>
      <c r="C1801" s="1">
        <v>45486</v>
      </c>
      <c r="D1801" t="s">
        <v>1</v>
      </c>
      <c r="E1801" t="s">
        <v>12</v>
      </c>
      <c r="F1801">
        <v>1</v>
      </c>
      <c r="G1801">
        <v>2382.9299999999998</v>
      </c>
      <c r="H1801">
        <v>2382.9299999999998</v>
      </c>
      <c r="I1801">
        <v>476.42</v>
      </c>
      <c r="J1801">
        <v>1906.51</v>
      </c>
      <c r="K1801">
        <v>96</v>
      </c>
      <c r="L1801" s="11">
        <v>4.9733796296296297E-2</v>
      </c>
      <c r="M1801">
        <f t="shared" si="141"/>
        <v>13</v>
      </c>
      <c r="N1801">
        <f t="shared" si="142"/>
        <v>7</v>
      </c>
      <c r="O1801">
        <f t="shared" si="143"/>
        <v>2024</v>
      </c>
      <c r="P1801" s="4">
        <f t="shared" si="144"/>
        <v>45486</v>
      </c>
      <c r="Q1801" t="s">
        <v>1138</v>
      </c>
      <c r="R1801" t="s">
        <v>1137</v>
      </c>
      <c r="S1801">
        <v>3</v>
      </c>
      <c r="T1801" t="s">
        <v>1143</v>
      </c>
      <c r="U1801" s="11" t="str">
        <f t="shared" si="140"/>
        <v>01:11:37 AM</v>
      </c>
      <c r="BL1801" s="2" t="s">
        <v>2951</v>
      </c>
    </row>
    <row r="1802" spans="1:64" x14ac:dyDescent="0.35">
      <c r="A1802">
        <v>6753</v>
      </c>
      <c r="B1802" t="s">
        <v>3</v>
      </c>
      <c r="C1802" s="1">
        <v>45706</v>
      </c>
      <c r="D1802" t="s">
        <v>6</v>
      </c>
      <c r="E1802" t="s">
        <v>12</v>
      </c>
      <c r="F1802">
        <v>1</v>
      </c>
      <c r="G1802">
        <v>2181.2399999999998</v>
      </c>
      <c r="H1802">
        <v>2181.2399999999998</v>
      </c>
      <c r="I1802">
        <v>207.5</v>
      </c>
      <c r="J1802">
        <v>1973.74</v>
      </c>
      <c r="K1802">
        <v>467</v>
      </c>
      <c r="L1802" s="11">
        <v>0.38013888888888892</v>
      </c>
      <c r="M1802">
        <f t="shared" si="141"/>
        <v>18</v>
      </c>
      <c r="N1802">
        <f t="shared" si="142"/>
        <v>2</v>
      </c>
      <c r="O1802">
        <f t="shared" si="143"/>
        <v>2025</v>
      </c>
      <c r="P1802" s="4">
        <f t="shared" si="144"/>
        <v>45706</v>
      </c>
      <c r="Q1802" t="s">
        <v>1134</v>
      </c>
      <c r="R1802" t="s">
        <v>1137</v>
      </c>
      <c r="S1802">
        <v>5</v>
      </c>
      <c r="T1802" t="s">
        <v>1144</v>
      </c>
      <c r="U1802" s="11" t="str">
        <f t="shared" si="140"/>
        <v>09:07:24 AM</v>
      </c>
      <c r="BL1802" s="2" t="s">
        <v>2952</v>
      </c>
    </row>
    <row r="1803" spans="1:64" x14ac:dyDescent="0.35">
      <c r="A1803">
        <v>4490</v>
      </c>
      <c r="B1803" t="s">
        <v>8</v>
      </c>
      <c r="C1803" s="1">
        <v>45632</v>
      </c>
      <c r="D1803" t="s">
        <v>34</v>
      </c>
      <c r="E1803" t="s">
        <v>18</v>
      </c>
      <c r="F1803">
        <v>5</v>
      </c>
      <c r="G1803">
        <v>440.73</v>
      </c>
      <c r="H1803">
        <v>2203.65</v>
      </c>
      <c r="I1803">
        <v>289.67</v>
      </c>
      <c r="J1803">
        <v>1913.98</v>
      </c>
      <c r="K1803">
        <v>419</v>
      </c>
      <c r="L1803" s="11">
        <v>0.36256944444444444</v>
      </c>
      <c r="M1803">
        <f t="shared" si="141"/>
        <v>6</v>
      </c>
      <c r="N1803">
        <f t="shared" si="142"/>
        <v>12</v>
      </c>
      <c r="O1803">
        <f t="shared" si="143"/>
        <v>2024</v>
      </c>
      <c r="P1803" s="4">
        <f t="shared" si="144"/>
        <v>45632</v>
      </c>
      <c r="Q1803" t="s">
        <v>1138</v>
      </c>
      <c r="R1803" t="s">
        <v>1135</v>
      </c>
      <c r="S1803">
        <v>5</v>
      </c>
      <c r="T1803" t="s">
        <v>1142</v>
      </c>
      <c r="U1803" s="11" t="str">
        <f t="shared" si="140"/>
        <v>08:42:06 AM</v>
      </c>
      <c r="BL1803" s="2" t="s">
        <v>2953</v>
      </c>
    </row>
    <row r="1804" spans="1:64" x14ac:dyDescent="0.35">
      <c r="A1804">
        <v>3480</v>
      </c>
      <c r="B1804" t="s">
        <v>3</v>
      </c>
      <c r="C1804" s="1">
        <v>45859</v>
      </c>
      <c r="D1804" t="s">
        <v>4</v>
      </c>
      <c r="E1804" t="s">
        <v>26</v>
      </c>
      <c r="F1804">
        <v>3</v>
      </c>
      <c r="G1804">
        <v>341.96</v>
      </c>
      <c r="H1804">
        <v>1025.8800000000001</v>
      </c>
      <c r="I1804">
        <v>254.81</v>
      </c>
      <c r="J1804">
        <v>771.07</v>
      </c>
      <c r="K1804">
        <v>349</v>
      </c>
      <c r="L1804" s="11">
        <v>0.88006944444444446</v>
      </c>
      <c r="M1804">
        <f t="shared" si="141"/>
        <v>21</v>
      </c>
      <c r="N1804">
        <f t="shared" si="142"/>
        <v>7</v>
      </c>
      <c r="O1804">
        <f t="shared" si="143"/>
        <v>2025</v>
      </c>
      <c r="P1804" s="4">
        <f t="shared" si="144"/>
        <v>45859</v>
      </c>
      <c r="Q1804" t="s">
        <v>1134</v>
      </c>
      <c r="R1804" t="s">
        <v>1137</v>
      </c>
      <c r="S1804">
        <v>2</v>
      </c>
      <c r="T1804" t="s">
        <v>1144</v>
      </c>
      <c r="U1804" s="11" t="str">
        <f t="shared" si="140"/>
        <v>09:07:18 PM</v>
      </c>
      <c r="BL1804" s="2" t="s">
        <v>2954</v>
      </c>
    </row>
    <row r="1805" spans="1:64" x14ac:dyDescent="0.35">
      <c r="A1805">
        <v>7745</v>
      </c>
      <c r="B1805" t="s">
        <v>0</v>
      </c>
      <c r="C1805" s="1">
        <v>45623</v>
      </c>
      <c r="D1805" t="s">
        <v>34</v>
      </c>
      <c r="E1805" t="s">
        <v>33</v>
      </c>
      <c r="F1805">
        <v>5</v>
      </c>
      <c r="G1805">
        <v>455.67</v>
      </c>
      <c r="H1805">
        <v>2278.35</v>
      </c>
      <c r="I1805">
        <v>228.25</v>
      </c>
      <c r="J1805">
        <v>2050.1</v>
      </c>
      <c r="K1805">
        <v>313</v>
      </c>
      <c r="L1805" s="11">
        <v>0.48656250000000001</v>
      </c>
      <c r="M1805">
        <f t="shared" si="141"/>
        <v>27</v>
      </c>
      <c r="N1805">
        <f t="shared" si="142"/>
        <v>11</v>
      </c>
      <c r="O1805">
        <f t="shared" si="143"/>
        <v>2024</v>
      </c>
      <c r="P1805" s="4">
        <f t="shared" si="144"/>
        <v>45623</v>
      </c>
      <c r="Q1805" t="s">
        <v>1136</v>
      </c>
      <c r="R1805" t="s">
        <v>1137</v>
      </c>
      <c r="S1805">
        <v>2</v>
      </c>
      <c r="T1805" t="s">
        <v>1142</v>
      </c>
      <c r="U1805" s="11" t="str">
        <f t="shared" si="140"/>
        <v>11:40:39 AM</v>
      </c>
      <c r="BL1805" s="2" t="s">
        <v>2955</v>
      </c>
    </row>
    <row r="1806" spans="1:64" x14ac:dyDescent="0.35">
      <c r="A1806">
        <v>8248</v>
      </c>
      <c r="B1806" t="s">
        <v>3</v>
      </c>
      <c r="C1806" s="1">
        <v>45812</v>
      </c>
      <c r="D1806" t="s">
        <v>9</v>
      </c>
      <c r="E1806" t="s">
        <v>22</v>
      </c>
      <c r="F1806">
        <v>1</v>
      </c>
      <c r="G1806">
        <v>1691.54</v>
      </c>
      <c r="H1806">
        <v>1691.54</v>
      </c>
      <c r="I1806">
        <v>338.64</v>
      </c>
      <c r="J1806">
        <v>1352.9</v>
      </c>
      <c r="K1806">
        <v>33</v>
      </c>
      <c r="L1806" s="11">
        <v>0.46864583333333332</v>
      </c>
      <c r="M1806">
        <f t="shared" si="141"/>
        <v>4</v>
      </c>
      <c r="N1806">
        <f t="shared" si="142"/>
        <v>6</v>
      </c>
      <c r="O1806">
        <f t="shared" si="143"/>
        <v>2025</v>
      </c>
      <c r="P1806" s="4">
        <f t="shared" si="144"/>
        <v>45812</v>
      </c>
      <c r="Q1806" t="s">
        <v>1138</v>
      </c>
      <c r="R1806" t="s">
        <v>1137</v>
      </c>
      <c r="S1806">
        <v>3</v>
      </c>
      <c r="T1806" t="s">
        <v>1150</v>
      </c>
      <c r="U1806" s="11" t="str">
        <f t="shared" si="140"/>
        <v>11:14:51 AM</v>
      </c>
      <c r="BL1806" s="2" t="s">
        <v>2956</v>
      </c>
    </row>
    <row r="1807" spans="1:64" x14ac:dyDescent="0.35">
      <c r="A1807">
        <v>4559</v>
      </c>
      <c r="B1807" t="s">
        <v>25</v>
      </c>
      <c r="C1807" s="1">
        <v>45212</v>
      </c>
      <c r="D1807" t="s">
        <v>23</v>
      </c>
      <c r="E1807" t="s">
        <v>14</v>
      </c>
      <c r="F1807">
        <v>4</v>
      </c>
      <c r="G1807">
        <v>535.35</v>
      </c>
      <c r="H1807">
        <v>2141.4</v>
      </c>
      <c r="I1807">
        <v>321.20999999999998</v>
      </c>
      <c r="J1807">
        <v>1820.19</v>
      </c>
      <c r="K1807">
        <v>206</v>
      </c>
      <c r="L1807" s="11">
        <v>0.87884259259259256</v>
      </c>
      <c r="M1807">
        <f t="shared" si="141"/>
        <v>13</v>
      </c>
      <c r="N1807">
        <f t="shared" si="142"/>
        <v>10</v>
      </c>
      <c r="O1807">
        <f t="shared" si="143"/>
        <v>2023</v>
      </c>
      <c r="P1807" s="4">
        <f t="shared" si="144"/>
        <v>45212</v>
      </c>
      <c r="Q1807" t="s">
        <v>1134</v>
      </c>
      <c r="R1807" t="s">
        <v>1137</v>
      </c>
      <c r="S1807">
        <v>1</v>
      </c>
      <c r="T1807" t="s">
        <v>1143</v>
      </c>
      <c r="U1807" s="11" t="str">
        <f t="shared" si="140"/>
        <v>09:05:32 PM</v>
      </c>
      <c r="BL1807" s="2" t="s">
        <v>2957</v>
      </c>
    </row>
    <row r="1808" spans="1:64" x14ac:dyDescent="0.35">
      <c r="A1808">
        <v>2646</v>
      </c>
      <c r="B1808" t="s">
        <v>20</v>
      </c>
      <c r="C1808" s="1">
        <v>45253</v>
      </c>
      <c r="D1808" t="s">
        <v>34</v>
      </c>
      <c r="E1808" t="s">
        <v>38</v>
      </c>
      <c r="F1808">
        <v>5</v>
      </c>
      <c r="G1808">
        <v>301.29000000000002</v>
      </c>
      <c r="H1808">
        <v>1506.45</v>
      </c>
      <c r="I1808">
        <v>269.75</v>
      </c>
      <c r="J1808">
        <v>1236.7</v>
      </c>
      <c r="K1808">
        <v>335</v>
      </c>
      <c r="L1808" s="11">
        <v>0.22769675925925925</v>
      </c>
      <c r="M1808">
        <f t="shared" si="141"/>
        <v>23</v>
      </c>
      <c r="N1808">
        <f t="shared" si="142"/>
        <v>11</v>
      </c>
      <c r="O1808">
        <f t="shared" si="143"/>
        <v>2023</v>
      </c>
      <c r="P1808" s="4">
        <f t="shared" si="144"/>
        <v>45253</v>
      </c>
      <c r="Q1808" t="s">
        <v>1136</v>
      </c>
      <c r="R1808" t="s">
        <v>1135</v>
      </c>
      <c r="S1808">
        <v>5</v>
      </c>
      <c r="T1808" t="s">
        <v>1146</v>
      </c>
      <c r="U1808" s="11" t="str">
        <f t="shared" si="140"/>
        <v>05:27:53 AM</v>
      </c>
      <c r="BL1808" s="2" t="s">
        <v>2958</v>
      </c>
    </row>
    <row r="1809" spans="1:64" x14ac:dyDescent="0.35">
      <c r="A1809">
        <v>3017</v>
      </c>
      <c r="B1809" t="s">
        <v>3</v>
      </c>
      <c r="C1809" s="1">
        <v>45602</v>
      </c>
      <c r="D1809" t="s">
        <v>27</v>
      </c>
      <c r="E1809" t="s">
        <v>21</v>
      </c>
      <c r="F1809">
        <v>5</v>
      </c>
      <c r="G1809">
        <v>1630.12</v>
      </c>
      <c r="H1809">
        <v>8150.6</v>
      </c>
      <c r="I1809">
        <v>1630.12</v>
      </c>
      <c r="J1809">
        <v>6520.48</v>
      </c>
      <c r="K1809">
        <v>144</v>
      </c>
      <c r="L1809" s="11">
        <v>4.7337962962962967E-3</v>
      </c>
      <c r="M1809">
        <f t="shared" si="141"/>
        <v>6</v>
      </c>
      <c r="N1809">
        <f t="shared" si="142"/>
        <v>11</v>
      </c>
      <c r="O1809">
        <f t="shared" si="143"/>
        <v>2024</v>
      </c>
      <c r="P1809" s="4">
        <f t="shared" si="144"/>
        <v>45602</v>
      </c>
      <c r="Q1809" t="s">
        <v>1138</v>
      </c>
      <c r="R1809" t="s">
        <v>1135</v>
      </c>
      <c r="S1809">
        <v>3</v>
      </c>
      <c r="T1809" t="s">
        <v>1148</v>
      </c>
      <c r="U1809" s="11" t="str">
        <f t="shared" si="140"/>
        <v>12:06:49 AM</v>
      </c>
      <c r="BL1809" s="2" t="s">
        <v>2959</v>
      </c>
    </row>
    <row r="1810" spans="1:64" x14ac:dyDescent="0.35">
      <c r="A1810">
        <v>7291</v>
      </c>
      <c r="B1810" t="s">
        <v>15</v>
      </c>
      <c r="C1810" s="1">
        <v>45418</v>
      </c>
      <c r="D1810" t="s">
        <v>6</v>
      </c>
      <c r="E1810" t="s">
        <v>26</v>
      </c>
      <c r="F1810">
        <v>4</v>
      </c>
      <c r="G1810">
        <v>1054.93</v>
      </c>
      <c r="H1810">
        <v>4219.72</v>
      </c>
      <c r="I1810">
        <v>421.64</v>
      </c>
      <c r="J1810">
        <v>3798.08</v>
      </c>
      <c r="K1810">
        <v>193</v>
      </c>
      <c r="L1810" s="11">
        <v>0.53975694444444444</v>
      </c>
      <c r="M1810">
        <f t="shared" si="141"/>
        <v>6</v>
      </c>
      <c r="N1810">
        <f t="shared" si="142"/>
        <v>5</v>
      </c>
      <c r="O1810">
        <f t="shared" si="143"/>
        <v>2024</v>
      </c>
      <c r="P1810" s="4">
        <f t="shared" si="144"/>
        <v>45418</v>
      </c>
      <c r="Q1810" t="s">
        <v>1136</v>
      </c>
      <c r="R1810" t="s">
        <v>1137</v>
      </c>
      <c r="S1810">
        <v>4</v>
      </c>
      <c r="T1810" t="s">
        <v>1146</v>
      </c>
      <c r="U1810" s="11" t="str">
        <f t="shared" si="140"/>
        <v>12:57:15 PM</v>
      </c>
      <c r="BL1810" s="2" t="s">
        <v>2960</v>
      </c>
    </row>
    <row r="1811" spans="1:64" x14ac:dyDescent="0.35">
      <c r="A1811">
        <v>8035</v>
      </c>
      <c r="B1811" t="s">
        <v>20</v>
      </c>
      <c r="C1811" s="1">
        <v>45389</v>
      </c>
      <c r="D1811" t="s">
        <v>34</v>
      </c>
      <c r="E1811" t="s">
        <v>38</v>
      </c>
      <c r="F1811">
        <v>3</v>
      </c>
      <c r="G1811">
        <v>1433.41</v>
      </c>
      <c r="H1811">
        <v>4300.2299999999996</v>
      </c>
      <c r="I1811">
        <v>644.91</v>
      </c>
      <c r="J1811">
        <v>3655.32</v>
      </c>
      <c r="K1811">
        <v>312</v>
      </c>
      <c r="L1811" s="11">
        <v>0.41450231481481481</v>
      </c>
      <c r="M1811">
        <f t="shared" si="141"/>
        <v>7</v>
      </c>
      <c r="N1811">
        <f t="shared" si="142"/>
        <v>4</v>
      </c>
      <c r="O1811">
        <f t="shared" si="143"/>
        <v>2024</v>
      </c>
      <c r="P1811" s="4">
        <f t="shared" si="144"/>
        <v>45389</v>
      </c>
      <c r="Q1811" t="s">
        <v>1139</v>
      </c>
      <c r="R1811" t="s">
        <v>1135</v>
      </c>
      <c r="S1811">
        <v>4</v>
      </c>
      <c r="T1811" t="s">
        <v>1149</v>
      </c>
      <c r="U1811" s="11" t="str">
        <f t="shared" si="140"/>
        <v>09:56:53 AM</v>
      </c>
      <c r="BL1811" s="2" t="s">
        <v>2961</v>
      </c>
    </row>
    <row r="1812" spans="1:64" x14ac:dyDescent="0.35">
      <c r="A1812">
        <v>3290</v>
      </c>
      <c r="B1812" t="s">
        <v>15</v>
      </c>
      <c r="C1812" s="1">
        <v>45337</v>
      </c>
      <c r="D1812" t="s">
        <v>24</v>
      </c>
      <c r="E1812" t="s">
        <v>29</v>
      </c>
      <c r="F1812">
        <v>5</v>
      </c>
      <c r="G1812">
        <v>2083.3000000000002</v>
      </c>
      <c r="H1812">
        <v>10416.5</v>
      </c>
      <c r="I1812">
        <v>1562.06</v>
      </c>
      <c r="J1812">
        <v>8854.44</v>
      </c>
      <c r="K1812">
        <v>96</v>
      </c>
      <c r="L1812" s="11">
        <v>0.36256944444444444</v>
      </c>
      <c r="M1812">
        <f t="shared" si="141"/>
        <v>15</v>
      </c>
      <c r="N1812">
        <f t="shared" si="142"/>
        <v>2</v>
      </c>
      <c r="O1812">
        <f t="shared" si="143"/>
        <v>2024</v>
      </c>
      <c r="P1812" s="4">
        <f t="shared" si="144"/>
        <v>45337</v>
      </c>
      <c r="Q1812" t="s">
        <v>1139</v>
      </c>
      <c r="R1812" t="s">
        <v>1137</v>
      </c>
      <c r="S1812">
        <v>3</v>
      </c>
      <c r="T1812" t="s">
        <v>1143</v>
      </c>
      <c r="U1812" s="11" t="str">
        <f t="shared" si="140"/>
        <v>08:42:06 AM</v>
      </c>
      <c r="BL1812" s="2" t="s">
        <v>2962</v>
      </c>
    </row>
    <row r="1813" spans="1:64" x14ac:dyDescent="0.35">
      <c r="A1813">
        <v>5537</v>
      </c>
      <c r="B1813" t="s">
        <v>3</v>
      </c>
      <c r="C1813" s="1">
        <v>45645</v>
      </c>
      <c r="D1813" t="s">
        <v>23</v>
      </c>
      <c r="E1813" t="s">
        <v>10</v>
      </c>
      <c r="F1813">
        <v>1</v>
      </c>
      <c r="G1813">
        <v>1367.84</v>
      </c>
      <c r="H1813">
        <v>1367.84</v>
      </c>
      <c r="I1813">
        <v>136.94999999999999</v>
      </c>
      <c r="J1813">
        <v>1230.8900000000001</v>
      </c>
      <c r="K1813">
        <v>24</v>
      </c>
      <c r="L1813" s="11">
        <v>0.25577546296296294</v>
      </c>
      <c r="M1813">
        <f t="shared" si="141"/>
        <v>19</v>
      </c>
      <c r="N1813">
        <f t="shared" si="142"/>
        <v>12</v>
      </c>
      <c r="O1813">
        <f t="shared" si="143"/>
        <v>2024</v>
      </c>
      <c r="P1813" s="4">
        <f t="shared" si="144"/>
        <v>45645</v>
      </c>
      <c r="Q1813" t="s">
        <v>1138</v>
      </c>
      <c r="R1813" t="s">
        <v>1137</v>
      </c>
      <c r="S1813">
        <v>5</v>
      </c>
      <c r="T1813" t="s">
        <v>1142</v>
      </c>
      <c r="U1813" s="11" t="str">
        <f t="shared" si="140"/>
        <v>06:08:19 AM</v>
      </c>
      <c r="BL1813" s="2" t="s">
        <v>2963</v>
      </c>
    </row>
    <row r="1814" spans="1:64" x14ac:dyDescent="0.35">
      <c r="A1814">
        <v>2380</v>
      </c>
      <c r="B1814" t="s">
        <v>31</v>
      </c>
      <c r="C1814" s="1">
        <v>45337</v>
      </c>
      <c r="D1814" t="s">
        <v>11</v>
      </c>
      <c r="E1814" t="s">
        <v>7</v>
      </c>
      <c r="F1814">
        <v>1</v>
      </c>
      <c r="G1814">
        <v>2065.04</v>
      </c>
      <c r="H1814">
        <v>2065.04</v>
      </c>
      <c r="I1814">
        <v>0</v>
      </c>
      <c r="J1814">
        <v>2065.04</v>
      </c>
      <c r="K1814">
        <v>350</v>
      </c>
      <c r="L1814" s="11">
        <v>0.9241435185185185</v>
      </c>
      <c r="M1814">
        <f t="shared" si="141"/>
        <v>15</v>
      </c>
      <c r="N1814">
        <f t="shared" si="142"/>
        <v>2</v>
      </c>
      <c r="O1814">
        <f t="shared" si="143"/>
        <v>2024</v>
      </c>
      <c r="P1814" s="4">
        <f t="shared" si="144"/>
        <v>45337</v>
      </c>
      <c r="Q1814" t="s">
        <v>1134</v>
      </c>
      <c r="R1814" t="s">
        <v>1135</v>
      </c>
      <c r="S1814">
        <v>3</v>
      </c>
      <c r="T1814" t="s">
        <v>1144</v>
      </c>
      <c r="U1814" s="11" t="str">
        <f t="shared" si="140"/>
        <v>10:10:46 PM</v>
      </c>
      <c r="BL1814" s="2" t="s">
        <v>2964</v>
      </c>
    </row>
    <row r="1815" spans="1:64" x14ac:dyDescent="0.35">
      <c r="A1815">
        <v>5668</v>
      </c>
      <c r="B1815" t="s">
        <v>3</v>
      </c>
      <c r="C1815" s="1">
        <v>45750</v>
      </c>
      <c r="D1815" t="s">
        <v>27</v>
      </c>
      <c r="E1815" t="s">
        <v>18</v>
      </c>
      <c r="F1815">
        <v>5</v>
      </c>
      <c r="G1815">
        <v>974.42</v>
      </c>
      <c r="H1815">
        <v>4872.1000000000004</v>
      </c>
      <c r="I1815">
        <v>974.42</v>
      </c>
      <c r="J1815">
        <v>3897.68</v>
      </c>
      <c r="K1815">
        <v>357</v>
      </c>
      <c r="L1815" s="11">
        <v>0.25336805555555558</v>
      </c>
      <c r="M1815">
        <f t="shared" si="141"/>
        <v>3</v>
      </c>
      <c r="N1815">
        <f t="shared" si="142"/>
        <v>4</v>
      </c>
      <c r="O1815">
        <f t="shared" si="143"/>
        <v>2025</v>
      </c>
      <c r="P1815" s="4">
        <f t="shared" si="144"/>
        <v>45750</v>
      </c>
      <c r="Q1815" t="s">
        <v>1138</v>
      </c>
      <c r="R1815" t="s">
        <v>1135</v>
      </c>
      <c r="S1815">
        <v>5</v>
      </c>
      <c r="T1815" t="s">
        <v>1143</v>
      </c>
      <c r="U1815" s="11" t="str">
        <f t="shared" si="140"/>
        <v>06:04:51 AM</v>
      </c>
      <c r="BL1815" s="2" t="s">
        <v>2965</v>
      </c>
    </row>
    <row r="1816" spans="1:64" x14ac:dyDescent="0.35">
      <c r="A1816">
        <v>1439</v>
      </c>
      <c r="B1816" t="s">
        <v>0</v>
      </c>
      <c r="C1816" s="1">
        <v>45803</v>
      </c>
      <c r="D1816" t="s">
        <v>34</v>
      </c>
      <c r="E1816" t="s">
        <v>18</v>
      </c>
      <c r="F1816">
        <v>2</v>
      </c>
      <c r="G1816">
        <v>1796.95</v>
      </c>
      <c r="H1816">
        <v>3593.9</v>
      </c>
      <c r="I1816">
        <v>359.39</v>
      </c>
      <c r="J1816">
        <v>3234.51</v>
      </c>
      <c r="K1816">
        <v>37</v>
      </c>
      <c r="L1816" s="11">
        <v>7.4421296296296291E-2</v>
      </c>
      <c r="M1816">
        <f t="shared" si="141"/>
        <v>26</v>
      </c>
      <c r="N1816">
        <f t="shared" si="142"/>
        <v>5</v>
      </c>
      <c r="O1816">
        <f t="shared" si="143"/>
        <v>2025</v>
      </c>
      <c r="P1816" s="4">
        <f t="shared" si="144"/>
        <v>45803</v>
      </c>
      <c r="Q1816" t="s">
        <v>1136</v>
      </c>
      <c r="R1816" t="s">
        <v>1135</v>
      </c>
      <c r="S1816">
        <v>2</v>
      </c>
      <c r="T1816" t="s">
        <v>1150</v>
      </c>
      <c r="U1816" s="11" t="str">
        <f t="shared" si="140"/>
        <v>01:47:10 AM</v>
      </c>
      <c r="BL1816" s="2" t="s">
        <v>2966</v>
      </c>
    </row>
    <row r="1817" spans="1:64" x14ac:dyDescent="0.35">
      <c r="A1817">
        <v>5942</v>
      </c>
      <c r="B1817" t="s">
        <v>31</v>
      </c>
      <c r="C1817" s="1">
        <v>45304</v>
      </c>
      <c r="D1817" t="s">
        <v>17</v>
      </c>
      <c r="E1817" t="s">
        <v>28</v>
      </c>
      <c r="F1817">
        <v>1</v>
      </c>
      <c r="G1817">
        <v>2301.59</v>
      </c>
      <c r="H1817">
        <v>2301.59</v>
      </c>
      <c r="I1817">
        <v>345.28</v>
      </c>
      <c r="J1817">
        <v>1956.31</v>
      </c>
      <c r="K1817">
        <v>105</v>
      </c>
      <c r="L1817" s="11">
        <v>0.58851851851851855</v>
      </c>
      <c r="M1817">
        <f t="shared" si="141"/>
        <v>13</v>
      </c>
      <c r="N1817">
        <f t="shared" si="142"/>
        <v>1</v>
      </c>
      <c r="O1817">
        <f t="shared" si="143"/>
        <v>2024</v>
      </c>
      <c r="P1817" s="4">
        <f t="shared" si="144"/>
        <v>45304</v>
      </c>
      <c r="Q1817" t="s">
        <v>1134</v>
      </c>
      <c r="R1817" t="s">
        <v>1137</v>
      </c>
      <c r="S1817">
        <v>3</v>
      </c>
      <c r="T1817" t="s">
        <v>1142</v>
      </c>
      <c r="U1817" s="11" t="str">
        <f t="shared" si="140"/>
        <v>02:07:28 PM</v>
      </c>
      <c r="BL1817" s="2" t="s">
        <v>2967</v>
      </c>
    </row>
    <row r="1818" spans="1:64" x14ac:dyDescent="0.35">
      <c r="A1818">
        <v>9482</v>
      </c>
      <c r="B1818" t="s">
        <v>20</v>
      </c>
      <c r="C1818" s="1">
        <v>45616</v>
      </c>
      <c r="D1818" t="s">
        <v>6</v>
      </c>
      <c r="E1818" t="s">
        <v>10</v>
      </c>
      <c r="F1818">
        <v>2</v>
      </c>
      <c r="G1818">
        <v>2458.46</v>
      </c>
      <c r="H1818">
        <v>4916.92</v>
      </c>
      <c r="I1818">
        <v>737.87</v>
      </c>
      <c r="J1818">
        <v>4179.05</v>
      </c>
      <c r="K1818">
        <v>423</v>
      </c>
      <c r="L1818" s="11">
        <v>0.24649305555555556</v>
      </c>
      <c r="M1818">
        <f t="shared" si="141"/>
        <v>20</v>
      </c>
      <c r="N1818">
        <f t="shared" si="142"/>
        <v>11</v>
      </c>
      <c r="O1818">
        <f t="shared" si="143"/>
        <v>2024</v>
      </c>
      <c r="P1818" s="4">
        <f t="shared" si="144"/>
        <v>45616</v>
      </c>
      <c r="Q1818" t="s">
        <v>1139</v>
      </c>
      <c r="R1818" t="s">
        <v>1135</v>
      </c>
      <c r="S1818">
        <v>5</v>
      </c>
      <c r="T1818" t="s">
        <v>1150</v>
      </c>
      <c r="U1818" s="11" t="str">
        <f t="shared" si="140"/>
        <v>05:54:57 AM</v>
      </c>
      <c r="BL1818" s="2" t="s">
        <v>2968</v>
      </c>
    </row>
    <row r="1819" spans="1:64" x14ac:dyDescent="0.35">
      <c r="A1819">
        <v>9348</v>
      </c>
      <c r="B1819" t="s">
        <v>13</v>
      </c>
      <c r="C1819" s="1">
        <v>45291</v>
      </c>
      <c r="D1819" t="s">
        <v>1</v>
      </c>
      <c r="E1819" t="s">
        <v>30</v>
      </c>
      <c r="F1819">
        <v>2</v>
      </c>
      <c r="G1819">
        <v>1523.05</v>
      </c>
      <c r="H1819">
        <v>3046.1</v>
      </c>
      <c r="I1819">
        <v>304.61</v>
      </c>
      <c r="J1819">
        <v>2741.49</v>
      </c>
      <c r="K1819">
        <v>318</v>
      </c>
      <c r="L1819" s="11">
        <v>0.20762731481481481</v>
      </c>
      <c r="M1819">
        <f t="shared" si="141"/>
        <v>31</v>
      </c>
      <c r="N1819">
        <f t="shared" si="142"/>
        <v>12</v>
      </c>
      <c r="O1819">
        <f t="shared" si="143"/>
        <v>2023</v>
      </c>
      <c r="P1819" s="4">
        <f t="shared" si="144"/>
        <v>45291</v>
      </c>
      <c r="Q1819" t="s">
        <v>1134</v>
      </c>
      <c r="R1819" t="s">
        <v>1137</v>
      </c>
      <c r="S1819">
        <v>3</v>
      </c>
      <c r="T1819" t="s">
        <v>1143</v>
      </c>
      <c r="U1819" s="11" t="str">
        <f t="shared" si="140"/>
        <v>04:58:59 AM</v>
      </c>
      <c r="BL1819" s="2" t="s">
        <v>2969</v>
      </c>
    </row>
    <row r="1820" spans="1:64" x14ac:dyDescent="0.35">
      <c r="A1820">
        <v>7418</v>
      </c>
      <c r="B1820" t="s">
        <v>19</v>
      </c>
      <c r="C1820" s="1">
        <v>45374</v>
      </c>
      <c r="D1820" t="s">
        <v>6</v>
      </c>
      <c r="E1820" t="s">
        <v>2</v>
      </c>
      <c r="F1820">
        <v>4</v>
      </c>
      <c r="G1820">
        <v>1743.83</v>
      </c>
      <c r="H1820">
        <v>6975.32</v>
      </c>
      <c r="I1820">
        <v>697.2</v>
      </c>
      <c r="J1820">
        <v>6278.12</v>
      </c>
      <c r="K1820">
        <v>212</v>
      </c>
      <c r="L1820" s="11">
        <v>0.9034375</v>
      </c>
      <c r="M1820">
        <f t="shared" si="141"/>
        <v>23</v>
      </c>
      <c r="N1820">
        <f t="shared" si="142"/>
        <v>3</v>
      </c>
      <c r="O1820">
        <f t="shared" si="143"/>
        <v>2024</v>
      </c>
      <c r="P1820" s="4">
        <f t="shared" si="144"/>
        <v>45374</v>
      </c>
      <c r="Q1820" t="s">
        <v>1139</v>
      </c>
      <c r="R1820" t="s">
        <v>1135</v>
      </c>
      <c r="S1820">
        <v>3</v>
      </c>
      <c r="T1820" t="s">
        <v>1141</v>
      </c>
      <c r="U1820" s="11" t="str">
        <f t="shared" si="140"/>
        <v>09:40:57 PM</v>
      </c>
      <c r="BL1820" s="2" t="s">
        <v>2970</v>
      </c>
    </row>
    <row r="1821" spans="1:64" x14ac:dyDescent="0.35">
      <c r="A1821">
        <v>1894</v>
      </c>
      <c r="B1821" t="s">
        <v>19</v>
      </c>
      <c r="C1821" s="1">
        <v>45753</v>
      </c>
      <c r="D1821" t="s">
        <v>6</v>
      </c>
      <c r="E1821" t="s">
        <v>37</v>
      </c>
      <c r="F1821">
        <v>3</v>
      </c>
      <c r="G1821">
        <v>1526.37</v>
      </c>
      <c r="H1821">
        <v>4579.1099999999997</v>
      </c>
      <c r="I1821">
        <v>313.74</v>
      </c>
      <c r="J1821">
        <v>4265.37</v>
      </c>
      <c r="K1821">
        <v>320</v>
      </c>
      <c r="L1821" s="11">
        <v>0.14465277777777777</v>
      </c>
      <c r="M1821">
        <f t="shared" si="141"/>
        <v>6</v>
      </c>
      <c r="N1821">
        <f t="shared" si="142"/>
        <v>4</v>
      </c>
      <c r="O1821">
        <f t="shared" si="143"/>
        <v>2025</v>
      </c>
      <c r="P1821" s="4">
        <f t="shared" si="144"/>
        <v>45753</v>
      </c>
      <c r="Q1821" t="s">
        <v>1134</v>
      </c>
      <c r="R1821" t="s">
        <v>1135</v>
      </c>
      <c r="S1821">
        <v>5</v>
      </c>
      <c r="T1821" t="s">
        <v>1150</v>
      </c>
      <c r="U1821" s="11" t="str">
        <f t="shared" si="140"/>
        <v>03:28:18 AM</v>
      </c>
      <c r="BL1821" s="2" t="s">
        <v>2971</v>
      </c>
    </row>
    <row r="1822" spans="1:64" x14ac:dyDescent="0.35">
      <c r="A1822">
        <v>4921</v>
      </c>
      <c r="B1822" t="s">
        <v>15</v>
      </c>
      <c r="C1822" s="1">
        <v>45529</v>
      </c>
      <c r="D1822" t="s">
        <v>23</v>
      </c>
      <c r="E1822" t="s">
        <v>14</v>
      </c>
      <c r="F1822">
        <v>1</v>
      </c>
      <c r="G1822">
        <v>1616.84</v>
      </c>
      <c r="H1822">
        <v>1616.84</v>
      </c>
      <c r="I1822">
        <v>161.85</v>
      </c>
      <c r="J1822">
        <v>1454.99</v>
      </c>
      <c r="K1822">
        <v>59</v>
      </c>
      <c r="L1822" s="11">
        <v>0.87274305555555554</v>
      </c>
      <c r="M1822">
        <f t="shared" si="141"/>
        <v>25</v>
      </c>
      <c r="N1822">
        <f t="shared" si="142"/>
        <v>8</v>
      </c>
      <c r="O1822">
        <f t="shared" si="143"/>
        <v>2024</v>
      </c>
      <c r="P1822" s="4">
        <f t="shared" si="144"/>
        <v>45529</v>
      </c>
      <c r="Q1822" t="s">
        <v>1134</v>
      </c>
      <c r="R1822" t="s">
        <v>1137</v>
      </c>
      <c r="S1822">
        <v>5</v>
      </c>
      <c r="T1822" t="s">
        <v>1148</v>
      </c>
      <c r="U1822" s="11" t="str">
        <f t="shared" si="140"/>
        <v>08:56:45 PM</v>
      </c>
      <c r="BL1822" s="2" t="s">
        <v>2972</v>
      </c>
    </row>
    <row r="1823" spans="1:64" x14ac:dyDescent="0.35">
      <c r="A1823">
        <v>7322</v>
      </c>
      <c r="B1823" t="s">
        <v>0</v>
      </c>
      <c r="C1823" s="1">
        <v>45232</v>
      </c>
      <c r="D1823" t="s">
        <v>23</v>
      </c>
      <c r="E1823" t="s">
        <v>7</v>
      </c>
      <c r="F1823">
        <v>3</v>
      </c>
      <c r="G1823">
        <v>484.72</v>
      </c>
      <c r="H1823">
        <v>1454.16</v>
      </c>
      <c r="I1823">
        <v>0</v>
      </c>
      <c r="J1823">
        <v>1454.16</v>
      </c>
      <c r="K1823">
        <v>378</v>
      </c>
      <c r="L1823" s="11">
        <v>0.87274305555555554</v>
      </c>
      <c r="M1823">
        <f t="shared" si="141"/>
        <v>2</v>
      </c>
      <c r="N1823">
        <f t="shared" si="142"/>
        <v>11</v>
      </c>
      <c r="O1823">
        <f t="shared" si="143"/>
        <v>2023</v>
      </c>
      <c r="P1823" s="4">
        <f t="shared" si="144"/>
        <v>45232</v>
      </c>
      <c r="Q1823" t="s">
        <v>1134</v>
      </c>
      <c r="R1823" t="s">
        <v>1137</v>
      </c>
      <c r="S1823">
        <v>1</v>
      </c>
      <c r="T1823" t="s">
        <v>1148</v>
      </c>
      <c r="U1823" s="11" t="str">
        <f t="shared" si="140"/>
        <v>08:56:45 PM</v>
      </c>
      <c r="BL1823" s="2" t="s">
        <v>2973</v>
      </c>
    </row>
    <row r="1824" spans="1:64" x14ac:dyDescent="0.35">
      <c r="A1824">
        <v>4949</v>
      </c>
      <c r="B1824" t="s">
        <v>13</v>
      </c>
      <c r="C1824" s="1">
        <v>45533</v>
      </c>
      <c r="D1824" t="s">
        <v>24</v>
      </c>
      <c r="E1824" t="s">
        <v>7</v>
      </c>
      <c r="F1824">
        <v>3</v>
      </c>
      <c r="G1824">
        <v>767.75</v>
      </c>
      <c r="H1824">
        <v>2303.25</v>
      </c>
      <c r="I1824">
        <v>335.32</v>
      </c>
      <c r="J1824">
        <v>1967.93</v>
      </c>
      <c r="K1824">
        <v>291</v>
      </c>
      <c r="L1824" s="11">
        <v>0.57753472222222224</v>
      </c>
      <c r="M1824">
        <f t="shared" si="141"/>
        <v>29</v>
      </c>
      <c r="N1824">
        <f t="shared" si="142"/>
        <v>8</v>
      </c>
      <c r="O1824">
        <f t="shared" si="143"/>
        <v>2024</v>
      </c>
      <c r="P1824" s="4">
        <f t="shared" si="144"/>
        <v>45533</v>
      </c>
      <c r="Q1824" t="s">
        <v>1136</v>
      </c>
      <c r="R1824" t="s">
        <v>1137</v>
      </c>
      <c r="S1824">
        <v>3</v>
      </c>
      <c r="T1824" t="s">
        <v>1149</v>
      </c>
      <c r="U1824" s="11" t="str">
        <f t="shared" si="140"/>
        <v>01:51:39 PM</v>
      </c>
      <c r="BL1824" s="2" t="s">
        <v>2974</v>
      </c>
    </row>
    <row r="1825" spans="1:64" x14ac:dyDescent="0.35">
      <c r="A1825">
        <v>2163</v>
      </c>
      <c r="B1825" t="s">
        <v>19</v>
      </c>
      <c r="C1825" s="1">
        <v>45555</v>
      </c>
      <c r="D1825" t="s">
        <v>6</v>
      </c>
      <c r="E1825" t="s">
        <v>32</v>
      </c>
      <c r="F1825">
        <v>5</v>
      </c>
      <c r="G1825">
        <v>2119.8200000000002</v>
      </c>
      <c r="H1825">
        <v>10599.1</v>
      </c>
      <c r="I1825">
        <v>413.34</v>
      </c>
      <c r="J1825">
        <v>10185.76</v>
      </c>
      <c r="K1825">
        <v>102</v>
      </c>
      <c r="L1825" s="11">
        <v>0.15119212962962963</v>
      </c>
      <c r="M1825">
        <f t="shared" si="141"/>
        <v>20</v>
      </c>
      <c r="N1825">
        <f t="shared" si="142"/>
        <v>9</v>
      </c>
      <c r="O1825">
        <f t="shared" si="143"/>
        <v>2024</v>
      </c>
      <c r="P1825" s="4">
        <f t="shared" si="144"/>
        <v>45555</v>
      </c>
      <c r="Q1825" t="s">
        <v>1136</v>
      </c>
      <c r="R1825" t="s">
        <v>1137</v>
      </c>
      <c r="S1825">
        <v>4</v>
      </c>
      <c r="T1825" t="s">
        <v>1148</v>
      </c>
      <c r="U1825" s="11" t="str">
        <f t="shared" si="140"/>
        <v>03:37:43 AM</v>
      </c>
      <c r="BL1825" s="2" t="s">
        <v>2975</v>
      </c>
    </row>
    <row r="1826" spans="1:64" x14ac:dyDescent="0.35">
      <c r="A1826">
        <v>1197</v>
      </c>
      <c r="B1826" t="s">
        <v>15</v>
      </c>
      <c r="C1826" s="1">
        <v>45425</v>
      </c>
      <c r="D1826" t="s">
        <v>34</v>
      </c>
      <c r="E1826" t="s">
        <v>38</v>
      </c>
      <c r="F1826">
        <v>1</v>
      </c>
      <c r="G1826">
        <v>632.46</v>
      </c>
      <c r="H1826">
        <v>632.46</v>
      </c>
      <c r="I1826">
        <v>126.16</v>
      </c>
      <c r="J1826">
        <v>506.3</v>
      </c>
      <c r="K1826">
        <v>426</v>
      </c>
      <c r="L1826" s="11">
        <v>0.18983796296296296</v>
      </c>
      <c r="M1826">
        <f t="shared" si="141"/>
        <v>13</v>
      </c>
      <c r="N1826">
        <f t="shared" si="142"/>
        <v>5</v>
      </c>
      <c r="O1826">
        <f t="shared" si="143"/>
        <v>2024</v>
      </c>
      <c r="P1826" s="4">
        <f t="shared" si="144"/>
        <v>45425</v>
      </c>
      <c r="Q1826" t="s">
        <v>1138</v>
      </c>
      <c r="R1826" t="s">
        <v>1137</v>
      </c>
      <c r="S1826">
        <v>3</v>
      </c>
      <c r="T1826" t="s">
        <v>1150</v>
      </c>
      <c r="U1826" s="11" t="str">
        <f t="shared" si="140"/>
        <v>04:33:22 AM</v>
      </c>
      <c r="BL1826" s="2" t="s">
        <v>2976</v>
      </c>
    </row>
    <row r="1827" spans="1:64" x14ac:dyDescent="0.35">
      <c r="A1827">
        <v>6185</v>
      </c>
      <c r="B1827" t="s">
        <v>0</v>
      </c>
      <c r="C1827" s="1">
        <v>45247</v>
      </c>
      <c r="D1827" t="s">
        <v>4</v>
      </c>
      <c r="E1827" t="s">
        <v>14</v>
      </c>
      <c r="F1827">
        <v>4</v>
      </c>
      <c r="G1827">
        <v>1562.89</v>
      </c>
      <c r="H1827">
        <v>6251.56</v>
      </c>
      <c r="I1827">
        <v>624.99</v>
      </c>
      <c r="J1827">
        <v>5626.57</v>
      </c>
      <c r="K1827">
        <v>224</v>
      </c>
      <c r="L1827" s="11">
        <v>0.52545138888888887</v>
      </c>
      <c r="M1827">
        <f t="shared" si="141"/>
        <v>17</v>
      </c>
      <c r="N1827">
        <f t="shared" si="142"/>
        <v>11</v>
      </c>
      <c r="O1827">
        <f t="shared" si="143"/>
        <v>2023</v>
      </c>
      <c r="P1827" s="4">
        <f t="shared" si="144"/>
        <v>45247</v>
      </c>
      <c r="Q1827" t="s">
        <v>1138</v>
      </c>
      <c r="R1827" t="s">
        <v>1137</v>
      </c>
      <c r="S1827">
        <v>3</v>
      </c>
      <c r="T1827" t="s">
        <v>1145</v>
      </c>
      <c r="U1827" s="11" t="str">
        <f t="shared" si="140"/>
        <v>12:36:39 PM</v>
      </c>
      <c r="BL1827" s="2" t="s">
        <v>2977</v>
      </c>
    </row>
    <row r="1828" spans="1:64" x14ac:dyDescent="0.35">
      <c r="A1828">
        <v>7337</v>
      </c>
      <c r="B1828" t="s">
        <v>20</v>
      </c>
      <c r="C1828" s="1">
        <v>45813</v>
      </c>
      <c r="D1828" t="s">
        <v>16</v>
      </c>
      <c r="E1828" t="s">
        <v>36</v>
      </c>
      <c r="F1828">
        <v>2</v>
      </c>
      <c r="G1828">
        <v>1932.24</v>
      </c>
      <c r="H1828">
        <v>3864.48</v>
      </c>
      <c r="I1828">
        <v>272.24</v>
      </c>
      <c r="J1828">
        <v>3592.24</v>
      </c>
      <c r="K1828">
        <v>371</v>
      </c>
      <c r="L1828" s="11">
        <v>0.66451388888888885</v>
      </c>
      <c r="M1828">
        <f t="shared" si="141"/>
        <v>5</v>
      </c>
      <c r="N1828">
        <f t="shared" si="142"/>
        <v>6</v>
      </c>
      <c r="O1828">
        <f t="shared" si="143"/>
        <v>2025</v>
      </c>
      <c r="P1828" s="4">
        <f t="shared" si="144"/>
        <v>45813</v>
      </c>
      <c r="Q1828" t="s">
        <v>1139</v>
      </c>
      <c r="R1828" t="s">
        <v>1137</v>
      </c>
      <c r="S1828">
        <v>5</v>
      </c>
      <c r="T1828" t="s">
        <v>1149</v>
      </c>
      <c r="U1828" s="11" t="str">
        <f t="shared" si="140"/>
        <v>03:56:54 PM</v>
      </c>
      <c r="BL1828" s="2" t="s">
        <v>2978</v>
      </c>
    </row>
    <row r="1829" spans="1:64" x14ac:dyDescent="0.35">
      <c r="A1829">
        <v>7895</v>
      </c>
      <c r="B1829" t="s">
        <v>8</v>
      </c>
      <c r="C1829" s="1">
        <v>45428</v>
      </c>
      <c r="D1829" t="s">
        <v>11</v>
      </c>
      <c r="E1829" t="s">
        <v>2</v>
      </c>
      <c r="F1829">
        <v>2</v>
      </c>
      <c r="G1829">
        <v>924.62</v>
      </c>
      <c r="H1829">
        <v>1849.24</v>
      </c>
      <c r="I1829">
        <v>185.09</v>
      </c>
      <c r="J1829">
        <v>1664.15</v>
      </c>
      <c r="K1829">
        <v>102</v>
      </c>
      <c r="L1829" s="11">
        <v>0.91629629629629628</v>
      </c>
      <c r="M1829">
        <f t="shared" si="141"/>
        <v>16</v>
      </c>
      <c r="N1829">
        <f t="shared" si="142"/>
        <v>5</v>
      </c>
      <c r="O1829">
        <f t="shared" si="143"/>
        <v>2024</v>
      </c>
      <c r="P1829" s="4">
        <f t="shared" si="144"/>
        <v>45428</v>
      </c>
      <c r="Q1829" t="s">
        <v>1136</v>
      </c>
      <c r="R1829" t="s">
        <v>1137</v>
      </c>
      <c r="S1829">
        <v>3</v>
      </c>
      <c r="T1829" t="s">
        <v>1149</v>
      </c>
      <c r="U1829" s="11" t="str">
        <f t="shared" si="140"/>
        <v>09:59:28 PM</v>
      </c>
      <c r="BL1829" s="2" t="s">
        <v>2979</v>
      </c>
    </row>
    <row r="1830" spans="1:64" x14ac:dyDescent="0.35">
      <c r="A1830">
        <v>9951</v>
      </c>
      <c r="B1830" t="s">
        <v>13</v>
      </c>
      <c r="C1830" s="1">
        <v>45675</v>
      </c>
      <c r="D1830" t="s">
        <v>23</v>
      </c>
      <c r="E1830" t="s">
        <v>26</v>
      </c>
      <c r="F1830">
        <v>5</v>
      </c>
      <c r="G1830">
        <v>235.72</v>
      </c>
      <c r="H1830">
        <v>1178.5999999999999</v>
      </c>
      <c r="I1830">
        <v>176.79</v>
      </c>
      <c r="J1830">
        <v>1001.81</v>
      </c>
      <c r="K1830">
        <v>94</v>
      </c>
      <c r="L1830" s="11">
        <v>0.26001157407407405</v>
      </c>
      <c r="M1830">
        <f t="shared" si="141"/>
        <v>18</v>
      </c>
      <c r="N1830">
        <f t="shared" si="142"/>
        <v>1</v>
      </c>
      <c r="O1830">
        <f t="shared" si="143"/>
        <v>2025</v>
      </c>
      <c r="P1830" s="4">
        <f t="shared" si="144"/>
        <v>45675</v>
      </c>
      <c r="Q1830" t="s">
        <v>1139</v>
      </c>
      <c r="R1830" t="s">
        <v>1135</v>
      </c>
      <c r="S1830">
        <v>3</v>
      </c>
      <c r="T1830" t="s">
        <v>1150</v>
      </c>
      <c r="U1830" s="11" t="str">
        <f t="shared" si="140"/>
        <v>06:14:25 AM</v>
      </c>
      <c r="BL1830" s="2" t="s">
        <v>2980</v>
      </c>
    </row>
    <row r="1831" spans="1:64" x14ac:dyDescent="0.35">
      <c r="A1831">
        <v>3830</v>
      </c>
      <c r="B1831" t="s">
        <v>15</v>
      </c>
      <c r="C1831" s="1">
        <v>45737</v>
      </c>
      <c r="D1831" t="s">
        <v>1</v>
      </c>
      <c r="E1831" t="s">
        <v>22</v>
      </c>
      <c r="F1831">
        <v>1</v>
      </c>
      <c r="G1831">
        <v>2112.35</v>
      </c>
      <c r="H1831">
        <v>2112.35</v>
      </c>
      <c r="I1831">
        <v>136.12</v>
      </c>
      <c r="J1831">
        <v>1976.23</v>
      </c>
      <c r="K1831">
        <v>308</v>
      </c>
      <c r="L1831" s="11">
        <v>0.32766203703703706</v>
      </c>
      <c r="M1831">
        <f t="shared" si="141"/>
        <v>21</v>
      </c>
      <c r="N1831">
        <f t="shared" si="142"/>
        <v>3</v>
      </c>
      <c r="O1831">
        <f t="shared" si="143"/>
        <v>2025</v>
      </c>
      <c r="P1831" s="4">
        <f t="shared" si="144"/>
        <v>45737</v>
      </c>
      <c r="Q1831" t="s">
        <v>1138</v>
      </c>
      <c r="R1831" t="s">
        <v>1137</v>
      </c>
      <c r="S1831">
        <v>4</v>
      </c>
      <c r="T1831" t="s">
        <v>1146</v>
      </c>
      <c r="U1831" s="11" t="str">
        <f t="shared" si="140"/>
        <v>07:51:50 AM</v>
      </c>
      <c r="BL1831" s="2" t="s">
        <v>2981</v>
      </c>
    </row>
    <row r="1832" spans="1:64" x14ac:dyDescent="0.35">
      <c r="A1832">
        <v>8717</v>
      </c>
      <c r="B1832" t="s">
        <v>3</v>
      </c>
      <c r="C1832" s="1">
        <v>45743</v>
      </c>
      <c r="D1832" t="s">
        <v>11</v>
      </c>
      <c r="E1832" t="s">
        <v>29</v>
      </c>
      <c r="F1832">
        <v>1</v>
      </c>
      <c r="G1832">
        <v>1730.55</v>
      </c>
      <c r="H1832">
        <v>1730.55</v>
      </c>
      <c r="I1832">
        <v>322.04000000000002</v>
      </c>
      <c r="J1832">
        <v>1408.51</v>
      </c>
      <c r="K1832">
        <v>209</v>
      </c>
      <c r="L1832" s="11">
        <v>0.22218750000000001</v>
      </c>
      <c r="M1832">
        <f t="shared" si="141"/>
        <v>27</v>
      </c>
      <c r="N1832">
        <f t="shared" si="142"/>
        <v>3</v>
      </c>
      <c r="O1832">
        <f t="shared" si="143"/>
        <v>2025</v>
      </c>
      <c r="P1832" s="4">
        <f t="shared" si="144"/>
        <v>45743</v>
      </c>
      <c r="Q1832" t="s">
        <v>1139</v>
      </c>
      <c r="R1832" t="s">
        <v>1137</v>
      </c>
      <c r="S1832">
        <v>5</v>
      </c>
      <c r="T1832" t="s">
        <v>1143</v>
      </c>
      <c r="U1832" s="11" t="str">
        <f t="shared" si="140"/>
        <v>05:19:57 AM</v>
      </c>
      <c r="BL1832" s="2" t="s">
        <v>2982</v>
      </c>
    </row>
    <row r="1833" spans="1:64" x14ac:dyDescent="0.35">
      <c r="A1833">
        <v>2195</v>
      </c>
      <c r="B1833" t="s">
        <v>25</v>
      </c>
      <c r="C1833" s="1">
        <v>45157</v>
      </c>
      <c r="D1833" t="s">
        <v>11</v>
      </c>
      <c r="E1833" t="s">
        <v>29</v>
      </c>
      <c r="F1833">
        <v>2</v>
      </c>
      <c r="G1833">
        <v>2251.79</v>
      </c>
      <c r="H1833">
        <v>4503.58</v>
      </c>
      <c r="I1833">
        <v>209.16</v>
      </c>
      <c r="J1833">
        <v>4294.42</v>
      </c>
      <c r="K1833">
        <v>350</v>
      </c>
      <c r="L1833" s="11">
        <v>0.76648148148148143</v>
      </c>
      <c r="M1833">
        <f t="shared" si="141"/>
        <v>19</v>
      </c>
      <c r="N1833">
        <f t="shared" si="142"/>
        <v>8</v>
      </c>
      <c r="O1833">
        <f t="shared" si="143"/>
        <v>2023</v>
      </c>
      <c r="P1833" s="4">
        <f t="shared" si="144"/>
        <v>45157</v>
      </c>
      <c r="Q1833" t="s">
        <v>1138</v>
      </c>
      <c r="R1833" t="s">
        <v>1135</v>
      </c>
      <c r="S1833">
        <v>3</v>
      </c>
      <c r="T1833" t="s">
        <v>1141</v>
      </c>
      <c r="U1833" s="11" t="str">
        <f t="shared" si="140"/>
        <v>06:23:44 PM</v>
      </c>
      <c r="BL1833" s="2" t="s">
        <v>2983</v>
      </c>
    </row>
    <row r="1834" spans="1:64" x14ac:dyDescent="0.35">
      <c r="A1834">
        <v>2106</v>
      </c>
      <c r="B1834" t="s">
        <v>20</v>
      </c>
      <c r="C1834" s="1">
        <v>45155</v>
      </c>
      <c r="D1834" t="s">
        <v>9</v>
      </c>
      <c r="E1834" t="s">
        <v>38</v>
      </c>
      <c r="F1834">
        <v>2</v>
      </c>
      <c r="G1834">
        <v>1916.47</v>
      </c>
      <c r="H1834">
        <v>3832.94</v>
      </c>
      <c r="I1834">
        <v>298.8</v>
      </c>
      <c r="J1834">
        <v>3534.14</v>
      </c>
      <c r="K1834">
        <v>18</v>
      </c>
      <c r="L1834" s="11">
        <v>2.9374999999999998E-2</v>
      </c>
      <c r="M1834">
        <f t="shared" si="141"/>
        <v>17</v>
      </c>
      <c r="N1834">
        <f t="shared" si="142"/>
        <v>8</v>
      </c>
      <c r="O1834">
        <f t="shared" si="143"/>
        <v>2023</v>
      </c>
      <c r="P1834" s="4">
        <f t="shared" si="144"/>
        <v>45155</v>
      </c>
      <c r="Q1834" t="s">
        <v>1136</v>
      </c>
      <c r="R1834" t="s">
        <v>1137</v>
      </c>
      <c r="S1834">
        <v>2</v>
      </c>
      <c r="T1834" t="s">
        <v>1148</v>
      </c>
      <c r="U1834" s="11" t="str">
        <f t="shared" ref="U1834:U1897" si="145">TEXT(L1834,"hh:mm:ss AM/PM")</f>
        <v>12:42:18 AM</v>
      </c>
      <c r="BL1834" s="2" t="s">
        <v>2984</v>
      </c>
    </row>
    <row r="1835" spans="1:64" x14ac:dyDescent="0.35">
      <c r="A1835">
        <v>5295</v>
      </c>
      <c r="B1835" t="s">
        <v>15</v>
      </c>
      <c r="C1835" s="1">
        <v>45312</v>
      </c>
      <c r="D1835" t="s">
        <v>17</v>
      </c>
      <c r="E1835" t="s">
        <v>21</v>
      </c>
      <c r="F1835">
        <v>3</v>
      </c>
      <c r="G1835">
        <v>1732.21</v>
      </c>
      <c r="H1835">
        <v>5196.63</v>
      </c>
      <c r="I1835">
        <v>0</v>
      </c>
      <c r="J1835">
        <v>5196.63</v>
      </c>
      <c r="K1835">
        <v>198</v>
      </c>
      <c r="L1835" s="11">
        <v>0.43601851851851853</v>
      </c>
      <c r="M1835">
        <f t="shared" si="141"/>
        <v>21</v>
      </c>
      <c r="N1835">
        <f t="shared" si="142"/>
        <v>1</v>
      </c>
      <c r="O1835">
        <f t="shared" si="143"/>
        <v>2024</v>
      </c>
      <c r="P1835" s="4">
        <f t="shared" si="144"/>
        <v>45312</v>
      </c>
      <c r="Q1835" t="s">
        <v>1134</v>
      </c>
      <c r="R1835" t="s">
        <v>1135</v>
      </c>
      <c r="S1835">
        <v>1</v>
      </c>
      <c r="T1835" t="s">
        <v>1141</v>
      </c>
      <c r="U1835" s="11" t="str">
        <f t="shared" si="145"/>
        <v>10:27:52 AM</v>
      </c>
      <c r="BL1835" s="2" t="s">
        <v>2985</v>
      </c>
    </row>
    <row r="1836" spans="1:64" x14ac:dyDescent="0.35">
      <c r="A1836">
        <v>1652</v>
      </c>
      <c r="B1836" t="s">
        <v>31</v>
      </c>
      <c r="C1836" s="1">
        <v>45861</v>
      </c>
      <c r="D1836" t="s">
        <v>16</v>
      </c>
      <c r="E1836" t="s">
        <v>37</v>
      </c>
      <c r="F1836">
        <v>5</v>
      </c>
      <c r="G1836">
        <v>683.92</v>
      </c>
      <c r="H1836">
        <v>3419.6</v>
      </c>
      <c r="I1836">
        <v>341.96</v>
      </c>
      <c r="J1836">
        <v>3077.64</v>
      </c>
      <c r="K1836">
        <v>325</v>
      </c>
      <c r="L1836" s="11">
        <v>0.16692129629629629</v>
      </c>
      <c r="M1836">
        <f t="shared" si="141"/>
        <v>23</v>
      </c>
      <c r="N1836">
        <f t="shared" si="142"/>
        <v>7</v>
      </c>
      <c r="O1836">
        <f t="shared" si="143"/>
        <v>2025</v>
      </c>
      <c r="P1836" s="4">
        <f t="shared" si="144"/>
        <v>45861</v>
      </c>
      <c r="Q1836" t="s">
        <v>1136</v>
      </c>
      <c r="R1836" t="s">
        <v>1135</v>
      </c>
      <c r="S1836">
        <v>4</v>
      </c>
      <c r="T1836" t="s">
        <v>1148</v>
      </c>
      <c r="U1836" s="11" t="str">
        <f t="shared" si="145"/>
        <v>04:00:22 AM</v>
      </c>
      <c r="BL1836" s="2" t="s">
        <v>2986</v>
      </c>
    </row>
    <row r="1837" spans="1:64" x14ac:dyDescent="0.35">
      <c r="A1837">
        <v>1990</v>
      </c>
      <c r="B1837" t="s">
        <v>8</v>
      </c>
      <c r="C1837" s="1">
        <v>45758</v>
      </c>
      <c r="D1837" t="s">
        <v>34</v>
      </c>
      <c r="E1837" t="s">
        <v>7</v>
      </c>
      <c r="F1837">
        <v>3</v>
      </c>
      <c r="G1837">
        <v>620.84</v>
      </c>
      <c r="H1837">
        <v>1862.52</v>
      </c>
      <c r="I1837">
        <v>185.92</v>
      </c>
      <c r="J1837">
        <v>1676.6</v>
      </c>
      <c r="K1837">
        <v>146</v>
      </c>
      <c r="L1837" s="11">
        <v>0.71885416666666668</v>
      </c>
      <c r="M1837">
        <f t="shared" si="141"/>
        <v>11</v>
      </c>
      <c r="N1837">
        <f t="shared" si="142"/>
        <v>4</v>
      </c>
      <c r="O1837">
        <f t="shared" si="143"/>
        <v>2025</v>
      </c>
      <c r="P1837" s="4">
        <f t="shared" si="144"/>
        <v>45758</v>
      </c>
      <c r="Q1837" t="s">
        <v>1139</v>
      </c>
      <c r="R1837" t="s">
        <v>1137</v>
      </c>
      <c r="S1837">
        <v>3</v>
      </c>
      <c r="T1837" t="s">
        <v>1147</v>
      </c>
      <c r="U1837" s="11" t="str">
        <f t="shared" si="145"/>
        <v>05:15:09 PM</v>
      </c>
      <c r="BL1837" s="2" t="s">
        <v>2987</v>
      </c>
    </row>
    <row r="1838" spans="1:64" x14ac:dyDescent="0.35">
      <c r="A1838">
        <v>7520</v>
      </c>
      <c r="B1838" t="s">
        <v>19</v>
      </c>
      <c r="C1838" s="1">
        <v>45538</v>
      </c>
      <c r="D1838" t="s">
        <v>23</v>
      </c>
      <c r="E1838" t="s">
        <v>12</v>
      </c>
      <c r="F1838">
        <v>1</v>
      </c>
      <c r="G1838">
        <v>1121.33</v>
      </c>
      <c r="H1838">
        <v>1121.33</v>
      </c>
      <c r="I1838">
        <v>235.72</v>
      </c>
      <c r="J1838">
        <v>885.61</v>
      </c>
      <c r="K1838">
        <v>153</v>
      </c>
      <c r="L1838" s="11">
        <v>0.31182870370370369</v>
      </c>
      <c r="M1838">
        <f t="shared" si="141"/>
        <v>3</v>
      </c>
      <c r="N1838">
        <f t="shared" si="142"/>
        <v>9</v>
      </c>
      <c r="O1838">
        <f t="shared" si="143"/>
        <v>2024</v>
      </c>
      <c r="P1838" s="4">
        <f t="shared" si="144"/>
        <v>45538</v>
      </c>
      <c r="Q1838" t="s">
        <v>1139</v>
      </c>
      <c r="R1838" t="s">
        <v>1135</v>
      </c>
      <c r="S1838">
        <v>2</v>
      </c>
      <c r="T1838" t="s">
        <v>1145</v>
      </c>
      <c r="U1838" s="11" t="str">
        <f t="shared" si="145"/>
        <v>07:29:02 AM</v>
      </c>
      <c r="BL1838" s="2" t="s">
        <v>2988</v>
      </c>
    </row>
    <row r="1839" spans="1:64" x14ac:dyDescent="0.35">
      <c r="A1839">
        <v>5693</v>
      </c>
      <c r="B1839" t="s">
        <v>3</v>
      </c>
      <c r="C1839" s="1">
        <v>45633</v>
      </c>
      <c r="D1839" t="s">
        <v>6</v>
      </c>
      <c r="E1839" t="s">
        <v>21</v>
      </c>
      <c r="F1839">
        <v>2</v>
      </c>
      <c r="G1839">
        <v>2104.0500000000002</v>
      </c>
      <c r="H1839">
        <v>4208.1000000000004</v>
      </c>
      <c r="I1839">
        <v>420.81</v>
      </c>
      <c r="J1839">
        <v>3787.29</v>
      </c>
      <c r="K1839">
        <v>180</v>
      </c>
      <c r="L1839" s="11">
        <v>0.42319444444444443</v>
      </c>
      <c r="M1839">
        <f t="shared" si="141"/>
        <v>7</v>
      </c>
      <c r="N1839">
        <f t="shared" si="142"/>
        <v>12</v>
      </c>
      <c r="O1839">
        <f t="shared" si="143"/>
        <v>2024</v>
      </c>
      <c r="P1839" s="4">
        <f t="shared" si="144"/>
        <v>45633</v>
      </c>
      <c r="Q1839" t="s">
        <v>1136</v>
      </c>
      <c r="R1839" t="s">
        <v>1137</v>
      </c>
      <c r="S1839">
        <v>3</v>
      </c>
      <c r="T1839" t="s">
        <v>1146</v>
      </c>
      <c r="U1839" s="11" t="str">
        <f t="shared" si="145"/>
        <v>10:09:24 AM</v>
      </c>
      <c r="BL1839" s="2" t="s">
        <v>2989</v>
      </c>
    </row>
    <row r="1840" spans="1:64" x14ac:dyDescent="0.35">
      <c r="A1840">
        <v>9209</v>
      </c>
      <c r="B1840" t="s">
        <v>13</v>
      </c>
      <c r="C1840" s="1">
        <v>45740</v>
      </c>
      <c r="D1840" t="s">
        <v>9</v>
      </c>
      <c r="E1840" t="s">
        <v>22</v>
      </c>
      <c r="F1840">
        <v>4</v>
      </c>
      <c r="G1840">
        <v>1150.3800000000001</v>
      </c>
      <c r="H1840">
        <v>4601.5200000000004</v>
      </c>
      <c r="I1840">
        <v>690.56</v>
      </c>
      <c r="J1840">
        <v>3910.96</v>
      </c>
      <c r="K1840">
        <v>198</v>
      </c>
      <c r="L1840" s="11">
        <v>0.82809027777777777</v>
      </c>
      <c r="M1840">
        <f t="shared" si="141"/>
        <v>24</v>
      </c>
      <c r="N1840">
        <f t="shared" si="142"/>
        <v>3</v>
      </c>
      <c r="O1840">
        <f t="shared" si="143"/>
        <v>2025</v>
      </c>
      <c r="P1840" s="4">
        <f t="shared" si="144"/>
        <v>45740</v>
      </c>
      <c r="Q1840" t="s">
        <v>1136</v>
      </c>
      <c r="R1840" t="s">
        <v>1135</v>
      </c>
      <c r="S1840">
        <v>3</v>
      </c>
      <c r="T1840" t="s">
        <v>1143</v>
      </c>
      <c r="U1840" s="11" t="str">
        <f t="shared" si="145"/>
        <v>07:52:27 PM</v>
      </c>
      <c r="BL1840" s="2" t="s">
        <v>2990</v>
      </c>
    </row>
    <row r="1841" spans="1:64" x14ac:dyDescent="0.35">
      <c r="A1841">
        <v>7806</v>
      </c>
      <c r="B1841" t="s">
        <v>25</v>
      </c>
      <c r="C1841" s="1">
        <v>45474</v>
      </c>
      <c r="D1841" t="s">
        <v>11</v>
      </c>
      <c r="E1841" t="s">
        <v>21</v>
      </c>
      <c r="F1841">
        <v>2</v>
      </c>
      <c r="G1841">
        <v>1823.51</v>
      </c>
      <c r="H1841">
        <v>3647.02</v>
      </c>
      <c r="I1841">
        <v>729.57</v>
      </c>
      <c r="J1841">
        <v>2917.45</v>
      </c>
      <c r="K1841">
        <v>105</v>
      </c>
      <c r="L1841" s="11">
        <v>0.86428240740740736</v>
      </c>
      <c r="M1841">
        <f t="shared" si="141"/>
        <v>1</v>
      </c>
      <c r="N1841">
        <f t="shared" si="142"/>
        <v>7</v>
      </c>
      <c r="O1841">
        <f t="shared" si="143"/>
        <v>2024</v>
      </c>
      <c r="P1841" s="4">
        <f t="shared" si="144"/>
        <v>45474</v>
      </c>
      <c r="Q1841" t="s">
        <v>1138</v>
      </c>
      <c r="R1841" t="s">
        <v>1135</v>
      </c>
      <c r="S1841">
        <v>5</v>
      </c>
      <c r="T1841" t="s">
        <v>1150</v>
      </c>
      <c r="U1841" s="11" t="str">
        <f t="shared" si="145"/>
        <v>08:44:34 PM</v>
      </c>
      <c r="BL1841" s="2" t="s">
        <v>2991</v>
      </c>
    </row>
    <row r="1842" spans="1:64" x14ac:dyDescent="0.35">
      <c r="A1842">
        <v>7590</v>
      </c>
      <c r="B1842" t="s">
        <v>31</v>
      </c>
      <c r="C1842" s="1">
        <v>45209</v>
      </c>
      <c r="D1842" t="s">
        <v>17</v>
      </c>
      <c r="E1842" t="s">
        <v>33</v>
      </c>
      <c r="F1842">
        <v>5</v>
      </c>
      <c r="G1842">
        <v>956.99</v>
      </c>
      <c r="H1842">
        <v>4784.95</v>
      </c>
      <c r="I1842">
        <v>717.95</v>
      </c>
      <c r="J1842">
        <v>4067</v>
      </c>
      <c r="K1842">
        <v>237</v>
      </c>
      <c r="L1842" s="11">
        <v>0.89618055555555554</v>
      </c>
      <c r="M1842">
        <f t="shared" si="141"/>
        <v>10</v>
      </c>
      <c r="N1842">
        <f t="shared" si="142"/>
        <v>10</v>
      </c>
      <c r="O1842">
        <f t="shared" si="143"/>
        <v>2023</v>
      </c>
      <c r="P1842" s="4">
        <f t="shared" si="144"/>
        <v>45209</v>
      </c>
      <c r="Q1842" t="s">
        <v>1139</v>
      </c>
      <c r="R1842" t="s">
        <v>1135</v>
      </c>
      <c r="S1842">
        <v>5</v>
      </c>
      <c r="T1842" t="s">
        <v>1141</v>
      </c>
      <c r="U1842" s="11" t="str">
        <f t="shared" si="145"/>
        <v>09:30:30 PM</v>
      </c>
      <c r="BL1842" s="2" t="s">
        <v>2992</v>
      </c>
    </row>
    <row r="1843" spans="1:64" x14ac:dyDescent="0.35">
      <c r="A1843">
        <v>9791</v>
      </c>
      <c r="B1843" t="s">
        <v>19</v>
      </c>
      <c r="C1843" s="1">
        <v>45562</v>
      </c>
      <c r="D1843" t="s">
        <v>6</v>
      </c>
      <c r="E1843" t="s">
        <v>21</v>
      </c>
      <c r="F1843">
        <v>2</v>
      </c>
      <c r="G1843">
        <v>1214.29</v>
      </c>
      <c r="H1843">
        <v>2428.58</v>
      </c>
      <c r="I1843">
        <v>364.37</v>
      </c>
      <c r="J1843">
        <v>2064.21</v>
      </c>
      <c r="K1843">
        <v>277</v>
      </c>
      <c r="L1843" s="11">
        <v>3.6458333333333336E-2</v>
      </c>
      <c r="M1843">
        <f t="shared" si="141"/>
        <v>27</v>
      </c>
      <c r="N1843">
        <f t="shared" si="142"/>
        <v>9</v>
      </c>
      <c r="O1843">
        <f t="shared" si="143"/>
        <v>2024</v>
      </c>
      <c r="P1843" s="4">
        <f t="shared" si="144"/>
        <v>45562</v>
      </c>
      <c r="Q1843" t="s">
        <v>1139</v>
      </c>
      <c r="R1843" t="s">
        <v>1137</v>
      </c>
      <c r="S1843">
        <v>5</v>
      </c>
      <c r="T1843" t="s">
        <v>1141</v>
      </c>
      <c r="U1843" s="11" t="str">
        <f t="shared" si="145"/>
        <v>12:52:30 AM</v>
      </c>
      <c r="BL1843" s="2" t="s">
        <v>2993</v>
      </c>
    </row>
    <row r="1844" spans="1:64" x14ac:dyDescent="0.35">
      <c r="A1844">
        <v>3501</v>
      </c>
      <c r="B1844" t="s">
        <v>13</v>
      </c>
      <c r="C1844" s="1">
        <v>45360</v>
      </c>
      <c r="D1844" t="s">
        <v>1</v>
      </c>
      <c r="E1844" t="s">
        <v>33</v>
      </c>
      <c r="F1844">
        <v>2</v>
      </c>
      <c r="G1844">
        <v>894.74</v>
      </c>
      <c r="H1844">
        <v>1789.48</v>
      </c>
      <c r="I1844">
        <v>0</v>
      </c>
      <c r="J1844">
        <v>1789.48</v>
      </c>
      <c r="K1844">
        <v>455</v>
      </c>
      <c r="L1844" s="11">
        <v>1.1134259259259259E-2</v>
      </c>
      <c r="M1844">
        <f t="shared" si="141"/>
        <v>9</v>
      </c>
      <c r="N1844">
        <f t="shared" si="142"/>
        <v>3</v>
      </c>
      <c r="O1844">
        <f t="shared" si="143"/>
        <v>2024</v>
      </c>
      <c r="P1844" s="4">
        <f t="shared" si="144"/>
        <v>45360</v>
      </c>
      <c r="Q1844" t="s">
        <v>1136</v>
      </c>
      <c r="R1844" t="s">
        <v>1137</v>
      </c>
      <c r="S1844">
        <v>2</v>
      </c>
      <c r="T1844" t="s">
        <v>1150</v>
      </c>
      <c r="U1844" s="11" t="str">
        <f t="shared" si="145"/>
        <v>12:16:02 AM</v>
      </c>
      <c r="BL1844" s="2" t="s">
        <v>2994</v>
      </c>
    </row>
    <row r="1845" spans="1:64" x14ac:dyDescent="0.35">
      <c r="A1845">
        <v>2369</v>
      </c>
      <c r="B1845" t="s">
        <v>13</v>
      </c>
      <c r="C1845" s="1">
        <v>45385</v>
      </c>
      <c r="D1845" t="s">
        <v>27</v>
      </c>
      <c r="E1845" t="s">
        <v>5</v>
      </c>
      <c r="F1845">
        <v>2</v>
      </c>
      <c r="G1845">
        <v>2352.2199999999998</v>
      </c>
      <c r="H1845">
        <v>4704.4399999999996</v>
      </c>
      <c r="I1845">
        <v>470.61</v>
      </c>
      <c r="J1845">
        <v>4233.83</v>
      </c>
      <c r="K1845">
        <v>12</v>
      </c>
      <c r="L1845" s="11">
        <v>0.64542824074074079</v>
      </c>
      <c r="M1845">
        <f t="shared" si="141"/>
        <v>3</v>
      </c>
      <c r="N1845">
        <f t="shared" si="142"/>
        <v>4</v>
      </c>
      <c r="O1845">
        <f t="shared" si="143"/>
        <v>2024</v>
      </c>
      <c r="P1845" s="4">
        <f t="shared" si="144"/>
        <v>45385</v>
      </c>
      <c r="Q1845" t="s">
        <v>1134</v>
      </c>
      <c r="R1845" t="s">
        <v>1135</v>
      </c>
      <c r="S1845">
        <v>3</v>
      </c>
      <c r="T1845" t="s">
        <v>1143</v>
      </c>
      <c r="U1845" s="11" t="str">
        <f t="shared" si="145"/>
        <v>03:29:25 PM</v>
      </c>
      <c r="BL1845" s="2" t="s">
        <v>2995</v>
      </c>
    </row>
    <row r="1846" spans="1:64" x14ac:dyDescent="0.35">
      <c r="A1846">
        <v>2294</v>
      </c>
      <c r="B1846" t="s">
        <v>8</v>
      </c>
      <c r="C1846" s="1">
        <v>45542</v>
      </c>
      <c r="D1846" t="s">
        <v>24</v>
      </c>
      <c r="E1846" t="s">
        <v>30</v>
      </c>
      <c r="F1846">
        <v>4</v>
      </c>
      <c r="G1846">
        <v>1466.61</v>
      </c>
      <c r="H1846">
        <v>5866.44</v>
      </c>
      <c r="I1846">
        <v>1173.6199999999999</v>
      </c>
      <c r="J1846">
        <v>4692.82</v>
      </c>
      <c r="K1846">
        <v>410</v>
      </c>
      <c r="L1846" s="11">
        <v>0.56140046296296298</v>
      </c>
      <c r="M1846">
        <f t="shared" si="141"/>
        <v>7</v>
      </c>
      <c r="N1846">
        <f t="shared" si="142"/>
        <v>9</v>
      </c>
      <c r="O1846">
        <f t="shared" si="143"/>
        <v>2024</v>
      </c>
      <c r="P1846" s="4">
        <f t="shared" si="144"/>
        <v>45542</v>
      </c>
      <c r="Q1846" t="s">
        <v>1139</v>
      </c>
      <c r="R1846" t="s">
        <v>1135</v>
      </c>
      <c r="S1846">
        <v>1</v>
      </c>
      <c r="T1846" t="s">
        <v>1143</v>
      </c>
      <c r="U1846" s="11" t="str">
        <f t="shared" si="145"/>
        <v>01:28:25 PM</v>
      </c>
      <c r="BL1846" s="2" t="s">
        <v>2996</v>
      </c>
    </row>
    <row r="1847" spans="1:64" x14ac:dyDescent="0.35">
      <c r="A1847">
        <v>4329</v>
      </c>
      <c r="B1847" t="s">
        <v>13</v>
      </c>
      <c r="C1847" s="1">
        <v>45772</v>
      </c>
      <c r="D1847" t="s">
        <v>11</v>
      </c>
      <c r="E1847" t="s">
        <v>22</v>
      </c>
      <c r="F1847">
        <v>2</v>
      </c>
      <c r="G1847">
        <v>2171.2800000000002</v>
      </c>
      <c r="H1847">
        <v>4342.5600000000004</v>
      </c>
      <c r="I1847">
        <v>651.54999999999995</v>
      </c>
      <c r="J1847">
        <v>3691.01</v>
      </c>
      <c r="K1847">
        <v>66</v>
      </c>
      <c r="L1847" s="11">
        <v>0.41187499999999999</v>
      </c>
      <c r="M1847">
        <f t="shared" si="141"/>
        <v>25</v>
      </c>
      <c r="N1847">
        <f t="shared" si="142"/>
        <v>4</v>
      </c>
      <c r="O1847">
        <f t="shared" si="143"/>
        <v>2025</v>
      </c>
      <c r="P1847" s="4">
        <f t="shared" si="144"/>
        <v>45772</v>
      </c>
      <c r="Q1847" t="s">
        <v>1134</v>
      </c>
      <c r="R1847" t="s">
        <v>1137</v>
      </c>
      <c r="S1847">
        <v>4</v>
      </c>
      <c r="T1847" t="s">
        <v>1149</v>
      </c>
      <c r="U1847" s="11" t="str">
        <f t="shared" si="145"/>
        <v>09:53:06 AM</v>
      </c>
      <c r="BL1847" s="2" t="s">
        <v>2997</v>
      </c>
    </row>
    <row r="1848" spans="1:64" x14ac:dyDescent="0.35">
      <c r="A1848">
        <v>3545</v>
      </c>
      <c r="B1848" t="s">
        <v>3</v>
      </c>
      <c r="C1848" s="1">
        <v>45561</v>
      </c>
      <c r="D1848" t="s">
        <v>16</v>
      </c>
      <c r="E1848" t="s">
        <v>29</v>
      </c>
      <c r="F1848">
        <v>1</v>
      </c>
      <c r="G1848">
        <v>1976.23</v>
      </c>
      <c r="H1848">
        <v>1976.23</v>
      </c>
      <c r="I1848">
        <v>388.44</v>
      </c>
      <c r="J1848">
        <v>1587.79</v>
      </c>
      <c r="K1848">
        <v>43</v>
      </c>
      <c r="L1848" s="11">
        <v>0.79861111111111116</v>
      </c>
      <c r="M1848">
        <f t="shared" si="141"/>
        <v>26</v>
      </c>
      <c r="N1848">
        <f t="shared" si="142"/>
        <v>9</v>
      </c>
      <c r="O1848">
        <f t="shared" si="143"/>
        <v>2024</v>
      </c>
      <c r="P1848" s="4">
        <f t="shared" si="144"/>
        <v>45561</v>
      </c>
      <c r="Q1848" t="s">
        <v>1136</v>
      </c>
      <c r="R1848" t="s">
        <v>1137</v>
      </c>
      <c r="S1848">
        <v>5</v>
      </c>
      <c r="T1848" t="s">
        <v>1147</v>
      </c>
      <c r="U1848" s="11" t="str">
        <f t="shared" si="145"/>
        <v>07:10:00 PM</v>
      </c>
      <c r="BL1848" s="2" t="s">
        <v>2998</v>
      </c>
    </row>
    <row r="1849" spans="1:64" x14ac:dyDescent="0.35">
      <c r="A1849">
        <v>6353</v>
      </c>
      <c r="B1849" t="s">
        <v>20</v>
      </c>
      <c r="C1849" s="1">
        <v>45448</v>
      </c>
      <c r="D1849" t="s">
        <v>11</v>
      </c>
      <c r="E1849" t="s">
        <v>32</v>
      </c>
      <c r="F1849">
        <v>3</v>
      </c>
      <c r="G1849">
        <v>2324.83</v>
      </c>
      <c r="H1849">
        <v>6974.49</v>
      </c>
      <c r="I1849">
        <v>0</v>
      </c>
      <c r="J1849">
        <v>6974.49</v>
      </c>
      <c r="K1849">
        <v>182</v>
      </c>
      <c r="L1849" s="11">
        <v>0.56440972222222219</v>
      </c>
      <c r="M1849">
        <f t="shared" si="141"/>
        <v>5</v>
      </c>
      <c r="N1849">
        <f t="shared" si="142"/>
        <v>6</v>
      </c>
      <c r="O1849">
        <f t="shared" si="143"/>
        <v>2024</v>
      </c>
      <c r="P1849" s="4">
        <f t="shared" si="144"/>
        <v>45448</v>
      </c>
      <c r="Q1849" t="s">
        <v>1136</v>
      </c>
      <c r="R1849" t="s">
        <v>1135</v>
      </c>
      <c r="S1849">
        <v>5</v>
      </c>
      <c r="T1849" t="s">
        <v>1148</v>
      </c>
      <c r="U1849" s="11" t="str">
        <f t="shared" si="145"/>
        <v>01:32:45 PM</v>
      </c>
      <c r="BL1849" s="2" t="s">
        <v>2999</v>
      </c>
    </row>
    <row r="1850" spans="1:64" x14ac:dyDescent="0.35">
      <c r="A1850">
        <v>2083</v>
      </c>
      <c r="B1850" t="s">
        <v>8</v>
      </c>
      <c r="C1850" s="1">
        <v>45385</v>
      </c>
      <c r="D1850" t="s">
        <v>6</v>
      </c>
      <c r="E1850" t="s">
        <v>26</v>
      </c>
      <c r="F1850">
        <v>1</v>
      </c>
      <c r="G1850">
        <v>956.16</v>
      </c>
      <c r="H1850">
        <v>956.16</v>
      </c>
      <c r="I1850">
        <v>383.46</v>
      </c>
      <c r="J1850">
        <v>572.70000000000005</v>
      </c>
      <c r="K1850">
        <v>465</v>
      </c>
      <c r="L1850" s="11">
        <v>0.15406249999999999</v>
      </c>
      <c r="M1850">
        <f t="shared" si="141"/>
        <v>3</v>
      </c>
      <c r="N1850">
        <f t="shared" si="142"/>
        <v>4</v>
      </c>
      <c r="O1850">
        <f t="shared" si="143"/>
        <v>2024</v>
      </c>
      <c r="P1850" s="4">
        <f t="shared" si="144"/>
        <v>45385</v>
      </c>
      <c r="Q1850" t="s">
        <v>1138</v>
      </c>
      <c r="R1850" t="s">
        <v>1135</v>
      </c>
      <c r="S1850">
        <v>3</v>
      </c>
      <c r="T1850" t="s">
        <v>1145</v>
      </c>
      <c r="U1850" s="11" t="str">
        <f t="shared" si="145"/>
        <v>03:41:51 AM</v>
      </c>
      <c r="BL1850" s="2" t="s">
        <v>3000</v>
      </c>
    </row>
    <row r="1851" spans="1:64" x14ac:dyDescent="0.35">
      <c r="A1851">
        <v>8167</v>
      </c>
      <c r="B1851" t="s">
        <v>15</v>
      </c>
      <c r="C1851" s="1">
        <v>45711</v>
      </c>
      <c r="D1851" t="s">
        <v>34</v>
      </c>
      <c r="E1851" t="s">
        <v>10</v>
      </c>
      <c r="F1851">
        <v>2</v>
      </c>
      <c r="G1851">
        <v>779.37</v>
      </c>
      <c r="H1851">
        <v>1558.74</v>
      </c>
      <c r="I1851">
        <v>312.08</v>
      </c>
      <c r="J1851">
        <v>1246.6600000000001</v>
      </c>
      <c r="K1851">
        <v>51</v>
      </c>
      <c r="L1851" s="11">
        <v>0.13306712962962963</v>
      </c>
      <c r="M1851">
        <f t="shared" si="141"/>
        <v>23</v>
      </c>
      <c r="N1851">
        <f t="shared" si="142"/>
        <v>2</v>
      </c>
      <c r="O1851">
        <f t="shared" si="143"/>
        <v>2025</v>
      </c>
      <c r="P1851" s="4">
        <f t="shared" si="144"/>
        <v>45711</v>
      </c>
      <c r="Q1851" t="s">
        <v>1139</v>
      </c>
      <c r="R1851" t="s">
        <v>1137</v>
      </c>
      <c r="S1851">
        <v>3</v>
      </c>
      <c r="T1851" t="s">
        <v>1149</v>
      </c>
      <c r="U1851" s="11" t="str">
        <f t="shared" si="145"/>
        <v>03:11:37 AM</v>
      </c>
      <c r="BL1851" s="2" t="s">
        <v>3001</v>
      </c>
    </row>
    <row r="1852" spans="1:64" x14ac:dyDescent="0.35">
      <c r="A1852">
        <v>4909</v>
      </c>
      <c r="B1852" t="s">
        <v>8</v>
      </c>
      <c r="C1852" s="1">
        <v>45189</v>
      </c>
      <c r="D1852" t="s">
        <v>9</v>
      </c>
      <c r="E1852" t="s">
        <v>38</v>
      </c>
      <c r="F1852">
        <v>5</v>
      </c>
      <c r="G1852">
        <v>2273.37</v>
      </c>
      <c r="H1852">
        <v>11366.85</v>
      </c>
      <c r="I1852">
        <v>266.43</v>
      </c>
      <c r="J1852">
        <v>11100.42</v>
      </c>
      <c r="K1852">
        <v>209</v>
      </c>
      <c r="L1852" s="11">
        <v>0.57244212962962959</v>
      </c>
      <c r="M1852">
        <f t="shared" si="141"/>
        <v>20</v>
      </c>
      <c r="N1852">
        <f t="shared" si="142"/>
        <v>9</v>
      </c>
      <c r="O1852">
        <f t="shared" si="143"/>
        <v>2023</v>
      </c>
      <c r="P1852" s="4">
        <f t="shared" si="144"/>
        <v>45189</v>
      </c>
      <c r="Q1852" t="s">
        <v>1134</v>
      </c>
      <c r="R1852" t="s">
        <v>1137</v>
      </c>
      <c r="S1852">
        <v>2</v>
      </c>
      <c r="T1852" t="s">
        <v>1150</v>
      </c>
      <c r="U1852" s="11" t="str">
        <f t="shared" si="145"/>
        <v>01:44:19 PM</v>
      </c>
      <c r="BL1852" s="2" t="s">
        <v>3002</v>
      </c>
    </row>
    <row r="1853" spans="1:64" x14ac:dyDescent="0.35">
      <c r="A1853">
        <v>5005</v>
      </c>
      <c r="B1853" t="s">
        <v>15</v>
      </c>
      <c r="C1853" s="1">
        <v>45211</v>
      </c>
      <c r="D1853" t="s">
        <v>24</v>
      </c>
      <c r="E1853" t="s">
        <v>14</v>
      </c>
      <c r="F1853">
        <v>1</v>
      </c>
      <c r="G1853">
        <v>1679.92</v>
      </c>
      <c r="H1853">
        <v>1679.92</v>
      </c>
      <c r="I1853">
        <v>333.66</v>
      </c>
      <c r="J1853">
        <v>1346.26</v>
      </c>
      <c r="K1853">
        <v>75</v>
      </c>
      <c r="L1853" s="11">
        <v>0.68427083333333338</v>
      </c>
      <c r="M1853">
        <f t="shared" si="141"/>
        <v>12</v>
      </c>
      <c r="N1853">
        <f t="shared" si="142"/>
        <v>10</v>
      </c>
      <c r="O1853">
        <f t="shared" si="143"/>
        <v>2023</v>
      </c>
      <c r="P1853" s="4">
        <f t="shared" si="144"/>
        <v>45211</v>
      </c>
      <c r="Q1853" t="s">
        <v>1138</v>
      </c>
      <c r="R1853" t="s">
        <v>1137</v>
      </c>
      <c r="S1853">
        <v>2</v>
      </c>
      <c r="T1853" t="s">
        <v>1149</v>
      </c>
      <c r="U1853" s="11" t="str">
        <f t="shared" si="145"/>
        <v>04:25:21 PM</v>
      </c>
      <c r="BL1853" s="2" t="s">
        <v>3003</v>
      </c>
    </row>
    <row r="1854" spans="1:64" x14ac:dyDescent="0.35">
      <c r="A1854">
        <v>8118</v>
      </c>
      <c r="B1854" t="s">
        <v>8</v>
      </c>
      <c r="C1854" s="1">
        <v>45235</v>
      </c>
      <c r="D1854" t="s">
        <v>9</v>
      </c>
      <c r="E1854" t="s">
        <v>37</v>
      </c>
      <c r="F1854">
        <v>4</v>
      </c>
      <c r="G1854">
        <v>1230.06</v>
      </c>
      <c r="H1854">
        <v>4920.24</v>
      </c>
      <c r="I1854">
        <v>311.25</v>
      </c>
      <c r="J1854">
        <v>4608.99</v>
      </c>
      <c r="K1854">
        <v>392</v>
      </c>
      <c r="L1854" s="11">
        <v>0.49033564814814817</v>
      </c>
      <c r="M1854">
        <f t="shared" si="141"/>
        <v>5</v>
      </c>
      <c r="N1854">
        <f t="shared" si="142"/>
        <v>11</v>
      </c>
      <c r="O1854">
        <f t="shared" si="143"/>
        <v>2023</v>
      </c>
      <c r="P1854" s="4">
        <f t="shared" si="144"/>
        <v>45235</v>
      </c>
      <c r="Q1854" t="s">
        <v>1139</v>
      </c>
      <c r="R1854" t="s">
        <v>1137</v>
      </c>
      <c r="S1854">
        <v>5</v>
      </c>
      <c r="T1854" t="s">
        <v>1142</v>
      </c>
      <c r="U1854" s="11" t="str">
        <f t="shared" si="145"/>
        <v>11:46:05 AM</v>
      </c>
      <c r="BL1854" s="2" t="s">
        <v>3004</v>
      </c>
    </row>
    <row r="1855" spans="1:64" x14ac:dyDescent="0.35">
      <c r="A1855">
        <v>8428</v>
      </c>
      <c r="B1855" t="s">
        <v>25</v>
      </c>
      <c r="C1855" s="1">
        <v>45620</v>
      </c>
      <c r="D1855" t="s">
        <v>34</v>
      </c>
      <c r="E1855" t="s">
        <v>18</v>
      </c>
      <c r="F1855">
        <v>4</v>
      </c>
      <c r="G1855">
        <v>2234.36</v>
      </c>
      <c r="H1855">
        <v>8937.44</v>
      </c>
      <c r="I1855">
        <v>0</v>
      </c>
      <c r="J1855">
        <v>8937.44</v>
      </c>
      <c r="K1855">
        <v>496</v>
      </c>
      <c r="L1855" s="11">
        <v>0.27524305555555556</v>
      </c>
      <c r="M1855">
        <f t="shared" si="141"/>
        <v>24</v>
      </c>
      <c r="N1855">
        <f t="shared" si="142"/>
        <v>11</v>
      </c>
      <c r="O1855">
        <f t="shared" si="143"/>
        <v>2024</v>
      </c>
      <c r="P1855" s="4">
        <f t="shared" si="144"/>
        <v>45620</v>
      </c>
      <c r="Q1855" t="s">
        <v>1138</v>
      </c>
      <c r="R1855" t="s">
        <v>1137</v>
      </c>
      <c r="S1855">
        <v>3</v>
      </c>
      <c r="T1855" t="s">
        <v>1150</v>
      </c>
      <c r="U1855" s="11" t="str">
        <f t="shared" si="145"/>
        <v>06:36:21 AM</v>
      </c>
      <c r="BL1855" s="2" t="s">
        <v>3005</v>
      </c>
    </row>
    <row r="1856" spans="1:64" x14ac:dyDescent="0.35">
      <c r="A1856">
        <v>1901</v>
      </c>
      <c r="B1856" t="s">
        <v>25</v>
      </c>
      <c r="C1856" s="1">
        <v>45385</v>
      </c>
      <c r="D1856" t="s">
        <v>11</v>
      </c>
      <c r="E1856" t="s">
        <v>32</v>
      </c>
      <c r="F1856">
        <v>3</v>
      </c>
      <c r="G1856">
        <v>248.17</v>
      </c>
      <c r="H1856">
        <v>744.51</v>
      </c>
      <c r="I1856">
        <v>0</v>
      </c>
      <c r="J1856">
        <v>744.51</v>
      </c>
      <c r="K1856">
        <v>69</v>
      </c>
      <c r="L1856" s="11">
        <v>0.52504629629629629</v>
      </c>
      <c r="M1856">
        <f t="shared" si="141"/>
        <v>3</v>
      </c>
      <c r="N1856">
        <f t="shared" si="142"/>
        <v>4</v>
      </c>
      <c r="O1856">
        <f t="shared" si="143"/>
        <v>2024</v>
      </c>
      <c r="P1856" s="4">
        <f t="shared" si="144"/>
        <v>45385</v>
      </c>
      <c r="Q1856" t="s">
        <v>1136</v>
      </c>
      <c r="R1856" t="s">
        <v>1135</v>
      </c>
      <c r="S1856">
        <v>1</v>
      </c>
      <c r="T1856" t="s">
        <v>1147</v>
      </c>
      <c r="U1856" s="11" t="str">
        <f t="shared" si="145"/>
        <v>12:36:04 PM</v>
      </c>
      <c r="BL1856" s="2" t="s">
        <v>3006</v>
      </c>
    </row>
    <row r="1857" spans="1:64" x14ac:dyDescent="0.35">
      <c r="A1857">
        <v>3877</v>
      </c>
      <c r="B1857" t="s">
        <v>13</v>
      </c>
      <c r="C1857" s="1">
        <v>45237</v>
      </c>
      <c r="D1857" t="s">
        <v>23</v>
      </c>
      <c r="E1857" t="s">
        <v>38</v>
      </c>
      <c r="F1857">
        <v>2</v>
      </c>
      <c r="G1857">
        <v>2397.04</v>
      </c>
      <c r="H1857">
        <v>4794.08</v>
      </c>
      <c r="I1857">
        <v>0</v>
      </c>
      <c r="J1857">
        <v>4794.08</v>
      </c>
      <c r="K1857">
        <v>164</v>
      </c>
      <c r="L1857" s="11">
        <v>1.5173611111111112E-2</v>
      </c>
      <c r="M1857">
        <f t="shared" si="141"/>
        <v>7</v>
      </c>
      <c r="N1857">
        <f t="shared" si="142"/>
        <v>11</v>
      </c>
      <c r="O1857">
        <f t="shared" si="143"/>
        <v>2023</v>
      </c>
      <c r="P1857" s="4">
        <f t="shared" si="144"/>
        <v>45237</v>
      </c>
      <c r="Q1857" t="s">
        <v>1139</v>
      </c>
      <c r="R1857" t="s">
        <v>1137</v>
      </c>
      <c r="S1857">
        <v>4</v>
      </c>
      <c r="T1857" t="s">
        <v>1148</v>
      </c>
      <c r="U1857" s="11" t="str">
        <f t="shared" si="145"/>
        <v>12:21:51 AM</v>
      </c>
      <c r="BL1857" s="2" t="s">
        <v>3007</v>
      </c>
    </row>
    <row r="1858" spans="1:64" x14ac:dyDescent="0.35">
      <c r="A1858">
        <v>1207</v>
      </c>
      <c r="B1858" t="s">
        <v>0</v>
      </c>
      <c r="C1858" s="1">
        <v>45694</v>
      </c>
      <c r="D1858" t="s">
        <v>11</v>
      </c>
      <c r="E1858" t="s">
        <v>37</v>
      </c>
      <c r="F1858">
        <v>1</v>
      </c>
      <c r="G1858">
        <v>1578.66</v>
      </c>
      <c r="H1858">
        <v>1578.66</v>
      </c>
      <c r="I1858">
        <v>315.39999999999998</v>
      </c>
      <c r="J1858">
        <v>1263.26</v>
      </c>
      <c r="K1858">
        <v>302</v>
      </c>
      <c r="L1858" s="11">
        <v>0.55666666666666664</v>
      </c>
      <c r="M1858">
        <f t="shared" ref="M1858:M1921" si="146">DAY(C1858)</f>
        <v>6</v>
      </c>
      <c r="N1858">
        <f t="shared" ref="N1858:N1921" si="147">MONTH(C1858)</f>
        <v>2</v>
      </c>
      <c r="O1858">
        <f t="shared" ref="O1858:O1921" si="148">YEAR(C1858)</f>
        <v>2025</v>
      </c>
      <c r="P1858" s="4">
        <f t="shared" si="144"/>
        <v>45694</v>
      </c>
      <c r="Q1858" t="s">
        <v>1138</v>
      </c>
      <c r="R1858" t="s">
        <v>1135</v>
      </c>
      <c r="S1858">
        <v>3</v>
      </c>
      <c r="T1858" t="s">
        <v>1143</v>
      </c>
      <c r="U1858" s="11" t="str">
        <f t="shared" si="145"/>
        <v>01:21:36 PM</v>
      </c>
      <c r="BL1858" s="2" t="s">
        <v>3008</v>
      </c>
    </row>
    <row r="1859" spans="1:64" x14ac:dyDescent="0.35">
      <c r="A1859">
        <v>3248</v>
      </c>
      <c r="B1859" t="s">
        <v>25</v>
      </c>
      <c r="C1859" s="1">
        <v>45689</v>
      </c>
      <c r="D1859" t="s">
        <v>24</v>
      </c>
      <c r="E1859" t="s">
        <v>33</v>
      </c>
      <c r="F1859">
        <v>5</v>
      </c>
      <c r="G1859">
        <v>756.96</v>
      </c>
      <c r="H1859">
        <v>3784.8</v>
      </c>
      <c r="I1859">
        <v>378.48</v>
      </c>
      <c r="J1859">
        <v>3406.32</v>
      </c>
      <c r="K1859">
        <v>266</v>
      </c>
      <c r="L1859" s="11">
        <v>7.4745370370370365E-2</v>
      </c>
      <c r="M1859">
        <f t="shared" si="146"/>
        <v>1</v>
      </c>
      <c r="N1859">
        <f t="shared" si="147"/>
        <v>2</v>
      </c>
      <c r="O1859">
        <f t="shared" si="148"/>
        <v>2025</v>
      </c>
      <c r="P1859" s="4">
        <f t="shared" ref="P1859:P1922" si="149">DATE(O1859,N1859,M1859)</f>
        <v>45689</v>
      </c>
      <c r="Q1859" t="s">
        <v>1138</v>
      </c>
      <c r="R1859" t="s">
        <v>1137</v>
      </c>
      <c r="S1859">
        <v>3</v>
      </c>
      <c r="T1859" t="s">
        <v>1142</v>
      </c>
      <c r="U1859" s="11" t="str">
        <f t="shared" si="145"/>
        <v>01:47:38 AM</v>
      </c>
      <c r="BL1859" s="2" t="s">
        <v>3009</v>
      </c>
    </row>
    <row r="1860" spans="1:64" x14ac:dyDescent="0.35">
      <c r="A1860">
        <v>1185</v>
      </c>
      <c r="B1860" t="s">
        <v>25</v>
      </c>
      <c r="C1860" s="1">
        <v>45272</v>
      </c>
      <c r="D1860" t="s">
        <v>23</v>
      </c>
      <c r="E1860" t="s">
        <v>29</v>
      </c>
      <c r="F1860">
        <v>2</v>
      </c>
      <c r="G1860">
        <v>1767.9</v>
      </c>
      <c r="H1860">
        <v>3535.8</v>
      </c>
      <c r="I1860">
        <v>353.58</v>
      </c>
      <c r="J1860">
        <v>3182.22</v>
      </c>
      <c r="K1860">
        <v>134</v>
      </c>
      <c r="L1860" s="11">
        <v>0.91797453703703702</v>
      </c>
      <c r="M1860">
        <f t="shared" si="146"/>
        <v>12</v>
      </c>
      <c r="N1860">
        <f t="shared" si="147"/>
        <v>12</v>
      </c>
      <c r="O1860">
        <f t="shared" si="148"/>
        <v>2023</v>
      </c>
      <c r="P1860" s="4">
        <f t="shared" si="149"/>
        <v>45272</v>
      </c>
      <c r="Q1860" t="s">
        <v>1134</v>
      </c>
      <c r="R1860" t="s">
        <v>1135</v>
      </c>
      <c r="S1860">
        <v>2</v>
      </c>
      <c r="T1860" t="s">
        <v>1141</v>
      </c>
      <c r="U1860" s="11" t="str">
        <f t="shared" si="145"/>
        <v>10:01:53 PM</v>
      </c>
      <c r="BL1860" s="2" t="s">
        <v>3010</v>
      </c>
    </row>
    <row r="1861" spans="1:64" x14ac:dyDescent="0.35">
      <c r="A1861">
        <v>9133</v>
      </c>
      <c r="B1861" t="s">
        <v>25</v>
      </c>
      <c r="C1861" s="1">
        <v>45414</v>
      </c>
      <c r="D1861" t="s">
        <v>1</v>
      </c>
      <c r="E1861" t="s">
        <v>2</v>
      </c>
      <c r="F1861">
        <v>4</v>
      </c>
      <c r="G1861">
        <v>1669.13</v>
      </c>
      <c r="H1861">
        <v>6676.52</v>
      </c>
      <c r="I1861">
        <v>1335.47</v>
      </c>
      <c r="J1861">
        <v>5341.05</v>
      </c>
      <c r="K1861">
        <v>170</v>
      </c>
      <c r="L1861" s="11">
        <v>0.64526620370370369</v>
      </c>
      <c r="M1861">
        <f t="shared" si="146"/>
        <v>2</v>
      </c>
      <c r="N1861">
        <f t="shared" si="147"/>
        <v>5</v>
      </c>
      <c r="O1861">
        <f t="shared" si="148"/>
        <v>2024</v>
      </c>
      <c r="P1861" s="4">
        <f t="shared" si="149"/>
        <v>45414</v>
      </c>
      <c r="Q1861" t="s">
        <v>1138</v>
      </c>
      <c r="R1861" t="s">
        <v>1137</v>
      </c>
      <c r="S1861">
        <v>4</v>
      </c>
      <c r="T1861" t="s">
        <v>1148</v>
      </c>
      <c r="U1861" s="11" t="str">
        <f t="shared" si="145"/>
        <v>03:29:11 PM</v>
      </c>
      <c r="BL1861" s="2" t="s">
        <v>3011</v>
      </c>
    </row>
    <row r="1862" spans="1:64" x14ac:dyDescent="0.35">
      <c r="A1862">
        <v>9568</v>
      </c>
      <c r="B1862" t="s">
        <v>20</v>
      </c>
      <c r="C1862" s="1">
        <v>45546</v>
      </c>
      <c r="D1862" t="s">
        <v>17</v>
      </c>
      <c r="E1862" t="s">
        <v>28</v>
      </c>
      <c r="F1862">
        <v>3</v>
      </c>
      <c r="G1862">
        <v>998.49</v>
      </c>
      <c r="H1862">
        <v>2995.47</v>
      </c>
      <c r="I1862">
        <v>299.63</v>
      </c>
      <c r="J1862">
        <v>2695.84</v>
      </c>
      <c r="K1862">
        <v>463</v>
      </c>
      <c r="L1862" s="11">
        <v>5.5995370370370369E-2</v>
      </c>
      <c r="M1862">
        <f t="shared" si="146"/>
        <v>11</v>
      </c>
      <c r="N1862">
        <f t="shared" si="147"/>
        <v>9</v>
      </c>
      <c r="O1862">
        <f t="shared" si="148"/>
        <v>2024</v>
      </c>
      <c r="P1862" s="4">
        <f t="shared" si="149"/>
        <v>45546</v>
      </c>
      <c r="Q1862" t="s">
        <v>1139</v>
      </c>
      <c r="R1862" t="s">
        <v>1137</v>
      </c>
      <c r="S1862">
        <v>5</v>
      </c>
      <c r="T1862" t="s">
        <v>1150</v>
      </c>
      <c r="U1862" s="11" t="str">
        <f t="shared" si="145"/>
        <v>01:20:38 AM</v>
      </c>
      <c r="BL1862" s="2" t="s">
        <v>3012</v>
      </c>
    </row>
    <row r="1863" spans="1:64" x14ac:dyDescent="0.35">
      <c r="A1863">
        <v>5247</v>
      </c>
      <c r="B1863" t="s">
        <v>13</v>
      </c>
      <c r="C1863" s="1">
        <v>45274</v>
      </c>
      <c r="D1863" t="s">
        <v>1</v>
      </c>
      <c r="E1863" t="s">
        <v>2</v>
      </c>
      <c r="F1863">
        <v>4</v>
      </c>
      <c r="G1863">
        <v>889.76</v>
      </c>
      <c r="H1863">
        <v>3559.04</v>
      </c>
      <c r="I1863">
        <v>356.07</v>
      </c>
      <c r="J1863">
        <v>3202.97</v>
      </c>
      <c r="K1863">
        <v>411</v>
      </c>
      <c r="L1863" s="11">
        <v>0.52375000000000005</v>
      </c>
      <c r="M1863">
        <f t="shared" si="146"/>
        <v>14</v>
      </c>
      <c r="N1863">
        <f t="shared" si="147"/>
        <v>12</v>
      </c>
      <c r="O1863">
        <f t="shared" si="148"/>
        <v>2023</v>
      </c>
      <c r="P1863" s="4">
        <f t="shared" si="149"/>
        <v>45274</v>
      </c>
      <c r="Q1863" t="s">
        <v>1139</v>
      </c>
      <c r="R1863" t="s">
        <v>1135</v>
      </c>
      <c r="S1863">
        <v>3</v>
      </c>
      <c r="T1863" t="s">
        <v>1146</v>
      </c>
      <c r="U1863" s="11" t="str">
        <f t="shared" si="145"/>
        <v>12:34:12 PM</v>
      </c>
      <c r="BL1863" s="2" t="s">
        <v>3013</v>
      </c>
    </row>
    <row r="1864" spans="1:64" x14ac:dyDescent="0.35">
      <c r="A1864">
        <v>7092</v>
      </c>
      <c r="B1864" t="s">
        <v>25</v>
      </c>
      <c r="C1864" s="1">
        <v>45243</v>
      </c>
      <c r="D1864" t="s">
        <v>23</v>
      </c>
      <c r="E1864" t="s">
        <v>12</v>
      </c>
      <c r="F1864">
        <v>3</v>
      </c>
      <c r="G1864">
        <v>1411.83</v>
      </c>
      <c r="H1864">
        <v>4235.49</v>
      </c>
      <c r="I1864">
        <v>634.95000000000005</v>
      </c>
      <c r="J1864">
        <v>3600.54</v>
      </c>
      <c r="K1864">
        <v>250</v>
      </c>
      <c r="L1864" s="11">
        <v>0.7893634259259259</v>
      </c>
      <c r="M1864">
        <f t="shared" si="146"/>
        <v>13</v>
      </c>
      <c r="N1864">
        <f t="shared" si="147"/>
        <v>11</v>
      </c>
      <c r="O1864">
        <f t="shared" si="148"/>
        <v>2023</v>
      </c>
      <c r="P1864" s="4">
        <f t="shared" si="149"/>
        <v>45243</v>
      </c>
      <c r="Q1864" t="s">
        <v>1134</v>
      </c>
      <c r="R1864" t="s">
        <v>1135</v>
      </c>
      <c r="S1864">
        <v>5</v>
      </c>
      <c r="T1864" t="s">
        <v>1145</v>
      </c>
      <c r="U1864" s="11" t="str">
        <f t="shared" si="145"/>
        <v>06:56:41 PM</v>
      </c>
      <c r="BL1864" s="2" t="s">
        <v>3014</v>
      </c>
    </row>
    <row r="1865" spans="1:64" x14ac:dyDescent="0.35">
      <c r="A1865">
        <v>5403</v>
      </c>
      <c r="B1865" t="s">
        <v>0</v>
      </c>
      <c r="C1865" s="1">
        <v>45714</v>
      </c>
      <c r="D1865" t="s">
        <v>34</v>
      </c>
      <c r="E1865" t="s">
        <v>32</v>
      </c>
      <c r="F1865">
        <v>3</v>
      </c>
      <c r="G1865">
        <v>2155.5100000000002</v>
      </c>
      <c r="H1865">
        <v>6466.53</v>
      </c>
      <c r="I1865">
        <v>351.92</v>
      </c>
      <c r="J1865">
        <v>6114.61</v>
      </c>
      <c r="K1865">
        <v>458</v>
      </c>
      <c r="L1865" s="11">
        <v>0.71471064814814811</v>
      </c>
      <c r="M1865">
        <f t="shared" si="146"/>
        <v>26</v>
      </c>
      <c r="N1865">
        <f t="shared" si="147"/>
        <v>2</v>
      </c>
      <c r="O1865">
        <f t="shared" si="148"/>
        <v>2025</v>
      </c>
      <c r="P1865" s="4">
        <f t="shared" si="149"/>
        <v>45714</v>
      </c>
      <c r="Q1865" t="s">
        <v>1139</v>
      </c>
      <c r="R1865" t="s">
        <v>1137</v>
      </c>
      <c r="S1865">
        <v>3</v>
      </c>
      <c r="T1865" t="s">
        <v>1142</v>
      </c>
      <c r="U1865" s="11" t="str">
        <f t="shared" si="145"/>
        <v>05:09:11 PM</v>
      </c>
      <c r="BL1865" s="2" t="s">
        <v>3015</v>
      </c>
    </row>
    <row r="1866" spans="1:64" x14ac:dyDescent="0.35">
      <c r="A1866">
        <v>2934</v>
      </c>
      <c r="B1866" t="s">
        <v>0</v>
      </c>
      <c r="C1866" s="1">
        <v>45744</v>
      </c>
      <c r="D1866" t="s">
        <v>6</v>
      </c>
      <c r="E1866" t="s">
        <v>32</v>
      </c>
      <c r="F1866">
        <v>2</v>
      </c>
      <c r="G1866">
        <v>981.06</v>
      </c>
      <c r="H1866">
        <v>1962.12</v>
      </c>
      <c r="I1866">
        <v>369.35</v>
      </c>
      <c r="J1866">
        <v>1592.77</v>
      </c>
      <c r="K1866">
        <v>78</v>
      </c>
      <c r="L1866" s="11">
        <v>0.10668981481481482</v>
      </c>
      <c r="M1866">
        <f t="shared" si="146"/>
        <v>28</v>
      </c>
      <c r="N1866">
        <f t="shared" si="147"/>
        <v>3</v>
      </c>
      <c r="O1866">
        <f t="shared" si="148"/>
        <v>2025</v>
      </c>
      <c r="P1866" s="4">
        <f t="shared" si="149"/>
        <v>45744</v>
      </c>
      <c r="Q1866" t="s">
        <v>1136</v>
      </c>
      <c r="R1866" t="s">
        <v>1137</v>
      </c>
      <c r="S1866">
        <v>5</v>
      </c>
      <c r="T1866" t="s">
        <v>1145</v>
      </c>
      <c r="U1866" s="11" t="str">
        <f t="shared" si="145"/>
        <v>02:33:38 AM</v>
      </c>
      <c r="BL1866" s="2" t="s">
        <v>3016</v>
      </c>
    </row>
    <row r="1867" spans="1:64" x14ac:dyDescent="0.35">
      <c r="A1867">
        <v>1480</v>
      </c>
      <c r="B1867" t="s">
        <v>20</v>
      </c>
      <c r="C1867" s="1">
        <v>45405</v>
      </c>
      <c r="D1867" t="s">
        <v>1</v>
      </c>
      <c r="E1867" t="s">
        <v>10</v>
      </c>
      <c r="F1867">
        <v>5</v>
      </c>
      <c r="G1867">
        <v>251.49</v>
      </c>
      <c r="H1867">
        <v>1257.45</v>
      </c>
      <c r="I1867">
        <v>0</v>
      </c>
      <c r="J1867">
        <v>1257.45</v>
      </c>
      <c r="K1867">
        <v>298</v>
      </c>
      <c r="L1867" s="11">
        <v>0.78322916666666664</v>
      </c>
      <c r="M1867">
        <f t="shared" si="146"/>
        <v>23</v>
      </c>
      <c r="N1867">
        <f t="shared" si="147"/>
        <v>4</v>
      </c>
      <c r="O1867">
        <f t="shared" si="148"/>
        <v>2024</v>
      </c>
      <c r="P1867" s="4">
        <f t="shared" si="149"/>
        <v>45405</v>
      </c>
      <c r="Q1867" t="s">
        <v>1139</v>
      </c>
      <c r="R1867" t="s">
        <v>1137</v>
      </c>
      <c r="S1867">
        <v>4</v>
      </c>
      <c r="T1867" t="s">
        <v>1147</v>
      </c>
      <c r="U1867" s="11" t="str">
        <f t="shared" si="145"/>
        <v>06:47:51 PM</v>
      </c>
      <c r="BL1867" s="2" t="s">
        <v>3017</v>
      </c>
    </row>
    <row r="1868" spans="1:64" x14ac:dyDescent="0.35">
      <c r="A1868">
        <v>8034</v>
      </c>
      <c r="B1868" t="s">
        <v>25</v>
      </c>
      <c r="C1868" s="1">
        <v>45356</v>
      </c>
      <c r="D1868" t="s">
        <v>16</v>
      </c>
      <c r="E1868" t="s">
        <v>38</v>
      </c>
      <c r="F1868">
        <v>5</v>
      </c>
      <c r="G1868">
        <v>375.99</v>
      </c>
      <c r="H1868">
        <v>1879.95</v>
      </c>
      <c r="I1868">
        <v>375.99</v>
      </c>
      <c r="J1868">
        <v>1503.96</v>
      </c>
      <c r="K1868">
        <v>360</v>
      </c>
      <c r="L1868" s="11">
        <v>0.13457175925925927</v>
      </c>
      <c r="M1868">
        <f t="shared" si="146"/>
        <v>5</v>
      </c>
      <c r="N1868">
        <f t="shared" si="147"/>
        <v>3</v>
      </c>
      <c r="O1868">
        <f t="shared" si="148"/>
        <v>2024</v>
      </c>
      <c r="P1868" s="4">
        <f t="shared" si="149"/>
        <v>45356</v>
      </c>
      <c r="Q1868" t="s">
        <v>1139</v>
      </c>
      <c r="R1868" t="s">
        <v>1137</v>
      </c>
      <c r="S1868">
        <v>2</v>
      </c>
      <c r="T1868" t="s">
        <v>1149</v>
      </c>
      <c r="U1868" s="11" t="str">
        <f t="shared" si="145"/>
        <v>03:13:47 AM</v>
      </c>
      <c r="BL1868" s="2" t="s">
        <v>3018</v>
      </c>
    </row>
    <row r="1869" spans="1:64" x14ac:dyDescent="0.35">
      <c r="A1869">
        <v>9582</v>
      </c>
      <c r="B1869" t="s">
        <v>0</v>
      </c>
      <c r="C1869" s="1">
        <v>45194</v>
      </c>
      <c r="D1869" t="s">
        <v>23</v>
      </c>
      <c r="E1869" t="s">
        <v>32</v>
      </c>
      <c r="F1869">
        <v>1</v>
      </c>
      <c r="G1869">
        <v>91.3</v>
      </c>
      <c r="H1869">
        <v>91.3</v>
      </c>
      <c r="I1869">
        <v>18.260000000000002</v>
      </c>
      <c r="J1869">
        <v>73.040000000000006</v>
      </c>
      <c r="K1869">
        <v>405</v>
      </c>
      <c r="L1869" s="11">
        <v>6.789351851851852E-2</v>
      </c>
      <c r="M1869">
        <f t="shared" si="146"/>
        <v>25</v>
      </c>
      <c r="N1869">
        <f t="shared" si="147"/>
        <v>9</v>
      </c>
      <c r="O1869">
        <f t="shared" si="148"/>
        <v>2023</v>
      </c>
      <c r="P1869" s="4">
        <f t="shared" si="149"/>
        <v>45194</v>
      </c>
      <c r="Q1869" t="s">
        <v>1138</v>
      </c>
      <c r="R1869" t="s">
        <v>1137</v>
      </c>
      <c r="S1869">
        <v>4</v>
      </c>
      <c r="T1869" t="s">
        <v>1142</v>
      </c>
      <c r="U1869" s="11" t="str">
        <f t="shared" si="145"/>
        <v>01:37:46 AM</v>
      </c>
      <c r="BL1869" s="2" t="s">
        <v>3019</v>
      </c>
    </row>
    <row r="1870" spans="1:64" x14ac:dyDescent="0.35">
      <c r="A1870">
        <v>5308</v>
      </c>
      <c r="B1870" t="s">
        <v>20</v>
      </c>
      <c r="C1870" s="1">
        <v>45698</v>
      </c>
      <c r="D1870" t="s">
        <v>4</v>
      </c>
      <c r="E1870" t="s">
        <v>21</v>
      </c>
      <c r="F1870">
        <v>3</v>
      </c>
      <c r="G1870">
        <v>1587.79</v>
      </c>
      <c r="H1870">
        <v>4763.37</v>
      </c>
      <c r="I1870">
        <v>952.84</v>
      </c>
      <c r="J1870">
        <v>3810.53</v>
      </c>
      <c r="K1870">
        <v>98</v>
      </c>
      <c r="L1870" s="11">
        <v>0.1441087962962963</v>
      </c>
      <c r="M1870">
        <f t="shared" si="146"/>
        <v>10</v>
      </c>
      <c r="N1870">
        <f t="shared" si="147"/>
        <v>2</v>
      </c>
      <c r="O1870">
        <f t="shared" si="148"/>
        <v>2025</v>
      </c>
      <c r="P1870" s="4">
        <f t="shared" si="149"/>
        <v>45698</v>
      </c>
      <c r="Q1870" t="s">
        <v>1138</v>
      </c>
      <c r="R1870" t="s">
        <v>1135</v>
      </c>
      <c r="S1870">
        <v>1</v>
      </c>
      <c r="T1870" t="s">
        <v>1145</v>
      </c>
      <c r="U1870" s="11" t="str">
        <f t="shared" si="145"/>
        <v>03:27:31 AM</v>
      </c>
      <c r="BL1870" s="2" t="s">
        <v>3020</v>
      </c>
    </row>
    <row r="1871" spans="1:64" x14ac:dyDescent="0.35">
      <c r="A1871">
        <v>2262</v>
      </c>
      <c r="B1871" t="s">
        <v>15</v>
      </c>
      <c r="C1871" s="1">
        <v>45530</v>
      </c>
      <c r="D1871" t="s">
        <v>17</v>
      </c>
      <c r="E1871" t="s">
        <v>18</v>
      </c>
      <c r="F1871">
        <v>4</v>
      </c>
      <c r="G1871">
        <v>775.22</v>
      </c>
      <c r="H1871">
        <v>3100.88</v>
      </c>
      <c r="I1871">
        <v>310.42</v>
      </c>
      <c r="J1871">
        <v>2790.46</v>
      </c>
      <c r="K1871">
        <v>346</v>
      </c>
      <c r="L1871" s="11">
        <v>0.4521412037037037</v>
      </c>
      <c r="M1871">
        <f t="shared" si="146"/>
        <v>26</v>
      </c>
      <c r="N1871">
        <f t="shared" si="147"/>
        <v>8</v>
      </c>
      <c r="O1871">
        <f t="shared" si="148"/>
        <v>2024</v>
      </c>
      <c r="P1871" s="4">
        <f t="shared" si="149"/>
        <v>45530</v>
      </c>
      <c r="Q1871" t="s">
        <v>1139</v>
      </c>
      <c r="R1871" t="s">
        <v>1135</v>
      </c>
      <c r="S1871">
        <v>2</v>
      </c>
      <c r="T1871" t="s">
        <v>1141</v>
      </c>
      <c r="U1871" s="11" t="str">
        <f t="shared" si="145"/>
        <v>10:51:05 AM</v>
      </c>
      <c r="BL1871" s="2" t="s">
        <v>3021</v>
      </c>
    </row>
    <row r="1872" spans="1:64" x14ac:dyDescent="0.35">
      <c r="A1872">
        <v>8457</v>
      </c>
      <c r="B1872" t="s">
        <v>8</v>
      </c>
      <c r="C1872" s="1">
        <v>45541</v>
      </c>
      <c r="D1872" t="s">
        <v>27</v>
      </c>
      <c r="E1872" t="s">
        <v>28</v>
      </c>
      <c r="F1872">
        <v>1</v>
      </c>
      <c r="G1872">
        <v>505.47</v>
      </c>
      <c r="H1872">
        <v>505.47</v>
      </c>
      <c r="I1872">
        <v>101.26</v>
      </c>
      <c r="J1872">
        <v>404.21</v>
      </c>
      <c r="K1872">
        <v>101</v>
      </c>
      <c r="L1872" s="11">
        <v>0.50649305555555557</v>
      </c>
      <c r="M1872">
        <f t="shared" si="146"/>
        <v>6</v>
      </c>
      <c r="N1872">
        <f t="shared" si="147"/>
        <v>9</v>
      </c>
      <c r="O1872">
        <f t="shared" si="148"/>
        <v>2024</v>
      </c>
      <c r="P1872" s="4">
        <f t="shared" si="149"/>
        <v>45541</v>
      </c>
      <c r="Q1872" t="s">
        <v>1134</v>
      </c>
      <c r="R1872" t="s">
        <v>1137</v>
      </c>
      <c r="S1872">
        <v>4</v>
      </c>
      <c r="T1872" t="s">
        <v>1144</v>
      </c>
      <c r="U1872" s="11" t="str">
        <f t="shared" si="145"/>
        <v>12:09:21 PM</v>
      </c>
      <c r="BL1872" s="2" t="s">
        <v>3022</v>
      </c>
    </row>
    <row r="1873" spans="1:64" x14ac:dyDescent="0.35">
      <c r="A1873">
        <v>6900</v>
      </c>
      <c r="B1873" t="s">
        <v>3</v>
      </c>
      <c r="C1873" s="1">
        <v>45188</v>
      </c>
      <c r="D1873" t="s">
        <v>17</v>
      </c>
      <c r="E1873" t="s">
        <v>33</v>
      </c>
      <c r="F1873">
        <v>1</v>
      </c>
      <c r="G1873">
        <v>1773.71</v>
      </c>
      <c r="H1873">
        <v>1773.71</v>
      </c>
      <c r="I1873">
        <v>354.41</v>
      </c>
      <c r="J1873">
        <v>1419.3</v>
      </c>
      <c r="K1873">
        <v>38</v>
      </c>
      <c r="L1873" s="11">
        <v>0.90173611111111107</v>
      </c>
      <c r="M1873">
        <f t="shared" si="146"/>
        <v>19</v>
      </c>
      <c r="N1873">
        <f t="shared" si="147"/>
        <v>9</v>
      </c>
      <c r="O1873">
        <f t="shared" si="148"/>
        <v>2023</v>
      </c>
      <c r="P1873" s="4">
        <f t="shared" si="149"/>
        <v>45188</v>
      </c>
      <c r="Q1873" t="s">
        <v>1138</v>
      </c>
      <c r="R1873" t="s">
        <v>1135</v>
      </c>
      <c r="S1873">
        <v>1</v>
      </c>
      <c r="T1873" t="s">
        <v>1150</v>
      </c>
      <c r="U1873" s="11" t="str">
        <f t="shared" si="145"/>
        <v>09:38:30 PM</v>
      </c>
      <c r="BL1873" s="2" t="s">
        <v>3023</v>
      </c>
    </row>
    <row r="1874" spans="1:64" x14ac:dyDescent="0.35">
      <c r="A1874">
        <v>9185</v>
      </c>
      <c r="B1874" t="s">
        <v>25</v>
      </c>
      <c r="C1874" s="1">
        <v>45812</v>
      </c>
      <c r="D1874" t="s">
        <v>6</v>
      </c>
      <c r="E1874" t="s">
        <v>18</v>
      </c>
      <c r="F1874">
        <v>4</v>
      </c>
      <c r="G1874">
        <v>1611.03</v>
      </c>
      <c r="H1874">
        <v>6444.12</v>
      </c>
      <c r="I1874">
        <v>219.95</v>
      </c>
      <c r="J1874">
        <v>6224.17</v>
      </c>
      <c r="K1874">
        <v>303</v>
      </c>
      <c r="L1874" s="11">
        <v>0.8200925925925926</v>
      </c>
      <c r="M1874">
        <f t="shared" si="146"/>
        <v>4</v>
      </c>
      <c r="N1874">
        <f t="shared" si="147"/>
        <v>6</v>
      </c>
      <c r="O1874">
        <f t="shared" si="148"/>
        <v>2025</v>
      </c>
      <c r="P1874" s="4">
        <f t="shared" si="149"/>
        <v>45812</v>
      </c>
      <c r="Q1874" t="s">
        <v>1134</v>
      </c>
      <c r="R1874" t="s">
        <v>1135</v>
      </c>
      <c r="S1874">
        <v>3</v>
      </c>
      <c r="T1874" t="s">
        <v>1150</v>
      </c>
      <c r="U1874" s="11" t="str">
        <f t="shared" si="145"/>
        <v>07:40:56 PM</v>
      </c>
      <c r="BL1874" s="2" t="s">
        <v>3024</v>
      </c>
    </row>
    <row r="1875" spans="1:64" x14ac:dyDescent="0.35">
      <c r="A1875">
        <v>3734</v>
      </c>
      <c r="B1875" t="s">
        <v>19</v>
      </c>
      <c r="C1875" s="1">
        <v>45430</v>
      </c>
      <c r="D1875" t="s">
        <v>6</v>
      </c>
      <c r="E1875" t="s">
        <v>5</v>
      </c>
      <c r="F1875">
        <v>3</v>
      </c>
      <c r="G1875">
        <v>2066.6999999999998</v>
      </c>
      <c r="H1875">
        <v>6200.1</v>
      </c>
      <c r="I1875">
        <v>85.49</v>
      </c>
      <c r="J1875">
        <v>6114.61</v>
      </c>
      <c r="K1875">
        <v>376</v>
      </c>
      <c r="L1875" s="11">
        <v>0.28925925925925927</v>
      </c>
      <c r="M1875">
        <f t="shared" si="146"/>
        <v>18</v>
      </c>
      <c r="N1875">
        <f t="shared" si="147"/>
        <v>5</v>
      </c>
      <c r="O1875">
        <f t="shared" si="148"/>
        <v>2024</v>
      </c>
      <c r="P1875" s="4">
        <f t="shared" si="149"/>
        <v>45430</v>
      </c>
      <c r="Q1875" t="s">
        <v>1139</v>
      </c>
      <c r="R1875" t="s">
        <v>1135</v>
      </c>
      <c r="S1875">
        <v>3</v>
      </c>
      <c r="T1875" t="s">
        <v>1148</v>
      </c>
      <c r="U1875" s="11" t="str">
        <f t="shared" si="145"/>
        <v>06:56:32 AM</v>
      </c>
      <c r="BL1875" s="2" t="s">
        <v>3025</v>
      </c>
    </row>
    <row r="1876" spans="1:64" x14ac:dyDescent="0.35">
      <c r="A1876">
        <v>3577</v>
      </c>
      <c r="B1876" t="s">
        <v>19</v>
      </c>
      <c r="C1876" s="1">
        <v>45343</v>
      </c>
      <c r="D1876" t="s">
        <v>24</v>
      </c>
      <c r="E1876" t="s">
        <v>18</v>
      </c>
      <c r="F1876">
        <v>1</v>
      </c>
      <c r="G1876">
        <v>230.74</v>
      </c>
      <c r="H1876">
        <v>230.74</v>
      </c>
      <c r="I1876">
        <v>0</v>
      </c>
      <c r="J1876">
        <v>230.74</v>
      </c>
      <c r="K1876">
        <v>252</v>
      </c>
      <c r="L1876" s="11">
        <v>6.1145833333333337E-2</v>
      </c>
      <c r="M1876">
        <f t="shared" si="146"/>
        <v>21</v>
      </c>
      <c r="N1876">
        <f t="shared" si="147"/>
        <v>2</v>
      </c>
      <c r="O1876">
        <f t="shared" si="148"/>
        <v>2024</v>
      </c>
      <c r="P1876" s="4">
        <f t="shared" si="149"/>
        <v>45343</v>
      </c>
      <c r="Q1876" t="s">
        <v>1139</v>
      </c>
      <c r="R1876" t="s">
        <v>1137</v>
      </c>
      <c r="S1876">
        <v>5</v>
      </c>
      <c r="T1876" t="s">
        <v>1147</v>
      </c>
      <c r="U1876" s="11" t="str">
        <f t="shared" si="145"/>
        <v>01:28:03 AM</v>
      </c>
      <c r="BL1876" s="2" t="s">
        <v>3026</v>
      </c>
    </row>
    <row r="1877" spans="1:64" x14ac:dyDescent="0.35">
      <c r="A1877">
        <v>2685</v>
      </c>
      <c r="B1877" t="s">
        <v>20</v>
      </c>
      <c r="C1877" s="1">
        <v>45839</v>
      </c>
      <c r="D1877" t="s">
        <v>17</v>
      </c>
      <c r="E1877" t="s">
        <v>5</v>
      </c>
      <c r="F1877">
        <v>1</v>
      </c>
      <c r="G1877">
        <v>1704.82</v>
      </c>
      <c r="H1877">
        <v>1704.82</v>
      </c>
      <c r="I1877">
        <v>407.53</v>
      </c>
      <c r="J1877">
        <v>1297.29</v>
      </c>
      <c r="K1877">
        <v>460</v>
      </c>
      <c r="L1877" s="11">
        <v>0.9659375</v>
      </c>
      <c r="M1877">
        <f t="shared" si="146"/>
        <v>1</v>
      </c>
      <c r="N1877">
        <f t="shared" si="147"/>
        <v>7</v>
      </c>
      <c r="O1877">
        <f t="shared" si="148"/>
        <v>2025</v>
      </c>
      <c r="P1877" s="4">
        <f t="shared" si="149"/>
        <v>45839</v>
      </c>
      <c r="Q1877" t="s">
        <v>1136</v>
      </c>
      <c r="R1877" t="s">
        <v>1135</v>
      </c>
      <c r="S1877">
        <v>2</v>
      </c>
      <c r="T1877" t="s">
        <v>1142</v>
      </c>
      <c r="U1877" s="11" t="str">
        <f t="shared" si="145"/>
        <v>11:10:57 PM</v>
      </c>
      <c r="BL1877" s="2" t="s">
        <v>3027</v>
      </c>
    </row>
    <row r="1878" spans="1:64" x14ac:dyDescent="0.35">
      <c r="A1878">
        <v>2889</v>
      </c>
      <c r="B1878" t="s">
        <v>0</v>
      </c>
      <c r="C1878" s="1">
        <v>45322</v>
      </c>
      <c r="D1878" t="s">
        <v>11</v>
      </c>
      <c r="E1878" t="s">
        <v>12</v>
      </c>
      <c r="F1878">
        <v>5</v>
      </c>
      <c r="G1878">
        <v>1714.78</v>
      </c>
      <c r="H1878">
        <v>8573.9</v>
      </c>
      <c r="I1878">
        <v>0</v>
      </c>
      <c r="J1878">
        <v>8573.9</v>
      </c>
      <c r="K1878">
        <v>33</v>
      </c>
      <c r="L1878" s="11">
        <v>0.66174768518518523</v>
      </c>
      <c r="M1878">
        <f t="shared" si="146"/>
        <v>31</v>
      </c>
      <c r="N1878">
        <f t="shared" si="147"/>
        <v>1</v>
      </c>
      <c r="O1878">
        <f t="shared" si="148"/>
        <v>2024</v>
      </c>
      <c r="P1878" s="4">
        <f t="shared" si="149"/>
        <v>45322</v>
      </c>
      <c r="Q1878" t="s">
        <v>1138</v>
      </c>
      <c r="R1878" t="s">
        <v>1137</v>
      </c>
      <c r="S1878">
        <v>3</v>
      </c>
      <c r="T1878" t="s">
        <v>1147</v>
      </c>
      <c r="U1878" s="11" t="str">
        <f t="shared" si="145"/>
        <v>03:52:55 PM</v>
      </c>
      <c r="BL1878" s="2" t="s">
        <v>3028</v>
      </c>
    </row>
    <row r="1879" spans="1:64" x14ac:dyDescent="0.35">
      <c r="A1879">
        <v>9336</v>
      </c>
      <c r="B1879" t="s">
        <v>25</v>
      </c>
      <c r="C1879" s="1">
        <v>45146</v>
      </c>
      <c r="D1879" t="s">
        <v>34</v>
      </c>
      <c r="E1879" t="s">
        <v>12</v>
      </c>
      <c r="F1879">
        <v>4</v>
      </c>
      <c r="G1879">
        <v>973.59</v>
      </c>
      <c r="H1879">
        <v>3894.36</v>
      </c>
      <c r="I1879">
        <v>584.32000000000005</v>
      </c>
      <c r="J1879">
        <v>3310.04</v>
      </c>
      <c r="K1879">
        <v>153</v>
      </c>
      <c r="L1879" s="11">
        <v>0.81631944444444449</v>
      </c>
      <c r="M1879">
        <f t="shared" si="146"/>
        <v>8</v>
      </c>
      <c r="N1879">
        <f t="shared" si="147"/>
        <v>8</v>
      </c>
      <c r="O1879">
        <f t="shared" si="148"/>
        <v>2023</v>
      </c>
      <c r="P1879" s="4">
        <f t="shared" si="149"/>
        <v>45146</v>
      </c>
      <c r="Q1879" t="s">
        <v>1139</v>
      </c>
      <c r="R1879" t="s">
        <v>1135</v>
      </c>
      <c r="S1879">
        <v>2</v>
      </c>
      <c r="T1879" t="s">
        <v>1145</v>
      </c>
      <c r="U1879" s="11" t="str">
        <f t="shared" si="145"/>
        <v>07:35:30 PM</v>
      </c>
      <c r="BL1879" s="2" t="s">
        <v>3029</v>
      </c>
    </row>
    <row r="1880" spans="1:64" x14ac:dyDescent="0.35">
      <c r="A1880">
        <v>1721</v>
      </c>
      <c r="B1880" t="s">
        <v>3</v>
      </c>
      <c r="C1880" s="1">
        <v>45811</v>
      </c>
      <c r="D1880" t="s">
        <v>6</v>
      </c>
      <c r="E1880" t="s">
        <v>14</v>
      </c>
      <c r="F1880">
        <v>5</v>
      </c>
      <c r="G1880">
        <v>493.02</v>
      </c>
      <c r="H1880">
        <v>2465.1</v>
      </c>
      <c r="I1880">
        <v>246.51</v>
      </c>
      <c r="J1880">
        <v>2218.59</v>
      </c>
      <c r="K1880">
        <v>353</v>
      </c>
      <c r="L1880" s="11">
        <v>0.25364583333333335</v>
      </c>
      <c r="M1880">
        <f t="shared" si="146"/>
        <v>3</v>
      </c>
      <c r="N1880">
        <f t="shared" si="147"/>
        <v>6</v>
      </c>
      <c r="O1880">
        <f t="shared" si="148"/>
        <v>2025</v>
      </c>
      <c r="P1880" s="4">
        <f t="shared" si="149"/>
        <v>45811</v>
      </c>
      <c r="Q1880" t="s">
        <v>1136</v>
      </c>
      <c r="R1880" t="s">
        <v>1137</v>
      </c>
      <c r="S1880">
        <v>3</v>
      </c>
      <c r="T1880" t="s">
        <v>1149</v>
      </c>
      <c r="U1880" s="11" t="str">
        <f t="shared" si="145"/>
        <v>06:05:15 AM</v>
      </c>
      <c r="BL1880" s="2" t="s">
        <v>3030</v>
      </c>
    </row>
    <row r="1881" spans="1:64" x14ac:dyDescent="0.35">
      <c r="A1881">
        <v>1201</v>
      </c>
      <c r="B1881" t="s">
        <v>15</v>
      </c>
      <c r="C1881" s="1">
        <v>45334</v>
      </c>
      <c r="D1881" t="s">
        <v>34</v>
      </c>
      <c r="E1881" t="s">
        <v>10</v>
      </c>
      <c r="F1881">
        <v>4</v>
      </c>
      <c r="G1881">
        <v>1198.52</v>
      </c>
      <c r="H1881">
        <v>4794.08</v>
      </c>
      <c r="I1881">
        <v>479.74</v>
      </c>
      <c r="J1881">
        <v>4314.34</v>
      </c>
      <c r="K1881">
        <v>460</v>
      </c>
      <c r="L1881" s="11">
        <v>0.16318287037037038</v>
      </c>
      <c r="M1881">
        <f t="shared" si="146"/>
        <v>12</v>
      </c>
      <c r="N1881">
        <f t="shared" si="147"/>
        <v>2</v>
      </c>
      <c r="O1881">
        <f t="shared" si="148"/>
        <v>2024</v>
      </c>
      <c r="P1881" s="4">
        <f t="shared" si="149"/>
        <v>45334</v>
      </c>
      <c r="Q1881" t="s">
        <v>1138</v>
      </c>
      <c r="R1881" t="s">
        <v>1135</v>
      </c>
      <c r="S1881">
        <v>5</v>
      </c>
      <c r="T1881" t="s">
        <v>1150</v>
      </c>
      <c r="U1881" s="11" t="str">
        <f t="shared" si="145"/>
        <v>03:54:59 AM</v>
      </c>
      <c r="BL1881" s="2" t="s">
        <v>3031</v>
      </c>
    </row>
    <row r="1882" spans="1:64" x14ac:dyDescent="0.35">
      <c r="A1882">
        <v>1753</v>
      </c>
      <c r="B1882" t="s">
        <v>8</v>
      </c>
      <c r="C1882" s="1">
        <v>45511</v>
      </c>
      <c r="D1882" t="s">
        <v>23</v>
      </c>
      <c r="E1882" t="s">
        <v>21</v>
      </c>
      <c r="F1882">
        <v>4</v>
      </c>
      <c r="G1882">
        <v>2367.9899999999998</v>
      </c>
      <c r="H1882">
        <v>9471.9599999999991</v>
      </c>
      <c r="I1882">
        <v>1420.96</v>
      </c>
      <c r="J1882">
        <v>8051</v>
      </c>
      <c r="K1882">
        <v>447</v>
      </c>
      <c r="L1882" s="11">
        <v>0.41407407407407409</v>
      </c>
      <c r="M1882">
        <f t="shared" si="146"/>
        <v>7</v>
      </c>
      <c r="N1882">
        <f t="shared" si="147"/>
        <v>8</v>
      </c>
      <c r="O1882">
        <f t="shared" si="148"/>
        <v>2024</v>
      </c>
      <c r="P1882" s="4">
        <f t="shared" si="149"/>
        <v>45511</v>
      </c>
      <c r="Q1882" t="s">
        <v>1139</v>
      </c>
      <c r="R1882" t="s">
        <v>1137</v>
      </c>
      <c r="S1882">
        <v>4</v>
      </c>
      <c r="T1882" t="s">
        <v>1150</v>
      </c>
      <c r="U1882" s="11" t="str">
        <f t="shared" si="145"/>
        <v>09:56:16 AM</v>
      </c>
      <c r="BL1882" s="2" t="s">
        <v>3032</v>
      </c>
    </row>
    <row r="1883" spans="1:64" x14ac:dyDescent="0.35">
      <c r="A1883">
        <v>6963</v>
      </c>
      <c r="B1883" t="s">
        <v>13</v>
      </c>
      <c r="C1883" s="1">
        <v>45442</v>
      </c>
      <c r="D1883" t="s">
        <v>16</v>
      </c>
      <c r="E1883" t="s">
        <v>30</v>
      </c>
      <c r="F1883">
        <v>4</v>
      </c>
      <c r="G1883">
        <v>962.8</v>
      </c>
      <c r="H1883">
        <v>3851.2</v>
      </c>
      <c r="I1883">
        <v>770.24</v>
      </c>
      <c r="J1883">
        <v>3080.96</v>
      </c>
      <c r="K1883">
        <v>222</v>
      </c>
      <c r="L1883" s="11">
        <v>0.84234953703703708</v>
      </c>
      <c r="M1883">
        <f t="shared" si="146"/>
        <v>30</v>
      </c>
      <c r="N1883">
        <f t="shared" si="147"/>
        <v>5</v>
      </c>
      <c r="O1883">
        <f t="shared" si="148"/>
        <v>2024</v>
      </c>
      <c r="P1883" s="4">
        <f t="shared" si="149"/>
        <v>45442</v>
      </c>
      <c r="Q1883" t="s">
        <v>1139</v>
      </c>
      <c r="R1883" t="s">
        <v>1137</v>
      </c>
      <c r="S1883">
        <v>5</v>
      </c>
      <c r="T1883" t="s">
        <v>1149</v>
      </c>
      <c r="U1883" s="11" t="str">
        <f t="shared" si="145"/>
        <v>08:12:59 PM</v>
      </c>
      <c r="BL1883" s="2" t="s">
        <v>3033</v>
      </c>
    </row>
    <row r="1884" spans="1:64" x14ac:dyDescent="0.35">
      <c r="A1884">
        <v>3458</v>
      </c>
      <c r="B1884" t="s">
        <v>8</v>
      </c>
      <c r="C1884" s="1">
        <v>45284</v>
      </c>
      <c r="D1884" t="s">
        <v>6</v>
      </c>
      <c r="E1884" t="s">
        <v>38</v>
      </c>
      <c r="F1884">
        <v>1</v>
      </c>
      <c r="G1884">
        <v>1024.22</v>
      </c>
      <c r="H1884">
        <v>1024.22</v>
      </c>
      <c r="I1884">
        <v>153.55000000000001</v>
      </c>
      <c r="J1884">
        <v>870.67</v>
      </c>
      <c r="K1884">
        <v>76</v>
      </c>
      <c r="L1884" s="11">
        <v>0.59782407407407412</v>
      </c>
      <c r="M1884">
        <f t="shared" si="146"/>
        <v>24</v>
      </c>
      <c r="N1884">
        <f t="shared" si="147"/>
        <v>12</v>
      </c>
      <c r="O1884">
        <f t="shared" si="148"/>
        <v>2023</v>
      </c>
      <c r="P1884" s="4">
        <f t="shared" si="149"/>
        <v>45284</v>
      </c>
      <c r="Q1884" t="s">
        <v>1138</v>
      </c>
      <c r="R1884" t="s">
        <v>1135</v>
      </c>
      <c r="S1884">
        <v>1</v>
      </c>
      <c r="T1884" t="s">
        <v>1141</v>
      </c>
      <c r="U1884" s="11" t="str">
        <f t="shared" si="145"/>
        <v>02:20:52 PM</v>
      </c>
      <c r="BL1884" s="2" t="s">
        <v>3034</v>
      </c>
    </row>
    <row r="1885" spans="1:64" x14ac:dyDescent="0.35">
      <c r="A1885">
        <v>1579</v>
      </c>
      <c r="B1885" t="s">
        <v>31</v>
      </c>
      <c r="C1885" s="1">
        <v>45574</v>
      </c>
      <c r="D1885" t="s">
        <v>1</v>
      </c>
      <c r="E1885" t="s">
        <v>37</v>
      </c>
      <c r="F1885">
        <v>4</v>
      </c>
      <c r="G1885">
        <v>463.14</v>
      </c>
      <c r="H1885">
        <v>1852.56</v>
      </c>
      <c r="I1885">
        <v>370.18</v>
      </c>
      <c r="J1885">
        <v>1482.38</v>
      </c>
      <c r="K1885">
        <v>424</v>
      </c>
      <c r="L1885" s="11">
        <v>3.8229166666666668E-2</v>
      </c>
      <c r="M1885">
        <f t="shared" si="146"/>
        <v>9</v>
      </c>
      <c r="N1885">
        <f t="shared" si="147"/>
        <v>10</v>
      </c>
      <c r="O1885">
        <f t="shared" si="148"/>
        <v>2024</v>
      </c>
      <c r="P1885" s="4">
        <f t="shared" si="149"/>
        <v>45574</v>
      </c>
      <c r="Q1885" t="s">
        <v>1138</v>
      </c>
      <c r="R1885" t="s">
        <v>1137</v>
      </c>
      <c r="S1885">
        <v>3</v>
      </c>
      <c r="T1885" t="s">
        <v>1147</v>
      </c>
      <c r="U1885" s="11" t="str">
        <f t="shared" si="145"/>
        <v>12:55:03 AM</v>
      </c>
      <c r="BL1885" s="2" t="s">
        <v>3035</v>
      </c>
    </row>
    <row r="1886" spans="1:64" x14ac:dyDescent="0.35">
      <c r="A1886">
        <v>7870</v>
      </c>
      <c r="B1886" t="s">
        <v>31</v>
      </c>
      <c r="C1886" s="1">
        <v>45319</v>
      </c>
      <c r="D1886" t="s">
        <v>34</v>
      </c>
      <c r="E1886" t="s">
        <v>37</v>
      </c>
      <c r="F1886">
        <v>4</v>
      </c>
      <c r="G1886">
        <v>1129.6300000000001</v>
      </c>
      <c r="H1886">
        <v>4518.5200000000004</v>
      </c>
      <c r="I1886">
        <v>451.52</v>
      </c>
      <c r="J1886">
        <v>4067</v>
      </c>
      <c r="K1886">
        <v>436</v>
      </c>
      <c r="L1886" s="11">
        <v>6.6493055555555555E-2</v>
      </c>
      <c r="M1886">
        <f t="shared" si="146"/>
        <v>28</v>
      </c>
      <c r="N1886">
        <f t="shared" si="147"/>
        <v>1</v>
      </c>
      <c r="O1886">
        <f t="shared" si="148"/>
        <v>2024</v>
      </c>
      <c r="P1886" s="4">
        <f t="shared" si="149"/>
        <v>45319</v>
      </c>
      <c r="Q1886" t="s">
        <v>1138</v>
      </c>
      <c r="R1886" t="s">
        <v>1137</v>
      </c>
      <c r="S1886">
        <v>1</v>
      </c>
      <c r="T1886" t="s">
        <v>1145</v>
      </c>
      <c r="U1886" s="11" t="str">
        <f t="shared" si="145"/>
        <v>01:35:45 AM</v>
      </c>
      <c r="BL1886" s="2" t="s">
        <v>3036</v>
      </c>
    </row>
    <row r="1887" spans="1:64" x14ac:dyDescent="0.35">
      <c r="A1887">
        <v>6272</v>
      </c>
      <c r="B1887" t="s">
        <v>20</v>
      </c>
      <c r="C1887" s="1">
        <v>45337</v>
      </c>
      <c r="D1887" t="s">
        <v>11</v>
      </c>
      <c r="E1887" t="s">
        <v>38</v>
      </c>
      <c r="F1887">
        <v>1</v>
      </c>
      <c r="G1887">
        <v>2376.29</v>
      </c>
      <c r="H1887">
        <v>2376.29</v>
      </c>
      <c r="I1887">
        <v>179.28</v>
      </c>
      <c r="J1887">
        <v>2197.0100000000002</v>
      </c>
      <c r="K1887">
        <v>361</v>
      </c>
      <c r="L1887" s="11">
        <v>0.78488425925925931</v>
      </c>
      <c r="M1887">
        <f t="shared" si="146"/>
        <v>15</v>
      </c>
      <c r="N1887">
        <f t="shared" si="147"/>
        <v>2</v>
      </c>
      <c r="O1887">
        <f t="shared" si="148"/>
        <v>2024</v>
      </c>
      <c r="P1887" s="4">
        <f t="shared" si="149"/>
        <v>45337</v>
      </c>
      <c r="Q1887" t="s">
        <v>1139</v>
      </c>
      <c r="R1887" t="s">
        <v>1137</v>
      </c>
      <c r="S1887">
        <v>1</v>
      </c>
      <c r="T1887" t="s">
        <v>1146</v>
      </c>
      <c r="U1887" s="11" t="str">
        <f t="shared" si="145"/>
        <v>06:50:14 PM</v>
      </c>
      <c r="BL1887" s="2" t="s">
        <v>3037</v>
      </c>
    </row>
    <row r="1888" spans="1:64" x14ac:dyDescent="0.35">
      <c r="A1888">
        <v>7819</v>
      </c>
      <c r="B1888" t="s">
        <v>31</v>
      </c>
      <c r="C1888" s="1">
        <v>45856</v>
      </c>
      <c r="D1888" t="s">
        <v>27</v>
      </c>
      <c r="E1888" t="s">
        <v>37</v>
      </c>
      <c r="F1888">
        <v>2</v>
      </c>
      <c r="G1888">
        <v>1083.98</v>
      </c>
      <c r="H1888">
        <v>2167.96</v>
      </c>
      <c r="I1888">
        <v>0</v>
      </c>
      <c r="J1888">
        <v>2167.96</v>
      </c>
      <c r="K1888">
        <v>6</v>
      </c>
      <c r="L1888" s="11">
        <v>0.7459837962962963</v>
      </c>
      <c r="M1888">
        <f t="shared" si="146"/>
        <v>18</v>
      </c>
      <c r="N1888">
        <f t="shared" si="147"/>
        <v>7</v>
      </c>
      <c r="O1888">
        <f t="shared" si="148"/>
        <v>2025</v>
      </c>
      <c r="P1888" s="4">
        <f t="shared" si="149"/>
        <v>45856</v>
      </c>
      <c r="Q1888" t="s">
        <v>1139</v>
      </c>
      <c r="R1888" t="s">
        <v>1137</v>
      </c>
      <c r="S1888">
        <v>2</v>
      </c>
      <c r="T1888" t="s">
        <v>1150</v>
      </c>
      <c r="U1888" s="11" t="str">
        <f t="shared" si="145"/>
        <v>05:54:13 PM</v>
      </c>
      <c r="BL1888" s="2" t="s">
        <v>3038</v>
      </c>
    </row>
    <row r="1889" spans="1:64" x14ac:dyDescent="0.35">
      <c r="A1889">
        <v>6241</v>
      </c>
      <c r="B1889" t="s">
        <v>8</v>
      </c>
      <c r="C1889" s="1">
        <v>45355</v>
      </c>
      <c r="D1889" t="s">
        <v>11</v>
      </c>
      <c r="E1889" t="s">
        <v>26</v>
      </c>
      <c r="F1889">
        <v>5</v>
      </c>
      <c r="G1889">
        <v>1114.69</v>
      </c>
      <c r="H1889">
        <v>5573.45</v>
      </c>
      <c r="I1889">
        <v>176.79</v>
      </c>
      <c r="J1889">
        <v>5396.66</v>
      </c>
      <c r="K1889">
        <v>62</v>
      </c>
      <c r="L1889" s="11">
        <v>0.9952199074074074</v>
      </c>
      <c r="M1889">
        <f t="shared" si="146"/>
        <v>4</v>
      </c>
      <c r="N1889">
        <f t="shared" si="147"/>
        <v>3</v>
      </c>
      <c r="O1889">
        <f t="shared" si="148"/>
        <v>2024</v>
      </c>
      <c r="P1889" s="4">
        <f t="shared" si="149"/>
        <v>45355</v>
      </c>
      <c r="Q1889" t="s">
        <v>1136</v>
      </c>
      <c r="R1889" t="s">
        <v>1137</v>
      </c>
      <c r="S1889">
        <v>3</v>
      </c>
      <c r="T1889" t="s">
        <v>1148</v>
      </c>
      <c r="U1889" s="11" t="str">
        <f t="shared" si="145"/>
        <v>11:53:07 PM</v>
      </c>
      <c r="BL1889" s="2" t="s">
        <v>3039</v>
      </c>
    </row>
    <row r="1890" spans="1:64" x14ac:dyDescent="0.35">
      <c r="A1890">
        <v>2276</v>
      </c>
      <c r="B1890" t="s">
        <v>25</v>
      </c>
      <c r="C1890" s="1">
        <v>45588</v>
      </c>
      <c r="D1890" t="s">
        <v>23</v>
      </c>
      <c r="E1890" t="s">
        <v>12</v>
      </c>
      <c r="F1890">
        <v>5</v>
      </c>
      <c r="G1890">
        <v>2417.79</v>
      </c>
      <c r="H1890">
        <v>12088.95</v>
      </c>
      <c r="I1890">
        <v>1209.31</v>
      </c>
      <c r="J1890">
        <v>10879.64</v>
      </c>
      <c r="K1890">
        <v>32</v>
      </c>
      <c r="L1890" s="11">
        <v>0.95319444444444446</v>
      </c>
      <c r="M1890">
        <f t="shared" si="146"/>
        <v>23</v>
      </c>
      <c r="N1890">
        <f t="shared" si="147"/>
        <v>10</v>
      </c>
      <c r="O1890">
        <f t="shared" si="148"/>
        <v>2024</v>
      </c>
      <c r="P1890" s="4">
        <f t="shared" si="149"/>
        <v>45588</v>
      </c>
      <c r="Q1890" t="s">
        <v>1134</v>
      </c>
      <c r="R1890" t="s">
        <v>1137</v>
      </c>
      <c r="S1890">
        <v>1</v>
      </c>
      <c r="T1890" t="s">
        <v>1150</v>
      </c>
      <c r="U1890" s="11" t="str">
        <f t="shared" si="145"/>
        <v>10:52:36 PM</v>
      </c>
      <c r="BL1890" s="2" t="s">
        <v>3040</v>
      </c>
    </row>
    <row r="1891" spans="1:64" x14ac:dyDescent="0.35">
      <c r="A1891">
        <v>7108</v>
      </c>
      <c r="B1891" t="s">
        <v>25</v>
      </c>
      <c r="C1891" s="1">
        <v>45237</v>
      </c>
      <c r="D1891" t="s">
        <v>9</v>
      </c>
      <c r="E1891" t="s">
        <v>14</v>
      </c>
      <c r="F1891">
        <v>2</v>
      </c>
      <c r="G1891">
        <v>2355.54</v>
      </c>
      <c r="H1891">
        <v>4711.08</v>
      </c>
      <c r="I1891">
        <v>706.33</v>
      </c>
      <c r="J1891">
        <v>4004.75</v>
      </c>
      <c r="K1891">
        <v>352</v>
      </c>
      <c r="L1891" s="11">
        <v>0.93199074074074073</v>
      </c>
      <c r="M1891">
        <f t="shared" si="146"/>
        <v>7</v>
      </c>
      <c r="N1891">
        <f t="shared" si="147"/>
        <v>11</v>
      </c>
      <c r="O1891">
        <f t="shared" si="148"/>
        <v>2023</v>
      </c>
      <c r="P1891" s="4">
        <f t="shared" si="149"/>
        <v>45237</v>
      </c>
      <c r="Q1891" t="s">
        <v>1138</v>
      </c>
      <c r="R1891" t="s">
        <v>1137</v>
      </c>
      <c r="S1891">
        <v>4</v>
      </c>
      <c r="T1891" t="s">
        <v>1143</v>
      </c>
      <c r="U1891" s="11" t="str">
        <f t="shared" si="145"/>
        <v>10:22:04 PM</v>
      </c>
      <c r="BL1891" s="2" t="s">
        <v>3041</v>
      </c>
    </row>
    <row r="1892" spans="1:64" x14ac:dyDescent="0.35">
      <c r="A1892">
        <v>9225</v>
      </c>
      <c r="B1892" t="s">
        <v>15</v>
      </c>
      <c r="C1892" s="1">
        <v>45667</v>
      </c>
      <c r="D1892" t="s">
        <v>24</v>
      </c>
      <c r="E1892" t="s">
        <v>7</v>
      </c>
      <c r="F1892">
        <v>3</v>
      </c>
      <c r="G1892">
        <v>1471.59</v>
      </c>
      <c r="H1892">
        <v>4414.7700000000004</v>
      </c>
      <c r="I1892">
        <v>883.12</v>
      </c>
      <c r="J1892">
        <v>3531.65</v>
      </c>
      <c r="K1892">
        <v>169</v>
      </c>
      <c r="L1892" s="11">
        <v>0.7299768518518519</v>
      </c>
      <c r="M1892">
        <f t="shared" si="146"/>
        <v>10</v>
      </c>
      <c r="N1892">
        <f t="shared" si="147"/>
        <v>1</v>
      </c>
      <c r="O1892">
        <f t="shared" si="148"/>
        <v>2025</v>
      </c>
      <c r="P1892" s="4">
        <f t="shared" si="149"/>
        <v>45667</v>
      </c>
      <c r="Q1892" t="s">
        <v>1139</v>
      </c>
      <c r="R1892" t="s">
        <v>1137</v>
      </c>
      <c r="S1892">
        <v>1</v>
      </c>
      <c r="T1892" t="s">
        <v>1144</v>
      </c>
      <c r="U1892" s="11" t="str">
        <f t="shared" si="145"/>
        <v>05:31:10 PM</v>
      </c>
      <c r="BL1892" s="2" t="s">
        <v>3042</v>
      </c>
    </row>
    <row r="1893" spans="1:64" x14ac:dyDescent="0.35">
      <c r="A1893">
        <v>1862</v>
      </c>
      <c r="B1893" t="s">
        <v>25</v>
      </c>
      <c r="C1893" s="1">
        <v>45284</v>
      </c>
      <c r="D1893" t="s">
        <v>16</v>
      </c>
      <c r="E1893" t="s">
        <v>14</v>
      </c>
      <c r="F1893">
        <v>5</v>
      </c>
      <c r="G1893">
        <v>1548.78</v>
      </c>
      <c r="H1893">
        <v>7743.9</v>
      </c>
      <c r="I1893">
        <v>774.39</v>
      </c>
      <c r="J1893">
        <v>6969.51</v>
      </c>
      <c r="K1893">
        <v>416</v>
      </c>
      <c r="L1893" s="11">
        <v>0.87641203703703707</v>
      </c>
      <c r="M1893">
        <f t="shared" si="146"/>
        <v>24</v>
      </c>
      <c r="N1893">
        <f t="shared" si="147"/>
        <v>12</v>
      </c>
      <c r="O1893">
        <f t="shared" si="148"/>
        <v>2023</v>
      </c>
      <c r="P1893" s="4">
        <f t="shared" si="149"/>
        <v>45284</v>
      </c>
      <c r="Q1893" t="s">
        <v>1139</v>
      </c>
      <c r="R1893" t="s">
        <v>1135</v>
      </c>
      <c r="S1893">
        <v>4</v>
      </c>
      <c r="T1893" t="s">
        <v>1141</v>
      </c>
      <c r="U1893" s="11" t="str">
        <f t="shared" si="145"/>
        <v>09:02:02 PM</v>
      </c>
      <c r="BL1893" s="2" t="s">
        <v>3043</v>
      </c>
    </row>
    <row r="1894" spans="1:64" x14ac:dyDescent="0.35">
      <c r="A1894">
        <v>4656</v>
      </c>
      <c r="B1894" t="s">
        <v>15</v>
      </c>
      <c r="C1894" s="1">
        <v>45769</v>
      </c>
      <c r="D1894" t="s">
        <v>1</v>
      </c>
      <c r="E1894" t="s">
        <v>10</v>
      </c>
      <c r="F1894">
        <v>5</v>
      </c>
      <c r="G1894">
        <v>2201.9899999999998</v>
      </c>
      <c r="H1894">
        <v>11009.95</v>
      </c>
      <c r="I1894">
        <v>190.07</v>
      </c>
      <c r="J1894">
        <v>10819.88</v>
      </c>
      <c r="K1894">
        <v>196</v>
      </c>
      <c r="L1894" s="11">
        <v>0.45194444444444443</v>
      </c>
      <c r="M1894">
        <f t="shared" si="146"/>
        <v>22</v>
      </c>
      <c r="N1894">
        <f t="shared" si="147"/>
        <v>4</v>
      </c>
      <c r="O1894">
        <f t="shared" si="148"/>
        <v>2025</v>
      </c>
      <c r="P1894" s="4">
        <f t="shared" si="149"/>
        <v>45769</v>
      </c>
      <c r="Q1894" t="s">
        <v>1138</v>
      </c>
      <c r="R1894" t="s">
        <v>1135</v>
      </c>
      <c r="S1894">
        <v>2</v>
      </c>
      <c r="T1894" t="s">
        <v>1142</v>
      </c>
      <c r="U1894" s="11" t="str">
        <f t="shared" si="145"/>
        <v>10:50:48 AM</v>
      </c>
      <c r="BL1894" s="2" t="s">
        <v>3044</v>
      </c>
    </row>
    <row r="1895" spans="1:64" x14ac:dyDescent="0.35">
      <c r="A1895">
        <v>9450</v>
      </c>
      <c r="B1895" t="s">
        <v>3</v>
      </c>
      <c r="C1895" s="1">
        <v>45180</v>
      </c>
      <c r="D1895" t="s">
        <v>34</v>
      </c>
      <c r="E1895" t="s">
        <v>22</v>
      </c>
      <c r="F1895">
        <v>5</v>
      </c>
      <c r="G1895">
        <v>2249.3000000000002</v>
      </c>
      <c r="H1895">
        <v>11246.5</v>
      </c>
      <c r="I1895">
        <v>232.4</v>
      </c>
      <c r="J1895">
        <v>11014.1</v>
      </c>
      <c r="K1895">
        <v>484</v>
      </c>
      <c r="L1895" s="11">
        <v>0.33875</v>
      </c>
      <c r="M1895">
        <f t="shared" si="146"/>
        <v>11</v>
      </c>
      <c r="N1895">
        <f t="shared" si="147"/>
        <v>9</v>
      </c>
      <c r="O1895">
        <f t="shared" si="148"/>
        <v>2023</v>
      </c>
      <c r="P1895" s="4">
        <f t="shared" si="149"/>
        <v>45180</v>
      </c>
      <c r="Q1895" t="s">
        <v>1134</v>
      </c>
      <c r="R1895" t="s">
        <v>1137</v>
      </c>
      <c r="S1895">
        <v>1</v>
      </c>
      <c r="T1895" t="s">
        <v>1145</v>
      </c>
      <c r="U1895" s="11" t="str">
        <f t="shared" si="145"/>
        <v>08:07:48 AM</v>
      </c>
      <c r="BL1895" s="2" t="s">
        <v>3045</v>
      </c>
    </row>
    <row r="1896" spans="1:64" x14ac:dyDescent="0.35">
      <c r="A1896">
        <v>7568</v>
      </c>
      <c r="B1896" t="s">
        <v>31</v>
      </c>
      <c r="C1896" s="1">
        <v>45198</v>
      </c>
      <c r="D1896" t="s">
        <v>24</v>
      </c>
      <c r="E1896" t="s">
        <v>30</v>
      </c>
      <c r="F1896">
        <v>3</v>
      </c>
      <c r="G1896">
        <v>2123.14</v>
      </c>
      <c r="H1896">
        <v>6369.42</v>
      </c>
      <c r="I1896">
        <v>1274.05</v>
      </c>
      <c r="J1896">
        <v>5095.37</v>
      </c>
      <c r="K1896">
        <v>30</v>
      </c>
      <c r="L1896" s="11">
        <v>0.2986111111111111</v>
      </c>
      <c r="M1896">
        <f t="shared" si="146"/>
        <v>29</v>
      </c>
      <c r="N1896">
        <f t="shared" si="147"/>
        <v>9</v>
      </c>
      <c r="O1896">
        <f t="shared" si="148"/>
        <v>2023</v>
      </c>
      <c r="P1896" s="4">
        <f t="shared" si="149"/>
        <v>45198</v>
      </c>
      <c r="Q1896" t="s">
        <v>1138</v>
      </c>
      <c r="R1896" t="s">
        <v>1137</v>
      </c>
      <c r="S1896">
        <v>5</v>
      </c>
      <c r="T1896" t="s">
        <v>1149</v>
      </c>
      <c r="U1896" s="11" t="str">
        <f t="shared" si="145"/>
        <v>07:10:00 AM</v>
      </c>
      <c r="BL1896" s="2" t="s">
        <v>3046</v>
      </c>
    </row>
    <row r="1897" spans="1:64" x14ac:dyDescent="0.35">
      <c r="A1897">
        <v>8620</v>
      </c>
      <c r="B1897" t="s">
        <v>31</v>
      </c>
      <c r="C1897" s="1">
        <v>45817</v>
      </c>
      <c r="D1897" t="s">
        <v>16</v>
      </c>
      <c r="E1897" t="s">
        <v>28</v>
      </c>
      <c r="F1897">
        <v>3</v>
      </c>
      <c r="G1897">
        <v>939.56</v>
      </c>
      <c r="H1897">
        <v>2818.68</v>
      </c>
      <c r="I1897">
        <v>131.13999999999999</v>
      </c>
      <c r="J1897">
        <v>2687.54</v>
      </c>
      <c r="K1897">
        <v>317</v>
      </c>
      <c r="L1897" s="11">
        <v>0.44723379629629628</v>
      </c>
      <c r="M1897">
        <f t="shared" si="146"/>
        <v>9</v>
      </c>
      <c r="N1897">
        <f t="shared" si="147"/>
        <v>6</v>
      </c>
      <c r="O1897">
        <f t="shared" si="148"/>
        <v>2025</v>
      </c>
      <c r="P1897" s="4">
        <f t="shared" si="149"/>
        <v>45817</v>
      </c>
      <c r="Q1897" t="s">
        <v>1134</v>
      </c>
      <c r="R1897" t="s">
        <v>1135</v>
      </c>
      <c r="S1897">
        <v>2</v>
      </c>
      <c r="T1897" t="s">
        <v>1146</v>
      </c>
      <c r="U1897" s="11" t="str">
        <f t="shared" si="145"/>
        <v>10:44:01 AM</v>
      </c>
      <c r="BL1897" s="2" t="s">
        <v>3047</v>
      </c>
    </row>
    <row r="1898" spans="1:64" x14ac:dyDescent="0.35">
      <c r="A1898">
        <v>5625</v>
      </c>
      <c r="B1898" t="s">
        <v>19</v>
      </c>
      <c r="C1898" s="1">
        <v>45745</v>
      </c>
      <c r="D1898" t="s">
        <v>11</v>
      </c>
      <c r="E1898" t="s">
        <v>37</v>
      </c>
      <c r="F1898">
        <v>3</v>
      </c>
      <c r="G1898">
        <v>1537.99</v>
      </c>
      <c r="H1898">
        <v>4613.97</v>
      </c>
      <c r="I1898">
        <v>0</v>
      </c>
      <c r="J1898">
        <v>4613.97</v>
      </c>
      <c r="K1898">
        <v>274</v>
      </c>
      <c r="L1898" s="11">
        <v>0.68260416666666668</v>
      </c>
      <c r="M1898">
        <f t="shared" si="146"/>
        <v>29</v>
      </c>
      <c r="N1898">
        <f t="shared" si="147"/>
        <v>3</v>
      </c>
      <c r="O1898">
        <f t="shared" si="148"/>
        <v>2025</v>
      </c>
      <c r="P1898" s="4">
        <f t="shared" si="149"/>
        <v>45745</v>
      </c>
      <c r="Q1898" t="s">
        <v>1139</v>
      </c>
      <c r="R1898" t="s">
        <v>1135</v>
      </c>
      <c r="S1898">
        <v>4</v>
      </c>
      <c r="T1898" t="s">
        <v>1148</v>
      </c>
      <c r="U1898" s="11" t="str">
        <f t="shared" ref="U1898:U1961" si="150">TEXT(L1898,"hh:mm:ss AM/PM")</f>
        <v>04:22:57 PM</v>
      </c>
      <c r="BL1898" s="2" t="s">
        <v>3048</v>
      </c>
    </row>
    <row r="1899" spans="1:64" x14ac:dyDescent="0.35">
      <c r="A1899">
        <v>6090</v>
      </c>
      <c r="B1899" t="s">
        <v>31</v>
      </c>
      <c r="C1899" s="1">
        <v>45399</v>
      </c>
      <c r="D1899" t="s">
        <v>17</v>
      </c>
      <c r="E1899" t="s">
        <v>38</v>
      </c>
      <c r="F1899">
        <v>3</v>
      </c>
      <c r="G1899">
        <v>1847.58</v>
      </c>
      <c r="H1899">
        <v>5542.74</v>
      </c>
      <c r="I1899">
        <v>348.6</v>
      </c>
      <c r="J1899">
        <v>5194.1400000000003</v>
      </c>
      <c r="K1899">
        <v>376</v>
      </c>
      <c r="L1899" s="11">
        <v>0.74114583333333328</v>
      </c>
      <c r="M1899">
        <f t="shared" si="146"/>
        <v>17</v>
      </c>
      <c r="N1899">
        <f t="shared" si="147"/>
        <v>4</v>
      </c>
      <c r="O1899">
        <f t="shared" si="148"/>
        <v>2024</v>
      </c>
      <c r="P1899" s="4">
        <f t="shared" si="149"/>
        <v>45399</v>
      </c>
      <c r="Q1899" t="s">
        <v>1134</v>
      </c>
      <c r="R1899" t="s">
        <v>1135</v>
      </c>
      <c r="S1899">
        <v>2</v>
      </c>
      <c r="T1899" t="s">
        <v>1146</v>
      </c>
      <c r="U1899" s="11" t="str">
        <f t="shared" si="150"/>
        <v>05:47:15 PM</v>
      </c>
      <c r="BL1899" s="2" t="s">
        <v>3049</v>
      </c>
    </row>
    <row r="1900" spans="1:64" x14ac:dyDescent="0.35">
      <c r="A1900">
        <v>2415</v>
      </c>
      <c r="B1900" t="s">
        <v>19</v>
      </c>
      <c r="C1900" s="1">
        <v>45574</v>
      </c>
      <c r="D1900" t="s">
        <v>6</v>
      </c>
      <c r="E1900" t="s">
        <v>21</v>
      </c>
      <c r="F1900">
        <v>4</v>
      </c>
      <c r="G1900">
        <v>1768.73</v>
      </c>
      <c r="H1900">
        <v>7074.92</v>
      </c>
      <c r="I1900">
        <v>1061.57</v>
      </c>
      <c r="J1900">
        <v>6013.35</v>
      </c>
      <c r="K1900">
        <v>436</v>
      </c>
      <c r="L1900" s="11">
        <v>7.4930555555555556E-2</v>
      </c>
      <c r="M1900">
        <f t="shared" si="146"/>
        <v>9</v>
      </c>
      <c r="N1900">
        <f t="shared" si="147"/>
        <v>10</v>
      </c>
      <c r="O1900">
        <f t="shared" si="148"/>
        <v>2024</v>
      </c>
      <c r="P1900" s="4">
        <f t="shared" si="149"/>
        <v>45574</v>
      </c>
      <c r="Q1900" t="s">
        <v>1136</v>
      </c>
      <c r="R1900" t="s">
        <v>1137</v>
      </c>
      <c r="S1900">
        <v>1</v>
      </c>
      <c r="T1900" t="s">
        <v>1141</v>
      </c>
      <c r="U1900" s="11" t="str">
        <f t="shared" si="150"/>
        <v>01:47:54 AM</v>
      </c>
      <c r="BL1900" s="2" t="s">
        <v>3050</v>
      </c>
    </row>
    <row r="1901" spans="1:64" x14ac:dyDescent="0.35">
      <c r="A1901">
        <v>8483</v>
      </c>
      <c r="B1901" t="s">
        <v>19</v>
      </c>
      <c r="C1901" s="1">
        <v>45151</v>
      </c>
      <c r="D1901" t="s">
        <v>6</v>
      </c>
      <c r="E1901" t="s">
        <v>30</v>
      </c>
      <c r="F1901">
        <v>3</v>
      </c>
      <c r="G1901">
        <v>142.76</v>
      </c>
      <c r="H1901">
        <v>428.28</v>
      </c>
      <c r="I1901">
        <v>205.01</v>
      </c>
      <c r="J1901">
        <v>223.27</v>
      </c>
      <c r="K1901">
        <v>333</v>
      </c>
      <c r="L1901" s="11">
        <v>0.31452546296296297</v>
      </c>
      <c r="M1901">
        <f t="shared" si="146"/>
        <v>13</v>
      </c>
      <c r="N1901">
        <f t="shared" si="147"/>
        <v>8</v>
      </c>
      <c r="O1901">
        <f t="shared" si="148"/>
        <v>2023</v>
      </c>
      <c r="P1901" s="4">
        <f t="shared" si="149"/>
        <v>45151</v>
      </c>
      <c r="Q1901" t="s">
        <v>1139</v>
      </c>
      <c r="R1901" t="s">
        <v>1135</v>
      </c>
      <c r="S1901">
        <v>3</v>
      </c>
      <c r="T1901" t="s">
        <v>1143</v>
      </c>
      <c r="U1901" s="11" t="str">
        <f t="shared" si="150"/>
        <v>07:32:55 AM</v>
      </c>
      <c r="BL1901" s="2" t="s">
        <v>3051</v>
      </c>
    </row>
    <row r="1902" spans="1:64" x14ac:dyDescent="0.35">
      <c r="A1902">
        <v>7044</v>
      </c>
      <c r="B1902" t="s">
        <v>8</v>
      </c>
      <c r="C1902" s="1">
        <v>45300</v>
      </c>
      <c r="D1902" t="s">
        <v>34</v>
      </c>
      <c r="E1902" t="s">
        <v>21</v>
      </c>
      <c r="F1902">
        <v>5</v>
      </c>
      <c r="G1902">
        <v>459.82</v>
      </c>
      <c r="H1902">
        <v>2299.1</v>
      </c>
      <c r="I1902">
        <v>394.25</v>
      </c>
      <c r="J1902">
        <v>1904.85</v>
      </c>
      <c r="K1902">
        <v>227</v>
      </c>
      <c r="L1902" s="11">
        <v>0.78465277777777775</v>
      </c>
      <c r="M1902">
        <f t="shared" si="146"/>
        <v>9</v>
      </c>
      <c r="N1902">
        <f t="shared" si="147"/>
        <v>1</v>
      </c>
      <c r="O1902">
        <f t="shared" si="148"/>
        <v>2024</v>
      </c>
      <c r="P1902" s="4">
        <f t="shared" si="149"/>
        <v>45300</v>
      </c>
      <c r="Q1902" t="s">
        <v>1136</v>
      </c>
      <c r="R1902" t="s">
        <v>1137</v>
      </c>
      <c r="S1902">
        <v>3</v>
      </c>
      <c r="T1902" t="s">
        <v>1143</v>
      </c>
      <c r="U1902" s="11" t="str">
        <f t="shared" si="150"/>
        <v>06:49:54 PM</v>
      </c>
      <c r="BL1902" s="2" t="s">
        <v>3052</v>
      </c>
    </row>
    <row r="1903" spans="1:64" x14ac:dyDescent="0.35">
      <c r="A1903">
        <v>5777</v>
      </c>
      <c r="B1903" t="s">
        <v>15</v>
      </c>
      <c r="C1903" s="1">
        <v>45582</v>
      </c>
      <c r="D1903" t="s">
        <v>24</v>
      </c>
      <c r="E1903" t="s">
        <v>33</v>
      </c>
      <c r="F1903">
        <v>5</v>
      </c>
      <c r="G1903">
        <v>1173.6199999999999</v>
      </c>
      <c r="H1903">
        <v>5868.1</v>
      </c>
      <c r="I1903">
        <v>880.63</v>
      </c>
      <c r="J1903">
        <v>4987.47</v>
      </c>
      <c r="K1903">
        <v>83</v>
      </c>
      <c r="L1903" s="11">
        <v>0.80048611111111112</v>
      </c>
      <c r="M1903">
        <f t="shared" si="146"/>
        <v>17</v>
      </c>
      <c r="N1903">
        <f t="shared" si="147"/>
        <v>10</v>
      </c>
      <c r="O1903">
        <f t="shared" si="148"/>
        <v>2024</v>
      </c>
      <c r="P1903" s="4">
        <f t="shared" si="149"/>
        <v>45582</v>
      </c>
      <c r="Q1903" t="s">
        <v>1138</v>
      </c>
      <c r="R1903" t="s">
        <v>1137</v>
      </c>
      <c r="S1903">
        <v>4</v>
      </c>
      <c r="T1903" t="s">
        <v>1149</v>
      </c>
      <c r="U1903" s="11" t="str">
        <f t="shared" si="150"/>
        <v>07:12:42 PM</v>
      </c>
      <c r="BL1903" s="2" t="s">
        <v>3053</v>
      </c>
    </row>
    <row r="1904" spans="1:64" x14ac:dyDescent="0.35">
      <c r="A1904">
        <v>5979</v>
      </c>
      <c r="B1904" t="s">
        <v>20</v>
      </c>
      <c r="C1904" s="1">
        <v>45719</v>
      </c>
      <c r="D1904" t="s">
        <v>4</v>
      </c>
      <c r="E1904" t="s">
        <v>29</v>
      </c>
      <c r="F1904">
        <v>3</v>
      </c>
      <c r="G1904">
        <v>1411.83</v>
      </c>
      <c r="H1904">
        <v>4235.49</v>
      </c>
      <c r="I1904">
        <v>634.95000000000005</v>
      </c>
      <c r="J1904">
        <v>3600.54</v>
      </c>
      <c r="K1904">
        <v>188</v>
      </c>
      <c r="L1904" s="11">
        <v>0.51233796296296297</v>
      </c>
      <c r="M1904">
        <f t="shared" si="146"/>
        <v>3</v>
      </c>
      <c r="N1904">
        <f t="shared" si="147"/>
        <v>3</v>
      </c>
      <c r="O1904">
        <f t="shared" si="148"/>
        <v>2025</v>
      </c>
      <c r="P1904" s="4">
        <f t="shared" si="149"/>
        <v>45719</v>
      </c>
      <c r="Q1904" t="s">
        <v>1138</v>
      </c>
      <c r="R1904" t="s">
        <v>1135</v>
      </c>
      <c r="S1904">
        <v>4</v>
      </c>
      <c r="T1904" t="s">
        <v>1144</v>
      </c>
      <c r="U1904" s="11" t="str">
        <f t="shared" si="150"/>
        <v>12:17:46 PM</v>
      </c>
      <c r="BL1904" s="2" t="s">
        <v>3054</v>
      </c>
    </row>
    <row r="1905" spans="1:64" x14ac:dyDescent="0.35">
      <c r="A1905">
        <v>4974</v>
      </c>
      <c r="B1905" t="s">
        <v>13</v>
      </c>
      <c r="C1905" s="1">
        <v>45505</v>
      </c>
      <c r="D1905" t="s">
        <v>27</v>
      </c>
      <c r="E1905" t="s">
        <v>28</v>
      </c>
      <c r="F1905">
        <v>4</v>
      </c>
      <c r="G1905">
        <v>1637.59</v>
      </c>
      <c r="H1905">
        <v>6550.36</v>
      </c>
      <c r="I1905">
        <v>982.72</v>
      </c>
      <c r="J1905">
        <v>5567.64</v>
      </c>
      <c r="K1905">
        <v>202</v>
      </c>
      <c r="L1905" s="11">
        <v>0.14241898148148149</v>
      </c>
      <c r="M1905">
        <f t="shared" si="146"/>
        <v>1</v>
      </c>
      <c r="N1905">
        <f t="shared" si="147"/>
        <v>8</v>
      </c>
      <c r="O1905">
        <f t="shared" si="148"/>
        <v>2024</v>
      </c>
      <c r="P1905" s="4">
        <f t="shared" si="149"/>
        <v>45505</v>
      </c>
      <c r="Q1905" t="s">
        <v>1138</v>
      </c>
      <c r="R1905" t="s">
        <v>1137</v>
      </c>
      <c r="S1905">
        <v>3</v>
      </c>
      <c r="T1905" t="s">
        <v>1147</v>
      </c>
      <c r="U1905" s="11" t="str">
        <f t="shared" si="150"/>
        <v>03:25:05 AM</v>
      </c>
      <c r="BL1905" s="2" t="s">
        <v>3055</v>
      </c>
    </row>
    <row r="1906" spans="1:64" x14ac:dyDescent="0.35">
      <c r="A1906">
        <v>7033</v>
      </c>
      <c r="B1906" t="s">
        <v>20</v>
      </c>
      <c r="C1906" s="1">
        <v>45604</v>
      </c>
      <c r="D1906" t="s">
        <v>16</v>
      </c>
      <c r="E1906" t="s">
        <v>26</v>
      </c>
      <c r="F1906">
        <v>3</v>
      </c>
      <c r="G1906">
        <v>1443.37</v>
      </c>
      <c r="H1906">
        <v>4330.1099999999997</v>
      </c>
      <c r="I1906">
        <v>101.26</v>
      </c>
      <c r="J1906">
        <v>4228.8500000000004</v>
      </c>
      <c r="K1906">
        <v>291</v>
      </c>
      <c r="L1906" s="11">
        <v>0.82673611111111112</v>
      </c>
      <c r="M1906">
        <f t="shared" si="146"/>
        <v>8</v>
      </c>
      <c r="N1906">
        <f t="shared" si="147"/>
        <v>11</v>
      </c>
      <c r="O1906">
        <f t="shared" si="148"/>
        <v>2024</v>
      </c>
      <c r="P1906" s="4">
        <f t="shared" si="149"/>
        <v>45604</v>
      </c>
      <c r="Q1906" t="s">
        <v>1134</v>
      </c>
      <c r="R1906" t="s">
        <v>1137</v>
      </c>
      <c r="S1906">
        <v>4</v>
      </c>
      <c r="T1906" t="s">
        <v>1143</v>
      </c>
      <c r="U1906" s="11" t="str">
        <f t="shared" si="150"/>
        <v>07:50:30 PM</v>
      </c>
      <c r="BL1906" s="2" t="s">
        <v>3056</v>
      </c>
    </row>
    <row r="1907" spans="1:64" x14ac:dyDescent="0.35">
      <c r="A1907">
        <v>9083</v>
      </c>
      <c r="B1907" t="s">
        <v>8</v>
      </c>
      <c r="C1907" s="1">
        <v>45745</v>
      </c>
      <c r="D1907" t="s">
        <v>34</v>
      </c>
      <c r="E1907" t="s">
        <v>32</v>
      </c>
      <c r="F1907">
        <v>1</v>
      </c>
      <c r="G1907">
        <v>419.15</v>
      </c>
      <c r="H1907">
        <v>419.15</v>
      </c>
      <c r="I1907">
        <v>0</v>
      </c>
      <c r="J1907">
        <v>419.15</v>
      </c>
      <c r="K1907">
        <v>52</v>
      </c>
      <c r="L1907" s="11">
        <v>0.44883101851851853</v>
      </c>
      <c r="M1907">
        <f t="shared" si="146"/>
        <v>29</v>
      </c>
      <c r="N1907">
        <f t="shared" si="147"/>
        <v>3</v>
      </c>
      <c r="O1907">
        <f t="shared" si="148"/>
        <v>2025</v>
      </c>
      <c r="P1907" s="4">
        <f t="shared" si="149"/>
        <v>45745</v>
      </c>
      <c r="Q1907" t="s">
        <v>1139</v>
      </c>
      <c r="R1907" t="s">
        <v>1137</v>
      </c>
      <c r="S1907">
        <v>2</v>
      </c>
      <c r="T1907" t="s">
        <v>1149</v>
      </c>
      <c r="U1907" s="11" t="str">
        <f t="shared" si="150"/>
        <v>10:46:19 AM</v>
      </c>
      <c r="BL1907" s="2" t="s">
        <v>3057</v>
      </c>
    </row>
    <row r="1908" spans="1:64" x14ac:dyDescent="0.35">
      <c r="A1908">
        <v>4201</v>
      </c>
      <c r="B1908" t="s">
        <v>31</v>
      </c>
      <c r="C1908" s="1">
        <v>45713</v>
      </c>
      <c r="D1908" t="s">
        <v>4</v>
      </c>
      <c r="E1908" t="s">
        <v>12</v>
      </c>
      <c r="F1908">
        <v>3</v>
      </c>
      <c r="G1908">
        <v>896.4</v>
      </c>
      <c r="H1908">
        <v>2689.2</v>
      </c>
      <c r="I1908">
        <v>246.51</v>
      </c>
      <c r="J1908">
        <v>2442.69</v>
      </c>
      <c r="K1908">
        <v>211</v>
      </c>
      <c r="L1908" s="11">
        <v>0.2207638888888889</v>
      </c>
      <c r="M1908">
        <f t="shared" si="146"/>
        <v>25</v>
      </c>
      <c r="N1908">
        <f t="shared" si="147"/>
        <v>2</v>
      </c>
      <c r="O1908">
        <f t="shared" si="148"/>
        <v>2025</v>
      </c>
      <c r="P1908" s="4">
        <f t="shared" si="149"/>
        <v>45713</v>
      </c>
      <c r="Q1908" t="s">
        <v>1138</v>
      </c>
      <c r="R1908" t="s">
        <v>1137</v>
      </c>
      <c r="S1908">
        <v>5</v>
      </c>
      <c r="T1908" t="s">
        <v>1144</v>
      </c>
      <c r="U1908" s="11" t="str">
        <f t="shared" si="150"/>
        <v>05:17:54 AM</v>
      </c>
      <c r="BL1908" s="2" t="s">
        <v>3058</v>
      </c>
    </row>
    <row r="1909" spans="1:64" x14ac:dyDescent="0.35">
      <c r="A1909">
        <v>9954</v>
      </c>
      <c r="B1909" t="s">
        <v>3</v>
      </c>
      <c r="C1909" s="1">
        <v>45735</v>
      </c>
      <c r="D1909" t="s">
        <v>1</v>
      </c>
      <c r="E1909" t="s">
        <v>36</v>
      </c>
      <c r="F1909">
        <v>4</v>
      </c>
      <c r="G1909">
        <v>1626.8</v>
      </c>
      <c r="H1909">
        <v>6507.2</v>
      </c>
      <c r="I1909">
        <v>356.07</v>
      </c>
      <c r="J1909">
        <v>6151.13</v>
      </c>
      <c r="K1909">
        <v>202</v>
      </c>
      <c r="L1909" s="11">
        <v>0.9129976851851852</v>
      </c>
      <c r="M1909">
        <f t="shared" si="146"/>
        <v>19</v>
      </c>
      <c r="N1909">
        <f t="shared" si="147"/>
        <v>3</v>
      </c>
      <c r="O1909">
        <f t="shared" si="148"/>
        <v>2025</v>
      </c>
      <c r="P1909" s="4">
        <f t="shared" si="149"/>
        <v>45735</v>
      </c>
      <c r="Q1909" t="s">
        <v>1138</v>
      </c>
      <c r="R1909" t="s">
        <v>1135</v>
      </c>
      <c r="S1909">
        <v>5</v>
      </c>
      <c r="T1909" t="s">
        <v>1141</v>
      </c>
      <c r="U1909" s="11" t="str">
        <f t="shared" si="150"/>
        <v>09:54:43 PM</v>
      </c>
      <c r="BL1909" s="2" t="s">
        <v>3059</v>
      </c>
    </row>
    <row r="1910" spans="1:64" x14ac:dyDescent="0.35">
      <c r="A1910">
        <v>5016</v>
      </c>
      <c r="B1910" t="s">
        <v>31</v>
      </c>
      <c r="C1910" s="1">
        <v>45261</v>
      </c>
      <c r="D1910" t="s">
        <v>34</v>
      </c>
      <c r="E1910" t="s">
        <v>18</v>
      </c>
      <c r="F1910">
        <v>1</v>
      </c>
      <c r="G1910">
        <v>1918.13</v>
      </c>
      <c r="H1910">
        <v>1918.13</v>
      </c>
      <c r="I1910">
        <v>383.46</v>
      </c>
      <c r="J1910">
        <v>1534.67</v>
      </c>
      <c r="K1910">
        <v>444</v>
      </c>
      <c r="L1910" s="11">
        <v>0.62413194444444442</v>
      </c>
      <c r="M1910">
        <f t="shared" si="146"/>
        <v>1</v>
      </c>
      <c r="N1910">
        <f t="shared" si="147"/>
        <v>12</v>
      </c>
      <c r="O1910">
        <f t="shared" si="148"/>
        <v>2023</v>
      </c>
      <c r="P1910" s="4">
        <f t="shared" si="149"/>
        <v>45261</v>
      </c>
      <c r="Q1910" t="s">
        <v>1139</v>
      </c>
      <c r="R1910" t="s">
        <v>1135</v>
      </c>
      <c r="S1910">
        <v>2</v>
      </c>
      <c r="T1910" t="s">
        <v>1145</v>
      </c>
      <c r="U1910" s="11" t="str">
        <f t="shared" si="150"/>
        <v>02:58:45 PM</v>
      </c>
      <c r="BL1910" s="2" t="s">
        <v>3060</v>
      </c>
    </row>
    <row r="1911" spans="1:64" x14ac:dyDescent="0.35">
      <c r="A1911">
        <v>1104</v>
      </c>
      <c r="B1911" t="s">
        <v>31</v>
      </c>
      <c r="C1911" s="1">
        <v>45869</v>
      </c>
      <c r="D1911" t="s">
        <v>1</v>
      </c>
      <c r="E1911" t="s">
        <v>7</v>
      </c>
      <c r="F1911">
        <v>1</v>
      </c>
      <c r="G1911">
        <v>208.33</v>
      </c>
      <c r="H1911">
        <v>208.33</v>
      </c>
      <c r="I1911">
        <v>20.75</v>
      </c>
      <c r="J1911">
        <v>187.58</v>
      </c>
      <c r="K1911">
        <v>431</v>
      </c>
      <c r="L1911" s="11">
        <v>0.62747685185185187</v>
      </c>
      <c r="M1911">
        <f t="shared" si="146"/>
        <v>31</v>
      </c>
      <c r="N1911">
        <f t="shared" si="147"/>
        <v>7</v>
      </c>
      <c r="O1911">
        <f t="shared" si="148"/>
        <v>2025</v>
      </c>
      <c r="P1911" s="4">
        <f t="shared" si="149"/>
        <v>45869</v>
      </c>
      <c r="Q1911" t="s">
        <v>1138</v>
      </c>
      <c r="R1911" t="s">
        <v>1137</v>
      </c>
      <c r="S1911">
        <v>5</v>
      </c>
      <c r="T1911" t="s">
        <v>1141</v>
      </c>
      <c r="U1911" s="11" t="str">
        <f t="shared" si="150"/>
        <v>03:03:34 PM</v>
      </c>
      <c r="BL1911" s="2" t="s">
        <v>3061</v>
      </c>
    </row>
    <row r="1912" spans="1:64" x14ac:dyDescent="0.35">
      <c r="A1912">
        <v>7718</v>
      </c>
      <c r="B1912" t="s">
        <v>20</v>
      </c>
      <c r="C1912" s="1">
        <v>45163</v>
      </c>
      <c r="D1912" t="s">
        <v>1</v>
      </c>
      <c r="E1912" t="s">
        <v>14</v>
      </c>
      <c r="F1912">
        <v>2</v>
      </c>
      <c r="G1912">
        <v>2368.8200000000002</v>
      </c>
      <c r="H1912">
        <v>4737.6400000000003</v>
      </c>
      <c r="I1912">
        <v>189.24</v>
      </c>
      <c r="J1912">
        <v>4548.3999999999996</v>
      </c>
      <c r="K1912">
        <v>488</v>
      </c>
      <c r="L1912" s="11">
        <v>0.78631944444444446</v>
      </c>
      <c r="M1912">
        <f t="shared" si="146"/>
        <v>25</v>
      </c>
      <c r="N1912">
        <f t="shared" si="147"/>
        <v>8</v>
      </c>
      <c r="O1912">
        <f t="shared" si="148"/>
        <v>2023</v>
      </c>
      <c r="P1912" s="4">
        <f t="shared" si="149"/>
        <v>45163</v>
      </c>
      <c r="Q1912" t="s">
        <v>1136</v>
      </c>
      <c r="R1912" t="s">
        <v>1137</v>
      </c>
      <c r="S1912">
        <v>1</v>
      </c>
      <c r="T1912" t="s">
        <v>1149</v>
      </c>
      <c r="U1912" s="11" t="str">
        <f t="shared" si="150"/>
        <v>06:52:18 PM</v>
      </c>
      <c r="BL1912" s="2" t="s">
        <v>3062</v>
      </c>
    </row>
    <row r="1913" spans="1:64" x14ac:dyDescent="0.35">
      <c r="A1913">
        <v>4817</v>
      </c>
      <c r="B1913" t="s">
        <v>13</v>
      </c>
      <c r="C1913" s="1">
        <v>45565</v>
      </c>
      <c r="D1913" t="s">
        <v>16</v>
      </c>
      <c r="E1913" t="s">
        <v>21</v>
      </c>
      <c r="F1913">
        <v>1</v>
      </c>
      <c r="G1913">
        <v>1310.57</v>
      </c>
      <c r="H1913">
        <v>1310.57</v>
      </c>
      <c r="I1913">
        <v>305.44</v>
      </c>
      <c r="J1913">
        <v>1005.13</v>
      </c>
      <c r="K1913">
        <v>148</v>
      </c>
      <c r="L1913" s="11">
        <v>5.8969907407407408E-2</v>
      </c>
      <c r="M1913">
        <f t="shared" si="146"/>
        <v>30</v>
      </c>
      <c r="N1913">
        <f t="shared" si="147"/>
        <v>9</v>
      </c>
      <c r="O1913">
        <f t="shared" si="148"/>
        <v>2024</v>
      </c>
      <c r="P1913" s="4">
        <f t="shared" si="149"/>
        <v>45565</v>
      </c>
      <c r="Q1913" t="s">
        <v>1139</v>
      </c>
      <c r="R1913" t="s">
        <v>1135</v>
      </c>
      <c r="S1913">
        <v>2</v>
      </c>
      <c r="T1913" t="s">
        <v>1145</v>
      </c>
      <c r="U1913" s="11" t="str">
        <f t="shared" si="150"/>
        <v>01:24:55 AM</v>
      </c>
      <c r="BL1913" s="2" t="s">
        <v>3063</v>
      </c>
    </row>
    <row r="1914" spans="1:64" x14ac:dyDescent="0.35">
      <c r="A1914">
        <v>6675</v>
      </c>
      <c r="B1914" t="s">
        <v>13</v>
      </c>
      <c r="C1914" s="1">
        <v>45638</v>
      </c>
      <c r="D1914" t="s">
        <v>27</v>
      </c>
      <c r="E1914" t="s">
        <v>32</v>
      </c>
      <c r="F1914">
        <v>1</v>
      </c>
      <c r="G1914">
        <v>563.57000000000005</v>
      </c>
      <c r="H1914">
        <v>563.57000000000005</v>
      </c>
      <c r="I1914">
        <v>112.88</v>
      </c>
      <c r="J1914">
        <v>450.69</v>
      </c>
      <c r="K1914">
        <v>18</v>
      </c>
      <c r="L1914" s="11">
        <v>0.64284722222222224</v>
      </c>
      <c r="M1914">
        <f t="shared" si="146"/>
        <v>12</v>
      </c>
      <c r="N1914">
        <f t="shared" si="147"/>
        <v>12</v>
      </c>
      <c r="O1914">
        <f t="shared" si="148"/>
        <v>2024</v>
      </c>
      <c r="P1914" s="4">
        <f t="shared" si="149"/>
        <v>45638</v>
      </c>
      <c r="Q1914" t="s">
        <v>1139</v>
      </c>
      <c r="R1914" t="s">
        <v>1137</v>
      </c>
      <c r="S1914">
        <v>4</v>
      </c>
      <c r="T1914" t="s">
        <v>1149</v>
      </c>
      <c r="U1914" s="11" t="str">
        <f t="shared" si="150"/>
        <v>03:25:42 PM</v>
      </c>
      <c r="BL1914" s="2" t="s">
        <v>3064</v>
      </c>
    </row>
    <row r="1915" spans="1:64" x14ac:dyDescent="0.35">
      <c r="A1915">
        <v>1157</v>
      </c>
      <c r="B1915" t="s">
        <v>15</v>
      </c>
      <c r="C1915" s="1">
        <v>45405</v>
      </c>
      <c r="D1915" t="s">
        <v>1</v>
      </c>
      <c r="E1915" t="s">
        <v>12</v>
      </c>
      <c r="F1915">
        <v>1</v>
      </c>
      <c r="G1915">
        <v>1482.38</v>
      </c>
      <c r="H1915">
        <v>1482.38</v>
      </c>
      <c r="I1915">
        <v>148.57</v>
      </c>
      <c r="J1915">
        <v>1333.81</v>
      </c>
      <c r="K1915">
        <v>188</v>
      </c>
      <c r="L1915" s="11">
        <v>5.9953703703703705E-3</v>
      </c>
      <c r="M1915">
        <f t="shared" si="146"/>
        <v>23</v>
      </c>
      <c r="N1915">
        <f t="shared" si="147"/>
        <v>4</v>
      </c>
      <c r="O1915">
        <f t="shared" si="148"/>
        <v>2024</v>
      </c>
      <c r="P1915" s="4">
        <f t="shared" si="149"/>
        <v>45405</v>
      </c>
      <c r="Q1915" t="s">
        <v>1139</v>
      </c>
      <c r="R1915" t="s">
        <v>1135</v>
      </c>
      <c r="S1915">
        <v>2</v>
      </c>
      <c r="T1915" t="s">
        <v>1141</v>
      </c>
      <c r="U1915" s="11" t="str">
        <f t="shared" si="150"/>
        <v>12:08:38 AM</v>
      </c>
      <c r="BL1915" s="2" t="s">
        <v>3065</v>
      </c>
    </row>
    <row r="1916" spans="1:64" x14ac:dyDescent="0.35">
      <c r="A1916">
        <v>1023</v>
      </c>
      <c r="B1916" t="s">
        <v>31</v>
      </c>
      <c r="C1916" s="1">
        <v>45734</v>
      </c>
      <c r="D1916" t="s">
        <v>23</v>
      </c>
      <c r="E1916" t="s">
        <v>7</v>
      </c>
      <c r="F1916">
        <v>1</v>
      </c>
      <c r="G1916">
        <v>2284.9899999999998</v>
      </c>
      <c r="H1916">
        <v>2284.9899999999998</v>
      </c>
      <c r="I1916">
        <v>342.79</v>
      </c>
      <c r="J1916">
        <v>1942.2</v>
      </c>
      <c r="K1916">
        <v>381</v>
      </c>
      <c r="L1916" s="11">
        <v>0.34001157407407406</v>
      </c>
      <c r="M1916">
        <f t="shared" si="146"/>
        <v>18</v>
      </c>
      <c r="N1916">
        <f t="shared" si="147"/>
        <v>3</v>
      </c>
      <c r="O1916">
        <f t="shared" si="148"/>
        <v>2025</v>
      </c>
      <c r="P1916" s="4">
        <f t="shared" si="149"/>
        <v>45734</v>
      </c>
      <c r="Q1916" t="s">
        <v>1136</v>
      </c>
      <c r="R1916" t="s">
        <v>1137</v>
      </c>
      <c r="S1916">
        <v>3</v>
      </c>
      <c r="T1916" t="s">
        <v>1150</v>
      </c>
      <c r="U1916" s="11" t="str">
        <f t="shared" si="150"/>
        <v>08:09:37 AM</v>
      </c>
      <c r="BL1916" s="2" t="s">
        <v>3066</v>
      </c>
    </row>
    <row r="1917" spans="1:64" x14ac:dyDescent="0.35">
      <c r="A1917">
        <v>7164</v>
      </c>
      <c r="B1917" t="s">
        <v>3</v>
      </c>
      <c r="C1917" s="1">
        <v>45804</v>
      </c>
      <c r="D1917" t="s">
        <v>11</v>
      </c>
      <c r="E1917" t="s">
        <v>36</v>
      </c>
      <c r="F1917">
        <v>4</v>
      </c>
      <c r="G1917">
        <v>467.29</v>
      </c>
      <c r="H1917">
        <v>1869.16</v>
      </c>
      <c r="I1917">
        <v>280.54000000000002</v>
      </c>
      <c r="J1917">
        <v>1588.62</v>
      </c>
      <c r="K1917">
        <v>103</v>
      </c>
      <c r="L1917" s="11">
        <v>0.97028935185185183</v>
      </c>
      <c r="M1917">
        <f t="shared" si="146"/>
        <v>27</v>
      </c>
      <c r="N1917">
        <f t="shared" si="147"/>
        <v>5</v>
      </c>
      <c r="O1917">
        <f t="shared" si="148"/>
        <v>2025</v>
      </c>
      <c r="P1917" s="4">
        <f t="shared" si="149"/>
        <v>45804</v>
      </c>
      <c r="Q1917" t="s">
        <v>1139</v>
      </c>
      <c r="R1917" t="s">
        <v>1137</v>
      </c>
      <c r="S1917">
        <v>4</v>
      </c>
      <c r="T1917" t="s">
        <v>1150</v>
      </c>
      <c r="U1917" s="11" t="str">
        <f t="shared" si="150"/>
        <v>11:17:13 PM</v>
      </c>
      <c r="BL1917" s="2" t="s">
        <v>3067</v>
      </c>
    </row>
    <row r="1918" spans="1:64" x14ac:dyDescent="0.35">
      <c r="A1918">
        <v>6038</v>
      </c>
      <c r="B1918" t="s">
        <v>31</v>
      </c>
      <c r="C1918" s="1">
        <v>45225</v>
      </c>
      <c r="D1918" t="s">
        <v>11</v>
      </c>
      <c r="E1918" t="s">
        <v>2</v>
      </c>
      <c r="F1918">
        <v>4</v>
      </c>
      <c r="G1918">
        <v>369.35</v>
      </c>
      <c r="H1918">
        <v>1477.4</v>
      </c>
      <c r="I1918">
        <v>230.74</v>
      </c>
      <c r="J1918">
        <v>1246.6600000000001</v>
      </c>
      <c r="K1918">
        <v>146</v>
      </c>
      <c r="L1918" s="11">
        <v>0.97577546296296291</v>
      </c>
      <c r="M1918">
        <f t="shared" si="146"/>
        <v>26</v>
      </c>
      <c r="N1918">
        <f t="shared" si="147"/>
        <v>10</v>
      </c>
      <c r="O1918">
        <f t="shared" si="148"/>
        <v>2023</v>
      </c>
      <c r="P1918" s="4">
        <f t="shared" si="149"/>
        <v>45225</v>
      </c>
      <c r="Q1918" t="s">
        <v>1136</v>
      </c>
      <c r="R1918" t="s">
        <v>1135</v>
      </c>
      <c r="S1918">
        <v>3</v>
      </c>
      <c r="T1918" t="s">
        <v>1141</v>
      </c>
      <c r="U1918" s="11" t="str">
        <f t="shared" si="150"/>
        <v>11:25:07 PM</v>
      </c>
      <c r="BL1918" s="2" t="s">
        <v>3068</v>
      </c>
    </row>
    <row r="1919" spans="1:64" x14ac:dyDescent="0.35">
      <c r="A1919">
        <v>4361</v>
      </c>
      <c r="B1919" t="s">
        <v>3</v>
      </c>
      <c r="C1919" s="1">
        <v>45556</v>
      </c>
      <c r="D1919" t="s">
        <v>9</v>
      </c>
      <c r="E1919" t="s">
        <v>33</v>
      </c>
      <c r="F1919">
        <v>2</v>
      </c>
      <c r="G1919">
        <v>353.58</v>
      </c>
      <c r="H1919">
        <v>707.16</v>
      </c>
      <c r="I1919">
        <v>0</v>
      </c>
      <c r="J1919">
        <v>707.16</v>
      </c>
      <c r="K1919">
        <v>198</v>
      </c>
      <c r="L1919" s="11">
        <v>0.97767361111111106</v>
      </c>
      <c r="M1919">
        <f t="shared" si="146"/>
        <v>21</v>
      </c>
      <c r="N1919">
        <f t="shared" si="147"/>
        <v>9</v>
      </c>
      <c r="O1919">
        <f t="shared" si="148"/>
        <v>2024</v>
      </c>
      <c r="P1919" s="4">
        <f t="shared" si="149"/>
        <v>45556</v>
      </c>
      <c r="Q1919" t="s">
        <v>1139</v>
      </c>
      <c r="R1919" t="s">
        <v>1135</v>
      </c>
      <c r="S1919">
        <v>4</v>
      </c>
      <c r="T1919" t="s">
        <v>1146</v>
      </c>
      <c r="U1919" s="11" t="str">
        <f t="shared" si="150"/>
        <v>11:27:51 PM</v>
      </c>
      <c r="BL1919" s="2" t="s">
        <v>3069</v>
      </c>
    </row>
    <row r="1920" spans="1:64" x14ac:dyDescent="0.35">
      <c r="A1920">
        <v>4902</v>
      </c>
      <c r="B1920" t="s">
        <v>31</v>
      </c>
      <c r="C1920" s="1">
        <v>45471</v>
      </c>
      <c r="D1920" t="s">
        <v>6</v>
      </c>
      <c r="E1920" t="s">
        <v>26</v>
      </c>
      <c r="F1920">
        <v>2</v>
      </c>
      <c r="G1920">
        <v>2216.1</v>
      </c>
      <c r="H1920">
        <v>4432.2</v>
      </c>
      <c r="I1920">
        <v>664.83</v>
      </c>
      <c r="J1920">
        <v>3767.37</v>
      </c>
      <c r="K1920">
        <v>418</v>
      </c>
      <c r="L1920" s="11">
        <v>0.70548611111111115</v>
      </c>
      <c r="M1920">
        <f t="shared" si="146"/>
        <v>28</v>
      </c>
      <c r="N1920">
        <f t="shared" si="147"/>
        <v>6</v>
      </c>
      <c r="O1920">
        <f t="shared" si="148"/>
        <v>2024</v>
      </c>
      <c r="P1920" s="4">
        <f t="shared" si="149"/>
        <v>45471</v>
      </c>
      <c r="Q1920" t="s">
        <v>1134</v>
      </c>
      <c r="R1920" t="s">
        <v>1135</v>
      </c>
      <c r="S1920">
        <v>5</v>
      </c>
      <c r="T1920" t="s">
        <v>1146</v>
      </c>
      <c r="U1920" s="11" t="str">
        <f t="shared" si="150"/>
        <v>04:55:54 PM</v>
      </c>
      <c r="BL1920" s="2" t="s">
        <v>3070</v>
      </c>
    </row>
    <row r="1921" spans="1:64" x14ac:dyDescent="0.35">
      <c r="A1921">
        <v>9061</v>
      </c>
      <c r="B1921" t="s">
        <v>15</v>
      </c>
      <c r="C1921" s="1">
        <v>45191</v>
      </c>
      <c r="D1921" t="s">
        <v>1</v>
      </c>
      <c r="E1921" t="s">
        <v>14</v>
      </c>
      <c r="F1921">
        <v>5</v>
      </c>
      <c r="G1921">
        <v>2225.23</v>
      </c>
      <c r="H1921">
        <v>11126.15</v>
      </c>
      <c r="I1921">
        <v>2225.23</v>
      </c>
      <c r="J1921">
        <v>8900.92</v>
      </c>
      <c r="K1921">
        <v>431</v>
      </c>
      <c r="L1921" s="11">
        <v>0.13734953703703703</v>
      </c>
      <c r="M1921">
        <f t="shared" si="146"/>
        <v>22</v>
      </c>
      <c r="N1921">
        <f t="shared" si="147"/>
        <v>9</v>
      </c>
      <c r="O1921">
        <f t="shared" si="148"/>
        <v>2023</v>
      </c>
      <c r="P1921" s="4">
        <f t="shared" si="149"/>
        <v>45191</v>
      </c>
      <c r="Q1921" t="s">
        <v>1138</v>
      </c>
      <c r="R1921" t="s">
        <v>1135</v>
      </c>
      <c r="S1921">
        <v>2</v>
      </c>
      <c r="T1921" t="s">
        <v>1143</v>
      </c>
      <c r="U1921" s="11" t="str">
        <f t="shared" si="150"/>
        <v>03:17:47 AM</v>
      </c>
      <c r="BL1921" s="2" t="s">
        <v>3071</v>
      </c>
    </row>
    <row r="1922" spans="1:64" x14ac:dyDescent="0.35">
      <c r="A1922">
        <v>3332</v>
      </c>
      <c r="B1922" t="s">
        <v>3</v>
      </c>
      <c r="C1922" s="1">
        <v>45697</v>
      </c>
      <c r="D1922" t="s">
        <v>1</v>
      </c>
      <c r="E1922" t="s">
        <v>26</v>
      </c>
      <c r="F1922">
        <v>1</v>
      </c>
      <c r="G1922">
        <v>603.41</v>
      </c>
      <c r="H1922">
        <v>603.41</v>
      </c>
      <c r="I1922">
        <v>120.35</v>
      </c>
      <c r="J1922">
        <v>483.06</v>
      </c>
      <c r="K1922">
        <v>92</v>
      </c>
      <c r="L1922" s="11">
        <v>0.25825231481481481</v>
      </c>
      <c r="M1922">
        <f t="shared" ref="M1922:M1981" si="151">DAY(C1922)</f>
        <v>9</v>
      </c>
      <c r="N1922">
        <f t="shared" ref="N1922:N1981" si="152">MONTH(C1922)</f>
        <v>2</v>
      </c>
      <c r="O1922">
        <f t="shared" ref="O1922:O1981" si="153">YEAR(C1922)</f>
        <v>2025</v>
      </c>
      <c r="P1922" s="4">
        <f t="shared" si="149"/>
        <v>45697</v>
      </c>
      <c r="Q1922" t="s">
        <v>1134</v>
      </c>
      <c r="R1922" t="s">
        <v>1137</v>
      </c>
      <c r="S1922">
        <v>1</v>
      </c>
      <c r="T1922" t="s">
        <v>1143</v>
      </c>
      <c r="U1922" s="11" t="str">
        <f t="shared" si="150"/>
        <v>06:11:53 AM</v>
      </c>
      <c r="BL1922" s="2" t="s">
        <v>3072</v>
      </c>
    </row>
    <row r="1923" spans="1:64" x14ac:dyDescent="0.35">
      <c r="A1923">
        <v>5584</v>
      </c>
      <c r="B1923" t="s">
        <v>15</v>
      </c>
      <c r="C1923" s="1">
        <v>45217</v>
      </c>
      <c r="D1923" t="s">
        <v>9</v>
      </c>
      <c r="E1923" t="s">
        <v>10</v>
      </c>
      <c r="F1923">
        <v>4</v>
      </c>
      <c r="G1923">
        <v>2450.9899999999998</v>
      </c>
      <c r="H1923">
        <v>9803.9599999999991</v>
      </c>
      <c r="I1923">
        <v>980.23</v>
      </c>
      <c r="J1923">
        <v>8823.73</v>
      </c>
      <c r="K1923">
        <v>308</v>
      </c>
      <c r="L1923" s="11">
        <v>0.66430555555555559</v>
      </c>
      <c r="M1923">
        <f t="shared" si="151"/>
        <v>18</v>
      </c>
      <c r="N1923">
        <f t="shared" si="152"/>
        <v>10</v>
      </c>
      <c r="O1923">
        <f t="shared" si="153"/>
        <v>2023</v>
      </c>
      <c r="P1923" s="4">
        <f t="shared" ref="P1923:P1981" si="154">DATE(O1923,N1923,M1923)</f>
        <v>45217</v>
      </c>
      <c r="Q1923" t="s">
        <v>1138</v>
      </c>
      <c r="R1923" t="s">
        <v>1135</v>
      </c>
      <c r="S1923">
        <v>4</v>
      </c>
      <c r="T1923" t="s">
        <v>1145</v>
      </c>
      <c r="U1923" s="11" t="str">
        <f t="shared" si="150"/>
        <v>03:56:36 PM</v>
      </c>
      <c r="BL1923" s="2" t="s">
        <v>3073</v>
      </c>
    </row>
    <row r="1924" spans="1:64" x14ac:dyDescent="0.35">
      <c r="A1924">
        <v>1719</v>
      </c>
      <c r="B1924" t="s">
        <v>15</v>
      </c>
      <c r="C1924" s="1">
        <v>45860</v>
      </c>
      <c r="D1924" t="s">
        <v>27</v>
      </c>
      <c r="E1924" t="s">
        <v>26</v>
      </c>
      <c r="F1924">
        <v>2</v>
      </c>
      <c r="G1924">
        <v>268.92</v>
      </c>
      <c r="H1924">
        <v>537.84</v>
      </c>
      <c r="I1924">
        <v>288.83999999999997</v>
      </c>
      <c r="J1924">
        <v>249</v>
      </c>
      <c r="K1924">
        <v>54</v>
      </c>
      <c r="L1924" s="11">
        <v>0.9080555555555555</v>
      </c>
      <c r="M1924">
        <f t="shared" si="151"/>
        <v>22</v>
      </c>
      <c r="N1924">
        <f t="shared" si="152"/>
        <v>7</v>
      </c>
      <c r="O1924">
        <f t="shared" si="153"/>
        <v>2025</v>
      </c>
      <c r="P1924" s="4">
        <f t="shared" si="154"/>
        <v>45860</v>
      </c>
      <c r="Q1924" t="s">
        <v>1136</v>
      </c>
      <c r="R1924" t="s">
        <v>1137</v>
      </c>
      <c r="S1924">
        <v>4</v>
      </c>
      <c r="T1924" t="s">
        <v>1145</v>
      </c>
      <c r="U1924" s="11" t="str">
        <f t="shared" si="150"/>
        <v>09:47:36 PM</v>
      </c>
      <c r="BL1924" s="2" t="s">
        <v>3074</v>
      </c>
    </row>
    <row r="1925" spans="1:64" x14ac:dyDescent="0.35">
      <c r="A1925">
        <v>4792</v>
      </c>
      <c r="B1925" t="s">
        <v>20</v>
      </c>
      <c r="C1925" s="1">
        <v>45841</v>
      </c>
      <c r="D1925" t="s">
        <v>24</v>
      </c>
      <c r="E1925" t="s">
        <v>28</v>
      </c>
      <c r="F1925">
        <v>3</v>
      </c>
      <c r="G1925">
        <v>1153.7</v>
      </c>
      <c r="H1925">
        <v>3461.1</v>
      </c>
      <c r="I1925">
        <v>100.43</v>
      </c>
      <c r="J1925">
        <v>3360.67</v>
      </c>
      <c r="K1925">
        <v>373</v>
      </c>
      <c r="L1925" s="11">
        <v>0.43244212962962963</v>
      </c>
      <c r="M1925">
        <f t="shared" si="151"/>
        <v>3</v>
      </c>
      <c r="N1925">
        <f t="shared" si="152"/>
        <v>7</v>
      </c>
      <c r="O1925">
        <f t="shared" si="153"/>
        <v>2025</v>
      </c>
      <c r="P1925" s="4">
        <f t="shared" si="154"/>
        <v>45841</v>
      </c>
      <c r="Q1925" t="s">
        <v>1134</v>
      </c>
      <c r="R1925" t="s">
        <v>1135</v>
      </c>
      <c r="S1925">
        <v>3</v>
      </c>
      <c r="T1925" t="s">
        <v>1150</v>
      </c>
      <c r="U1925" s="11" t="str">
        <f t="shared" si="150"/>
        <v>10:22:43 AM</v>
      </c>
      <c r="BL1925" s="2" t="s">
        <v>3075</v>
      </c>
    </row>
    <row r="1926" spans="1:64" x14ac:dyDescent="0.35">
      <c r="A1926">
        <v>9515</v>
      </c>
      <c r="B1926" t="s">
        <v>31</v>
      </c>
      <c r="C1926" s="1">
        <v>45465</v>
      </c>
      <c r="D1926" t="s">
        <v>16</v>
      </c>
      <c r="E1926" t="s">
        <v>33</v>
      </c>
      <c r="F1926">
        <v>4</v>
      </c>
      <c r="G1926">
        <v>1867.5</v>
      </c>
      <c r="H1926">
        <v>7470</v>
      </c>
      <c r="I1926">
        <v>1120.5</v>
      </c>
      <c r="J1926">
        <v>6349.5</v>
      </c>
      <c r="K1926">
        <v>190</v>
      </c>
      <c r="L1926" s="11">
        <v>0.7437731481481481</v>
      </c>
      <c r="M1926">
        <f t="shared" si="151"/>
        <v>22</v>
      </c>
      <c r="N1926">
        <f t="shared" si="152"/>
        <v>6</v>
      </c>
      <c r="O1926">
        <f t="shared" si="153"/>
        <v>2024</v>
      </c>
      <c r="P1926" s="4">
        <f t="shared" si="154"/>
        <v>45465</v>
      </c>
      <c r="Q1926" t="s">
        <v>1139</v>
      </c>
      <c r="R1926" t="s">
        <v>1135</v>
      </c>
      <c r="S1926">
        <v>5</v>
      </c>
      <c r="T1926" t="s">
        <v>1146</v>
      </c>
      <c r="U1926" s="11" t="str">
        <f t="shared" si="150"/>
        <v>05:51:02 PM</v>
      </c>
      <c r="BL1926" s="2" t="s">
        <v>3076</v>
      </c>
    </row>
    <row r="1927" spans="1:64" x14ac:dyDescent="0.35">
      <c r="A1927">
        <v>7102</v>
      </c>
      <c r="B1927" t="s">
        <v>13</v>
      </c>
      <c r="C1927" s="1">
        <v>45501</v>
      </c>
      <c r="D1927" t="s">
        <v>16</v>
      </c>
      <c r="E1927" t="s">
        <v>28</v>
      </c>
      <c r="F1927">
        <v>3</v>
      </c>
      <c r="G1927">
        <v>1936.39</v>
      </c>
      <c r="H1927">
        <v>5809.17</v>
      </c>
      <c r="I1927">
        <v>871.5</v>
      </c>
      <c r="J1927">
        <v>4937.67</v>
      </c>
      <c r="K1927">
        <v>460</v>
      </c>
      <c r="L1927" s="11">
        <v>2.9039351851851851E-2</v>
      </c>
      <c r="M1927">
        <f t="shared" si="151"/>
        <v>28</v>
      </c>
      <c r="N1927">
        <f t="shared" si="152"/>
        <v>7</v>
      </c>
      <c r="O1927">
        <f t="shared" si="153"/>
        <v>2024</v>
      </c>
      <c r="P1927" s="4">
        <f t="shared" si="154"/>
        <v>45501</v>
      </c>
      <c r="Q1927" t="s">
        <v>1138</v>
      </c>
      <c r="R1927" t="s">
        <v>1137</v>
      </c>
      <c r="S1927">
        <v>3</v>
      </c>
      <c r="T1927" t="s">
        <v>1144</v>
      </c>
      <c r="U1927" s="11" t="str">
        <f t="shared" si="150"/>
        <v>12:41:49 AM</v>
      </c>
      <c r="BL1927" s="2" t="s">
        <v>3077</v>
      </c>
    </row>
    <row r="1928" spans="1:64" x14ac:dyDescent="0.35">
      <c r="A1928">
        <v>2391</v>
      </c>
      <c r="B1928" t="s">
        <v>8</v>
      </c>
      <c r="C1928" s="1">
        <v>45596</v>
      </c>
      <c r="D1928" t="s">
        <v>24</v>
      </c>
      <c r="E1928" t="s">
        <v>22</v>
      </c>
      <c r="F1928">
        <v>2</v>
      </c>
      <c r="G1928">
        <v>371.84</v>
      </c>
      <c r="H1928">
        <v>743.68</v>
      </c>
      <c r="I1928">
        <v>74.7</v>
      </c>
      <c r="J1928">
        <v>668.98</v>
      </c>
      <c r="K1928">
        <v>325</v>
      </c>
      <c r="L1928" s="11">
        <v>0.68526620370370372</v>
      </c>
      <c r="M1928">
        <f t="shared" si="151"/>
        <v>31</v>
      </c>
      <c r="N1928">
        <f t="shared" si="152"/>
        <v>10</v>
      </c>
      <c r="O1928">
        <f t="shared" si="153"/>
        <v>2024</v>
      </c>
      <c r="P1928" s="4">
        <f t="shared" si="154"/>
        <v>45596</v>
      </c>
      <c r="Q1928" t="s">
        <v>1138</v>
      </c>
      <c r="R1928" t="s">
        <v>1135</v>
      </c>
      <c r="S1928">
        <v>3</v>
      </c>
      <c r="T1928" t="s">
        <v>1141</v>
      </c>
      <c r="U1928" s="11" t="str">
        <f t="shared" si="150"/>
        <v>04:26:47 PM</v>
      </c>
      <c r="BL1928" s="2" t="s">
        <v>3078</v>
      </c>
    </row>
    <row r="1929" spans="1:64" x14ac:dyDescent="0.35">
      <c r="A1929">
        <v>2565</v>
      </c>
      <c r="B1929" t="s">
        <v>8</v>
      </c>
      <c r="C1929" s="1">
        <v>45537</v>
      </c>
      <c r="D1929" t="s">
        <v>1</v>
      </c>
      <c r="E1929" t="s">
        <v>38</v>
      </c>
      <c r="F1929">
        <v>1</v>
      </c>
      <c r="G1929">
        <v>1826.83</v>
      </c>
      <c r="H1929">
        <v>1826.83</v>
      </c>
      <c r="I1929">
        <v>273.89999999999998</v>
      </c>
      <c r="J1929">
        <v>1552.93</v>
      </c>
      <c r="K1929">
        <v>233</v>
      </c>
      <c r="L1929" s="11">
        <v>0.17957175925925925</v>
      </c>
      <c r="M1929">
        <f t="shared" si="151"/>
        <v>2</v>
      </c>
      <c r="N1929">
        <f t="shared" si="152"/>
        <v>9</v>
      </c>
      <c r="O1929">
        <f t="shared" si="153"/>
        <v>2024</v>
      </c>
      <c r="P1929" s="4">
        <f t="shared" si="154"/>
        <v>45537</v>
      </c>
      <c r="Q1929" t="s">
        <v>1134</v>
      </c>
      <c r="R1929" t="s">
        <v>1135</v>
      </c>
      <c r="S1929">
        <v>5</v>
      </c>
      <c r="T1929" t="s">
        <v>1144</v>
      </c>
      <c r="U1929" s="11" t="str">
        <f t="shared" si="150"/>
        <v>04:18:35 AM</v>
      </c>
      <c r="BL1929" s="2" t="s">
        <v>3079</v>
      </c>
    </row>
    <row r="1930" spans="1:64" x14ac:dyDescent="0.35">
      <c r="A1930">
        <v>3187</v>
      </c>
      <c r="B1930" t="s">
        <v>20</v>
      </c>
      <c r="C1930" s="1">
        <v>45639</v>
      </c>
      <c r="D1930" t="s">
        <v>17</v>
      </c>
      <c r="E1930" t="s">
        <v>37</v>
      </c>
      <c r="F1930">
        <v>1</v>
      </c>
      <c r="G1930">
        <v>1842.6</v>
      </c>
      <c r="H1930">
        <v>1842.6</v>
      </c>
      <c r="I1930">
        <v>214.97</v>
      </c>
      <c r="J1930">
        <v>1627.63</v>
      </c>
      <c r="K1930">
        <v>78</v>
      </c>
      <c r="L1930" s="11">
        <v>0.84640046296296301</v>
      </c>
      <c r="M1930">
        <f t="shared" si="151"/>
        <v>13</v>
      </c>
      <c r="N1930">
        <f t="shared" si="152"/>
        <v>12</v>
      </c>
      <c r="O1930">
        <f t="shared" si="153"/>
        <v>2024</v>
      </c>
      <c r="P1930" s="4">
        <f t="shared" si="154"/>
        <v>45639</v>
      </c>
      <c r="Q1930" t="s">
        <v>1136</v>
      </c>
      <c r="R1930" t="s">
        <v>1135</v>
      </c>
      <c r="S1930">
        <v>1</v>
      </c>
      <c r="T1930" t="s">
        <v>1145</v>
      </c>
      <c r="U1930" s="11" t="str">
        <f t="shared" si="150"/>
        <v>08:18:49 PM</v>
      </c>
      <c r="BL1930" s="2" t="s">
        <v>3080</v>
      </c>
    </row>
    <row r="1931" spans="1:64" x14ac:dyDescent="0.35">
      <c r="A1931">
        <v>7461</v>
      </c>
      <c r="B1931" t="s">
        <v>13</v>
      </c>
      <c r="C1931" s="1">
        <v>45203</v>
      </c>
      <c r="D1931" t="s">
        <v>1</v>
      </c>
      <c r="E1931" t="s">
        <v>29</v>
      </c>
      <c r="F1931">
        <v>4</v>
      </c>
      <c r="G1931">
        <v>1122.99</v>
      </c>
      <c r="H1931">
        <v>4491.96</v>
      </c>
      <c r="I1931">
        <v>898.06</v>
      </c>
      <c r="J1931">
        <v>3593.9</v>
      </c>
      <c r="K1931">
        <v>238</v>
      </c>
      <c r="L1931" s="11">
        <v>1.9722222222222221E-2</v>
      </c>
      <c r="M1931">
        <f t="shared" si="151"/>
        <v>4</v>
      </c>
      <c r="N1931">
        <f t="shared" si="152"/>
        <v>10</v>
      </c>
      <c r="O1931">
        <f t="shared" si="153"/>
        <v>2023</v>
      </c>
      <c r="P1931" s="4">
        <f t="shared" si="154"/>
        <v>45203</v>
      </c>
      <c r="Q1931" t="s">
        <v>1134</v>
      </c>
      <c r="R1931" t="s">
        <v>1135</v>
      </c>
      <c r="S1931">
        <v>3</v>
      </c>
      <c r="T1931" t="s">
        <v>1144</v>
      </c>
      <c r="U1931" s="11" t="str">
        <f t="shared" si="150"/>
        <v>12:28:24 AM</v>
      </c>
      <c r="BL1931" s="2" t="s">
        <v>3081</v>
      </c>
    </row>
    <row r="1932" spans="1:64" x14ac:dyDescent="0.35">
      <c r="A1932">
        <v>2020</v>
      </c>
      <c r="B1932" t="s">
        <v>20</v>
      </c>
      <c r="C1932" s="1">
        <v>45482</v>
      </c>
      <c r="D1932" t="s">
        <v>17</v>
      </c>
      <c r="E1932" t="s">
        <v>29</v>
      </c>
      <c r="F1932">
        <v>1</v>
      </c>
      <c r="G1932">
        <v>2391.23</v>
      </c>
      <c r="H1932">
        <v>2391.23</v>
      </c>
      <c r="I1932">
        <v>0</v>
      </c>
      <c r="J1932">
        <v>2391.23</v>
      </c>
      <c r="K1932">
        <v>448</v>
      </c>
      <c r="L1932" s="11">
        <v>0.4645023148148148</v>
      </c>
      <c r="M1932">
        <f t="shared" si="151"/>
        <v>9</v>
      </c>
      <c r="N1932">
        <f t="shared" si="152"/>
        <v>7</v>
      </c>
      <c r="O1932">
        <f t="shared" si="153"/>
        <v>2024</v>
      </c>
      <c r="P1932" s="4">
        <f t="shared" si="154"/>
        <v>45482</v>
      </c>
      <c r="Q1932" t="s">
        <v>1136</v>
      </c>
      <c r="R1932" t="s">
        <v>1137</v>
      </c>
      <c r="S1932">
        <v>3</v>
      </c>
      <c r="T1932" t="s">
        <v>1149</v>
      </c>
      <c r="U1932" s="11" t="str">
        <f t="shared" si="150"/>
        <v>11:08:53 AM</v>
      </c>
      <c r="BL1932" s="2" t="s">
        <v>3082</v>
      </c>
    </row>
    <row r="1933" spans="1:64" x14ac:dyDescent="0.35">
      <c r="A1933">
        <v>3141</v>
      </c>
      <c r="B1933" t="s">
        <v>19</v>
      </c>
      <c r="C1933" s="1">
        <v>45328</v>
      </c>
      <c r="D1933" t="s">
        <v>34</v>
      </c>
      <c r="E1933" t="s">
        <v>33</v>
      </c>
      <c r="F1933">
        <v>3</v>
      </c>
      <c r="G1933">
        <v>141.1</v>
      </c>
      <c r="H1933">
        <v>423.3</v>
      </c>
      <c r="I1933">
        <v>84.66</v>
      </c>
      <c r="J1933">
        <v>338.64</v>
      </c>
      <c r="K1933">
        <v>139</v>
      </c>
      <c r="L1933" s="11">
        <v>0.69984953703703701</v>
      </c>
      <c r="M1933">
        <f t="shared" si="151"/>
        <v>6</v>
      </c>
      <c r="N1933">
        <f t="shared" si="152"/>
        <v>2</v>
      </c>
      <c r="O1933">
        <f t="shared" si="153"/>
        <v>2024</v>
      </c>
      <c r="P1933" s="4">
        <f t="shared" si="154"/>
        <v>45328</v>
      </c>
      <c r="Q1933" t="s">
        <v>1136</v>
      </c>
      <c r="R1933" t="s">
        <v>1137</v>
      </c>
      <c r="S1933">
        <v>4</v>
      </c>
      <c r="T1933" t="s">
        <v>1142</v>
      </c>
      <c r="U1933" s="11" t="str">
        <f t="shared" si="150"/>
        <v>04:47:47 PM</v>
      </c>
      <c r="BL1933" s="2" t="s">
        <v>3083</v>
      </c>
    </row>
    <row r="1934" spans="1:64" x14ac:dyDescent="0.35">
      <c r="A1934">
        <v>5778</v>
      </c>
      <c r="B1934" t="s">
        <v>15</v>
      </c>
      <c r="C1934" s="1">
        <v>45347</v>
      </c>
      <c r="D1934" t="s">
        <v>1</v>
      </c>
      <c r="E1934" t="s">
        <v>29</v>
      </c>
      <c r="F1934">
        <v>5</v>
      </c>
      <c r="G1934">
        <v>2093.2600000000002</v>
      </c>
      <c r="H1934">
        <v>10466.299999999999</v>
      </c>
      <c r="I1934">
        <v>2093.2600000000002</v>
      </c>
      <c r="J1934">
        <v>8373.0400000000009</v>
      </c>
      <c r="K1934">
        <v>222</v>
      </c>
      <c r="L1934" s="11">
        <v>7.8773148148148148E-2</v>
      </c>
      <c r="M1934">
        <f t="shared" si="151"/>
        <v>25</v>
      </c>
      <c r="N1934">
        <f t="shared" si="152"/>
        <v>2</v>
      </c>
      <c r="O1934">
        <f t="shared" si="153"/>
        <v>2024</v>
      </c>
      <c r="P1934" s="4">
        <f t="shared" si="154"/>
        <v>45347</v>
      </c>
      <c r="Q1934" t="s">
        <v>1138</v>
      </c>
      <c r="R1934" t="s">
        <v>1135</v>
      </c>
      <c r="S1934">
        <v>5</v>
      </c>
      <c r="T1934" t="s">
        <v>1150</v>
      </c>
      <c r="U1934" s="11" t="str">
        <f t="shared" si="150"/>
        <v>01:53:26 AM</v>
      </c>
      <c r="BL1934" s="2" t="s">
        <v>3084</v>
      </c>
    </row>
    <row r="1935" spans="1:64" x14ac:dyDescent="0.35">
      <c r="A1935">
        <v>6161</v>
      </c>
      <c r="B1935" t="s">
        <v>20</v>
      </c>
      <c r="C1935" s="1">
        <v>45864</v>
      </c>
      <c r="D1935" t="s">
        <v>24</v>
      </c>
      <c r="E1935" t="s">
        <v>12</v>
      </c>
      <c r="F1935">
        <v>1</v>
      </c>
      <c r="G1935">
        <v>1521.39</v>
      </c>
      <c r="H1935">
        <v>1521.39</v>
      </c>
      <c r="I1935">
        <v>137.78</v>
      </c>
      <c r="J1935">
        <v>1383.61</v>
      </c>
      <c r="K1935">
        <v>233</v>
      </c>
      <c r="L1935" s="11">
        <v>0.61586805555555557</v>
      </c>
      <c r="M1935">
        <f t="shared" si="151"/>
        <v>26</v>
      </c>
      <c r="N1935">
        <f t="shared" si="152"/>
        <v>7</v>
      </c>
      <c r="O1935">
        <f t="shared" si="153"/>
        <v>2025</v>
      </c>
      <c r="P1935" s="4">
        <f t="shared" si="154"/>
        <v>45864</v>
      </c>
      <c r="Q1935" t="s">
        <v>1134</v>
      </c>
      <c r="R1935" t="s">
        <v>1135</v>
      </c>
      <c r="S1935">
        <v>2</v>
      </c>
      <c r="T1935" t="s">
        <v>1146</v>
      </c>
      <c r="U1935" s="11" t="str">
        <f t="shared" si="150"/>
        <v>02:46:51 PM</v>
      </c>
      <c r="BL1935" s="2" t="s">
        <v>3085</v>
      </c>
    </row>
    <row r="1936" spans="1:64" x14ac:dyDescent="0.35">
      <c r="A1936">
        <v>7438</v>
      </c>
      <c r="B1936" t="s">
        <v>25</v>
      </c>
      <c r="C1936" s="1">
        <v>45689</v>
      </c>
      <c r="D1936" t="s">
        <v>27</v>
      </c>
      <c r="E1936" t="s">
        <v>7</v>
      </c>
      <c r="F1936">
        <v>2</v>
      </c>
      <c r="G1936">
        <v>854.07</v>
      </c>
      <c r="H1936">
        <v>1708.14</v>
      </c>
      <c r="I1936">
        <v>170.98</v>
      </c>
      <c r="J1936">
        <v>1537.16</v>
      </c>
      <c r="K1936">
        <v>327</v>
      </c>
      <c r="L1936" s="11">
        <v>0.83347222222222217</v>
      </c>
      <c r="M1936">
        <f t="shared" si="151"/>
        <v>1</v>
      </c>
      <c r="N1936">
        <f t="shared" si="152"/>
        <v>2</v>
      </c>
      <c r="O1936">
        <f t="shared" si="153"/>
        <v>2025</v>
      </c>
      <c r="P1936" s="4">
        <f t="shared" si="154"/>
        <v>45689</v>
      </c>
      <c r="Q1936" t="s">
        <v>1134</v>
      </c>
      <c r="R1936" t="s">
        <v>1135</v>
      </c>
      <c r="S1936">
        <v>1</v>
      </c>
      <c r="T1936" t="s">
        <v>1147</v>
      </c>
      <c r="U1936" s="11" t="str">
        <f t="shared" si="150"/>
        <v>08:00:12 PM</v>
      </c>
      <c r="BL1936" s="2" t="s">
        <v>3086</v>
      </c>
    </row>
    <row r="1937" spans="1:64" x14ac:dyDescent="0.35">
      <c r="A1937">
        <v>6345</v>
      </c>
      <c r="B1937" t="s">
        <v>8</v>
      </c>
      <c r="C1937" s="1">
        <v>45392</v>
      </c>
      <c r="D1937" t="s">
        <v>17</v>
      </c>
      <c r="E1937" t="s">
        <v>21</v>
      </c>
      <c r="F1937">
        <v>3</v>
      </c>
      <c r="G1937">
        <v>1207.6500000000001</v>
      </c>
      <c r="H1937">
        <v>3622.95</v>
      </c>
      <c r="I1937">
        <v>724.59</v>
      </c>
      <c r="J1937">
        <v>2898.36</v>
      </c>
      <c r="K1937">
        <v>177</v>
      </c>
      <c r="L1937" s="11">
        <v>0.51413194444444443</v>
      </c>
      <c r="M1937">
        <f t="shared" si="151"/>
        <v>10</v>
      </c>
      <c r="N1937">
        <f t="shared" si="152"/>
        <v>4</v>
      </c>
      <c r="O1937">
        <f t="shared" si="153"/>
        <v>2024</v>
      </c>
      <c r="P1937" s="4">
        <f t="shared" si="154"/>
        <v>45392</v>
      </c>
      <c r="Q1937" t="s">
        <v>1136</v>
      </c>
      <c r="R1937" t="s">
        <v>1137</v>
      </c>
      <c r="S1937">
        <v>1</v>
      </c>
      <c r="T1937" t="s">
        <v>1150</v>
      </c>
      <c r="U1937" s="11" t="str">
        <f t="shared" si="150"/>
        <v>12:20:21 PM</v>
      </c>
      <c r="BL1937" s="2" t="s">
        <v>3087</v>
      </c>
    </row>
    <row r="1938" spans="1:64" x14ac:dyDescent="0.35">
      <c r="A1938">
        <v>8417</v>
      </c>
      <c r="B1938" t="s">
        <v>15</v>
      </c>
      <c r="C1938" s="1">
        <v>45356</v>
      </c>
      <c r="D1938" t="s">
        <v>16</v>
      </c>
      <c r="E1938" t="s">
        <v>7</v>
      </c>
      <c r="F1938">
        <v>4</v>
      </c>
      <c r="G1938">
        <v>949.52</v>
      </c>
      <c r="H1938">
        <v>3798.08</v>
      </c>
      <c r="I1938">
        <v>166.83</v>
      </c>
      <c r="J1938">
        <v>3631.25</v>
      </c>
      <c r="K1938">
        <v>221</v>
      </c>
      <c r="L1938" s="11">
        <v>0.92553240740740739</v>
      </c>
      <c r="M1938">
        <f t="shared" si="151"/>
        <v>5</v>
      </c>
      <c r="N1938">
        <f t="shared" si="152"/>
        <v>3</v>
      </c>
      <c r="O1938">
        <f t="shared" si="153"/>
        <v>2024</v>
      </c>
      <c r="P1938" s="4">
        <f t="shared" si="154"/>
        <v>45356</v>
      </c>
      <c r="Q1938" t="s">
        <v>1134</v>
      </c>
      <c r="R1938" t="s">
        <v>1137</v>
      </c>
      <c r="S1938">
        <v>5</v>
      </c>
      <c r="T1938" t="s">
        <v>1149</v>
      </c>
      <c r="U1938" s="11" t="str">
        <f t="shared" si="150"/>
        <v>10:12:46 PM</v>
      </c>
      <c r="BL1938" s="2" t="s">
        <v>3088</v>
      </c>
    </row>
    <row r="1939" spans="1:64" x14ac:dyDescent="0.35">
      <c r="A1939">
        <v>4827</v>
      </c>
      <c r="B1939" t="s">
        <v>8</v>
      </c>
      <c r="C1939" s="1">
        <v>45203</v>
      </c>
      <c r="D1939" t="s">
        <v>11</v>
      </c>
      <c r="E1939" t="s">
        <v>12</v>
      </c>
      <c r="F1939">
        <v>4</v>
      </c>
      <c r="G1939">
        <v>1166.98</v>
      </c>
      <c r="H1939">
        <v>4667.92</v>
      </c>
      <c r="I1939">
        <v>196.71</v>
      </c>
      <c r="J1939">
        <v>4471.21</v>
      </c>
      <c r="K1939">
        <v>276</v>
      </c>
      <c r="L1939" s="11">
        <v>0.60888888888888892</v>
      </c>
      <c r="M1939">
        <f t="shared" si="151"/>
        <v>4</v>
      </c>
      <c r="N1939">
        <f t="shared" si="152"/>
        <v>10</v>
      </c>
      <c r="O1939">
        <f t="shared" si="153"/>
        <v>2023</v>
      </c>
      <c r="P1939" s="4">
        <f t="shared" si="154"/>
        <v>45203</v>
      </c>
      <c r="Q1939" t="s">
        <v>1139</v>
      </c>
      <c r="R1939" t="s">
        <v>1137</v>
      </c>
      <c r="S1939">
        <v>4</v>
      </c>
      <c r="T1939" t="s">
        <v>1146</v>
      </c>
      <c r="U1939" s="11" t="str">
        <f t="shared" si="150"/>
        <v>02:36:48 PM</v>
      </c>
      <c r="BL1939" s="2" t="s">
        <v>3089</v>
      </c>
    </row>
    <row r="1940" spans="1:64" x14ac:dyDescent="0.35">
      <c r="A1940">
        <v>4321</v>
      </c>
      <c r="B1940" t="s">
        <v>8</v>
      </c>
      <c r="C1940" s="1">
        <v>45250</v>
      </c>
      <c r="D1940" t="s">
        <v>17</v>
      </c>
      <c r="E1940" t="s">
        <v>10</v>
      </c>
      <c r="F1940">
        <v>5</v>
      </c>
      <c r="G1940">
        <v>1605.22</v>
      </c>
      <c r="H1940">
        <v>8026.1</v>
      </c>
      <c r="I1940">
        <v>129.47999999999999</v>
      </c>
      <c r="J1940">
        <v>7896.62</v>
      </c>
      <c r="K1940">
        <v>381</v>
      </c>
      <c r="L1940" s="11">
        <v>0.78246527777777775</v>
      </c>
      <c r="M1940">
        <f t="shared" si="151"/>
        <v>20</v>
      </c>
      <c r="N1940">
        <f t="shared" si="152"/>
        <v>11</v>
      </c>
      <c r="O1940">
        <f t="shared" si="153"/>
        <v>2023</v>
      </c>
      <c r="P1940" s="4">
        <f t="shared" si="154"/>
        <v>45250</v>
      </c>
      <c r="Q1940" t="s">
        <v>1139</v>
      </c>
      <c r="R1940" t="s">
        <v>1137</v>
      </c>
      <c r="S1940">
        <v>4</v>
      </c>
      <c r="T1940" t="s">
        <v>1145</v>
      </c>
      <c r="U1940" s="11" t="str">
        <f t="shared" si="150"/>
        <v>06:46:45 PM</v>
      </c>
      <c r="BL1940" s="2" t="s">
        <v>3090</v>
      </c>
    </row>
    <row r="1941" spans="1:64" x14ac:dyDescent="0.35">
      <c r="A1941">
        <v>2785</v>
      </c>
      <c r="B1941" t="s">
        <v>31</v>
      </c>
      <c r="C1941" s="1">
        <v>45265</v>
      </c>
      <c r="D1941" t="s">
        <v>9</v>
      </c>
      <c r="E1941" t="s">
        <v>32</v>
      </c>
      <c r="F1941">
        <v>4</v>
      </c>
      <c r="G1941">
        <v>2201.9899999999998</v>
      </c>
      <c r="H1941">
        <v>8807.9599999999991</v>
      </c>
      <c r="I1941">
        <v>117.86</v>
      </c>
      <c r="J1941">
        <v>8690.1</v>
      </c>
      <c r="K1941">
        <v>256</v>
      </c>
      <c r="L1941" s="11">
        <v>0.47650462962962964</v>
      </c>
      <c r="M1941">
        <f t="shared" si="151"/>
        <v>5</v>
      </c>
      <c r="N1941">
        <f t="shared" si="152"/>
        <v>12</v>
      </c>
      <c r="O1941">
        <f t="shared" si="153"/>
        <v>2023</v>
      </c>
      <c r="P1941" s="4">
        <f t="shared" si="154"/>
        <v>45265</v>
      </c>
      <c r="Q1941" t="s">
        <v>1134</v>
      </c>
      <c r="R1941" t="s">
        <v>1135</v>
      </c>
      <c r="S1941">
        <v>5</v>
      </c>
      <c r="T1941" t="s">
        <v>1147</v>
      </c>
      <c r="U1941" s="11" t="str">
        <f t="shared" si="150"/>
        <v>11:26:10 AM</v>
      </c>
      <c r="BL1941" s="2" t="s">
        <v>3091</v>
      </c>
    </row>
    <row r="1942" spans="1:64" x14ac:dyDescent="0.35">
      <c r="A1942">
        <v>2731</v>
      </c>
      <c r="B1942" t="s">
        <v>20</v>
      </c>
      <c r="C1942" s="1">
        <v>45272</v>
      </c>
      <c r="D1942" t="s">
        <v>24</v>
      </c>
      <c r="E1942" t="s">
        <v>7</v>
      </c>
      <c r="F1942">
        <v>2</v>
      </c>
      <c r="G1942">
        <v>1862.52</v>
      </c>
      <c r="H1942">
        <v>3725.04</v>
      </c>
      <c r="I1942">
        <v>372.67</v>
      </c>
      <c r="J1942">
        <v>3352.37</v>
      </c>
      <c r="K1942">
        <v>350</v>
      </c>
      <c r="L1942" s="11">
        <v>0.64329861111111108</v>
      </c>
      <c r="M1942">
        <f t="shared" si="151"/>
        <v>12</v>
      </c>
      <c r="N1942">
        <f t="shared" si="152"/>
        <v>12</v>
      </c>
      <c r="O1942">
        <f t="shared" si="153"/>
        <v>2023</v>
      </c>
      <c r="P1942" s="4">
        <f t="shared" si="154"/>
        <v>45272</v>
      </c>
      <c r="Q1942" t="s">
        <v>1134</v>
      </c>
      <c r="R1942" t="s">
        <v>1135</v>
      </c>
      <c r="S1942">
        <v>4</v>
      </c>
      <c r="T1942" t="s">
        <v>1141</v>
      </c>
      <c r="U1942" s="11" t="str">
        <f t="shared" si="150"/>
        <v>03:26:21 PM</v>
      </c>
      <c r="BL1942" s="2" t="s">
        <v>3092</v>
      </c>
    </row>
    <row r="1943" spans="1:64" x14ac:dyDescent="0.35">
      <c r="A1943">
        <v>8365</v>
      </c>
      <c r="B1943" t="s">
        <v>0</v>
      </c>
      <c r="C1943" s="1">
        <v>45506</v>
      </c>
      <c r="D1943" t="s">
        <v>11</v>
      </c>
      <c r="E1943" t="s">
        <v>12</v>
      </c>
      <c r="F1943">
        <v>5</v>
      </c>
      <c r="G1943">
        <v>2337.2800000000002</v>
      </c>
      <c r="H1943">
        <v>11686.4</v>
      </c>
      <c r="I1943">
        <v>2337.2800000000002</v>
      </c>
      <c r="J1943">
        <v>9349.1200000000008</v>
      </c>
      <c r="K1943">
        <v>267</v>
      </c>
      <c r="L1943" s="11">
        <v>0.71774305555555551</v>
      </c>
      <c r="M1943">
        <f t="shared" si="151"/>
        <v>2</v>
      </c>
      <c r="N1943">
        <f t="shared" si="152"/>
        <v>8</v>
      </c>
      <c r="O1943">
        <f t="shared" si="153"/>
        <v>2024</v>
      </c>
      <c r="P1943" s="4">
        <f t="shared" si="154"/>
        <v>45506</v>
      </c>
      <c r="Q1943" t="s">
        <v>1136</v>
      </c>
      <c r="R1943" t="s">
        <v>1135</v>
      </c>
      <c r="S1943">
        <v>1</v>
      </c>
      <c r="T1943" t="s">
        <v>1141</v>
      </c>
      <c r="U1943" s="11" t="str">
        <f t="shared" si="150"/>
        <v>05:13:33 PM</v>
      </c>
      <c r="BL1943" s="2" t="s">
        <v>3093</v>
      </c>
    </row>
    <row r="1944" spans="1:64" x14ac:dyDescent="0.35">
      <c r="A1944">
        <v>6145</v>
      </c>
      <c r="B1944" t="s">
        <v>25</v>
      </c>
      <c r="C1944" s="1">
        <v>45460</v>
      </c>
      <c r="D1944" t="s">
        <v>9</v>
      </c>
      <c r="E1944" t="s">
        <v>38</v>
      </c>
      <c r="F1944">
        <v>2</v>
      </c>
      <c r="G1944">
        <v>1623.48</v>
      </c>
      <c r="H1944">
        <v>3246.96</v>
      </c>
      <c r="I1944">
        <v>0</v>
      </c>
      <c r="J1944">
        <v>3246.96</v>
      </c>
      <c r="K1944">
        <v>232</v>
      </c>
      <c r="L1944" s="11">
        <v>0.12131944444444444</v>
      </c>
      <c r="M1944">
        <f t="shared" si="151"/>
        <v>17</v>
      </c>
      <c r="N1944">
        <f t="shared" si="152"/>
        <v>6</v>
      </c>
      <c r="O1944">
        <f t="shared" si="153"/>
        <v>2024</v>
      </c>
      <c r="P1944" s="4">
        <f t="shared" si="154"/>
        <v>45460</v>
      </c>
      <c r="Q1944" t="s">
        <v>1139</v>
      </c>
      <c r="R1944" t="s">
        <v>1137</v>
      </c>
      <c r="S1944">
        <v>1</v>
      </c>
      <c r="T1944" t="s">
        <v>1143</v>
      </c>
      <c r="U1944" s="11" t="str">
        <f t="shared" si="150"/>
        <v>02:54:42 AM</v>
      </c>
      <c r="BL1944" s="2" t="s">
        <v>3094</v>
      </c>
    </row>
    <row r="1945" spans="1:64" x14ac:dyDescent="0.35">
      <c r="A1945">
        <v>2978</v>
      </c>
      <c r="B1945" t="s">
        <v>31</v>
      </c>
      <c r="C1945" s="1">
        <v>45561</v>
      </c>
      <c r="D1945" t="s">
        <v>1</v>
      </c>
      <c r="E1945" t="s">
        <v>36</v>
      </c>
      <c r="F1945">
        <v>1</v>
      </c>
      <c r="G1945">
        <v>1274.05</v>
      </c>
      <c r="H1945">
        <v>1274.05</v>
      </c>
      <c r="I1945">
        <v>0</v>
      </c>
      <c r="J1945">
        <v>1274.05</v>
      </c>
      <c r="K1945">
        <v>468</v>
      </c>
      <c r="L1945" s="11">
        <v>7.5659722222222225E-2</v>
      </c>
      <c r="M1945">
        <f t="shared" si="151"/>
        <v>26</v>
      </c>
      <c r="N1945">
        <f t="shared" si="152"/>
        <v>9</v>
      </c>
      <c r="O1945">
        <f t="shared" si="153"/>
        <v>2024</v>
      </c>
      <c r="P1945" s="4">
        <f t="shared" si="154"/>
        <v>45561</v>
      </c>
      <c r="Q1945" t="s">
        <v>1139</v>
      </c>
      <c r="R1945" t="s">
        <v>1135</v>
      </c>
      <c r="S1945">
        <v>2</v>
      </c>
      <c r="T1945" t="s">
        <v>1148</v>
      </c>
      <c r="U1945" s="11" t="str">
        <f t="shared" si="150"/>
        <v>01:48:57 AM</v>
      </c>
      <c r="BL1945" s="2" t="s">
        <v>3095</v>
      </c>
    </row>
    <row r="1946" spans="1:64" x14ac:dyDescent="0.35">
      <c r="A1946">
        <v>6870</v>
      </c>
      <c r="B1946" t="s">
        <v>19</v>
      </c>
      <c r="C1946" s="1">
        <v>45743</v>
      </c>
      <c r="D1946" t="s">
        <v>6</v>
      </c>
      <c r="E1946" t="s">
        <v>21</v>
      </c>
      <c r="F1946">
        <v>3</v>
      </c>
      <c r="G1946">
        <v>2068.36</v>
      </c>
      <c r="H1946">
        <v>6205.08</v>
      </c>
      <c r="I1946">
        <v>1240.8499999999999</v>
      </c>
      <c r="J1946">
        <v>4964.2299999999996</v>
      </c>
      <c r="K1946">
        <v>277</v>
      </c>
      <c r="L1946" s="11">
        <v>0.15092592592592594</v>
      </c>
      <c r="M1946">
        <f t="shared" si="151"/>
        <v>27</v>
      </c>
      <c r="N1946">
        <f t="shared" si="152"/>
        <v>3</v>
      </c>
      <c r="O1946">
        <f t="shared" si="153"/>
        <v>2025</v>
      </c>
      <c r="P1946" s="4">
        <f t="shared" si="154"/>
        <v>45743</v>
      </c>
      <c r="Q1946" t="s">
        <v>1138</v>
      </c>
      <c r="R1946" t="s">
        <v>1137</v>
      </c>
      <c r="S1946">
        <v>5</v>
      </c>
      <c r="T1946" t="s">
        <v>1149</v>
      </c>
      <c r="U1946" s="11" t="str">
        <f t="shared" si="150"/>
        <v>03:37:20 AM</v>
      </c>
      <c r="BL1946" s="2" t="s">
        <v>3096</v>
      </c>
    </row>
    <row r="1947" spans="1:64" x14ac:dyDescent="0.35">
      <c r="A1947">
        <v>4401</v>
      </c>
      <c r="B1947" t="s">
        <v>20</v>
      </c>
      <c r="C1947" s="1">
        <v>45496</v>
      </c>
      <c r="D1947" t="s">
        <v>1</v>
      </c>
      <c r="E1947" t="s">
        <v>28</v>
      </c>
      <c r="F1947">
        <v>3</v>
      </c>
      <c r="G1947">
        <v>373.5</v>
      </c>
      <c r="H1947">
        <v>1120.5</v>
      </c>
      <c r="I1947">
        <v>166.83</v>
      </c>
      <c r="J1947">
        <v>953.67</v>
      </c>
      <c r="K1947">
        <v>95</v>
      </c>
      <c r="L1947" s="11">
        <v>0.85841435185185189</v>
      </c>
      <c r="M1947">
        <f t="shared" si="151"/>
        <v>23</v>
      </c>
      <c r="N1947">
        <f t="shared" si="152"/>
        <v>7</v>
      </c>
      <c r="O1947">
        <f t="shared" si="153"/>
        <v>2024</v>
      </c>
      <c r="P1947" s="4">
        <f t="shared" si="154"/>
        <v>45496</v>
      </c>
      <c r="Q1947" t="s">
        <v>1136</v>
      </c>
      <c r="R1947" t="s">
        <v>1137</v>
      </c>
      <c r="S1947">
        <v>3</v>
      </c>
      <c r="T1947" t="s">
        <v>1146</v>
      </c>
      <c r="U1947" s="11" t="str">
        <f t="shared" si="150"/>
        <v>08:36:07 PM</v>
      </c>
      <c r="BL1947" s="2" t="s">
        <v>3097</v>
      </c>
    </row>
    <row r="1948" spans="1:64" x14ac:dyDescent="0.35">
      <c r="A1948">
        <v>6051</v>
      </c>
      <c r="B1948" t="s">
        <v>0</v>
      </c>
      <c r="C1948" s="1">
        <v>45504</v>
      </c>
      <c r="D1948" t="s">
        <v>9</v>
      </c>
      <c r="E1948" t="s">
        <v>12</v>
      </c>
      <c r="F1948">
        <v>4</v>
      </c>
      <c r="G1948">
        <v>107.9</v>
      </c>
      <c r="H1948">
        <v>431.6</v>
      </c>
      <c r="I1948">
        <v>64.739999999999995</v>
      </c>
      <c r="J1948">
        <v>366.86</v>
      </c>
      <c r="K1948">
        <v>305</v>
      </c>
      <c r="L1948" s="11">
        <v>0.64402777777777775</v>
      </c>
      <c r="M1948">
        <f t="shared" si="151"/>
        <v>31</v>
      </c>
      <c r="N1948">
        <f t="shared" si="152"/>
        <v>7</v>
      </c>
      <c r="O1948">
        <f t="shared" si="153"/>
        <v>2024</v>
      </c>
      <c r="P1948" s="4">
        <f t="shared" si="154"/>
        <v>45504</v>
      </c>
      <c r="Q1948" t="s">
        <v>1138</v>
      </c>
      <c r="R1948" t="s">
        <v>1135</v>
      </c>
      <c r="S1948">
        <v>3</v>
      </c>
      <c r="T1948" t="s">
        <v>1148</v>
      </c>
      <c r="U1948" s="11" t="str">
        <f t="shared" si="150"/>
        <v>03:27:24 PM</v>
      </c>
      <c r="BL1948" s="2" t="s">
        <v>3098</v>
      </c>
    </row>
    <row r="1949" spans="1:64" x14ac:dyDescent="0.35">
      <c r="A1949">
        <v>5341</v>
      </c>
      <c r="B1949" t="s">
        <v>13</v>
      </c>
      <c r="C1949" s="1">
        <v>45807</v>
      </c>
      <c r="D1949" t="s">
        <v>11</v>
      </c>
      <c r="E1949" t="s">
        <v>33</v>
      </c>
      <c r="F1949">
        <v>3</v>
      </c>
      <c r="G1949">
        <v>1113.8599999999999</v>
      </c>
      <c r="H1949">
        <v>3341.58</v>
      </c>
      <c r="I1949">
        <v>0</v>
      </c>
      <c r="J1949">
        <v>3341.58</v>
      </c>
      <c r="K1949">
        <v>301</v>
      </c>
      <c r="L1949" s="11">
        <v>0.33797453703703706</v>
      </c>
      <c r="M1949">
        <f t="shared" si="151"/>
        <v>30</v>
      </c>
      <c r="N1949">
        <f t="shared" si="152"/>
        <v>5</v>
      </c>
      <c r="O1949">
        <f t="shared" si="153"/>
        <v>2025</v>
      </c>
      <c r="P1949" s="4">
        <f t="shared" si="154"/>
        <v>45807</v>
      </c>
      <c r="Q1949" t="s">
        <v>1139</v>
      </c>
      <c r="R1949" t="s">
        <v>1135</v>
      </c>
      <c r="S1949">
        <v>2</v>
      </c>
      <c r="T1949" t="s">
        <v>1148</v>
      </c>
      <c r="U1949" s="11" t="str">
        <f t="shared" si="150"/>
        <v>08:06:41 AM</v>
      </c>
      <c r="BL1949" s="2" t="s">
        <v>3099</v>
      </c>
    </row>
    <row r="1950" spans="1:64" x14ac:dyDescent="0.35">
      <c r="A1950">
        <v>2964</v>
      </c>
      <c r="B1950" t="s">
        <v>20</v>
      </c>
      <c r="C1950" s="1">
        <v>45215</v>
      </c>
      <c r="D1950" t="s">
        <v>16</v>
      </c>
      <c r="E1950" t="s">
        <v>37</v>
      </c>
      <c r="F1950">
        <v>1</v>
      </c>
      <c r="G1950">
        <v>1285.67</v>
      </c>
      <c r="H1950">
        <v>1285.67</v>
      </c>
      <c r="I1950">
        <v>192.56</v>
      </c>
      <c r="J1950">
        <v>1093.1099999999999</v>
      </c>
      <c r="K1950">
        <v>179</v>
      </c>
      <c r="L1950" s="11">
        <v>4.7581018518518516E-2</v>
      </c>
      <c r="M1950">
        <f t="shared" si="151"/>
        <v>16</v>
      </c>
      <c r="N1950">
        <f t="shared" si="152"/>
        <v>10</v>
      </c>
      <c r="O1950">
        <f t="shared" si="153"/>
        <v>2023</v>
      </c>
      <c r="P1950" s="4">
        <f t="shared" si="154"/>
        <v>45215</v>
      </c>
      <c r="Q1950" t="s">
        <v>1136</v>
      </c>
      <c r="R1950" t="s">
        <v>1135</v>
      </c>
      <c r="S1950">
        <v>2</v>
      </c>
      <c r="T1950" t="s">
        <v>1147</v>
      </c>
      <c r="U1950" s="11" t="str">
        <f t="shared" si="150"/>
        <v>01:08:31 AM</v>
      </c>
      <c r="BL1950" s="2" t="s">
        <v>3100</v>
      </c>
    </row>
    <row r="1951" spans="1:64" x14ac:dyDescent="0.35">
      <c r="A1951">
        <v>3582</v>
      </c>
      <c r="B1951" t="s">
        <v>15</v>
      </c>
      <c r="C1951" s="1">
        <v>45772</v>
      </c>
      <c r="D1951" t="s">
        <v>9</v>
      </c>
      <c r="E1951" t="s">
        <v>7</v>
      </c>
      <c r="F1951">
        <v>1</v>
      </c>
      <c r="G1951">
        <v>1099.75</v>
      </c>
      <c r="H1951">
        <v>1099.75</v>
      </c>
      <c r="I1951">
        <v>0</v>
      </c>
      <c r="J1951">
        <v>1099.75</v>
      </c>
      <c r="K1951">
        <v>300</v>
      </c>
      <c r="L1951" s="11">
        <v>3.2083333333333332E-2</v>
      </c>
      <c r="M1951">
        <f t="shared" si="151"/>
        <v>25</v>
      </c>
      <c r="N1951">
        <f t="shared" si="152"/>
        <v>4</v>
      </c>
      <c r="O1951">
        <f t="shared" si="153"/>
        <v>2025</v>
      </c>
      <c r="P1951" s="4">
        <f t="shared" si="154"/>
        <v>45772</v>
      </c>
      <c r="Q1951" t="s">
        <v>1134</v>
      </c>
      <c r="R1951" t="s">
        <v>1137</v>
      </c>
      <c r="S1951">
        <v>4</v>
      </c>
      <c r="T1951" t="s">
        <v>1141</v>
      </c>
      <c r="U1951" s="11" t="str">
        <f t="shared" si="150"/>
        <v>12:46:12 AM</v>
      </c>
      <c r="BL1951" s="2" t="s">
        <v>3101</v>
      </c>
    </row>
    <row r="1952" spans="1:64" x14ac:dyDescent="0.35">
      <c r="A1952">
        <v>5984</v>
      </c>
      <c r="B1952" t="s">
        <v>15</v>
      </c>
      <c r="C1952" s="1">
        <v>45786</v>
      </c>
      <c r="D1952" t="s">
        <v>1</v>
      </c>
      <c r="E1952" t="s">
        <v>21</v>
      </c>
      <c r="F1952">
        <v>1</v>
      </c>
      <c r="G1952">
        <v>2399.5300000000002</v>
      </c>
      <c r="H1952">
        <v>2399.5300000000002</v>
      </c>
      <c r="I1952">
        <v>239.87</v>
      </c>
      <c r="J1952">
        <v>2159.66</v>
      </c>
      <c r="K1952">
        <v>388</v>
      </c>
      <c r="L1952" s="11">
        <v>0.22763888888888889</v>
      </c>
      <c r="M1952">
        <f t="shared" si="151"/>
        <v>9</v>
      </c>
      <c r="N1952">
        <f t="shared" si="152"/>
        <v>5</v>
      </c>
      <c r="O1952">
        <f t="shared" si="153"/>
        <v>2025</v>
      </c>
      <c r="P1952" s="4">
        <f t="shared" si="154"/>
        <v>45786</v>
      </c>
      <c r="Q1952" t="s">
        <v>1136</v>
      </c>
      <c r="R1952" t="s">
        <v>1137</v>
      </c>
      <c r="S1952">
        <v>2</v>
      </c>
      <c r="T1952" t="s">
        <v>1145</v>
      </c>
      <c r="U1952" s="11" t="str">
        <f t="shared" si="150"/>
        <v>05:27:48 AM</v>
      </c>
      <c r="BL1952" s="2" t="s">
        <v>3102</v>
      </c>
    </row>
    <row r="1953" spans="1:64" x14ac:dyDescent="0.35">
      <c r="A1953">
        <v>1660</v>
      </c>
      <c r="B1953" t="s">
        <v>19</v>
      </c>
      <c r="C1953" s="1">
        <v>45312</v>
      </c>
      <c r="D1953" t="s">
        <v>27</v>
      </c>
      <c r="E1953" t="s">
        <v>32</v>
      </c>
      <c r="F1953">
        <v>1</v>
      </c>
      <c r="G1953">
        <v>673.13</v>
      </c>
      <c r="H1953">
        <v>673.13</v>
      </c>
      <c r="I1953">
        <v>67.23</v>
      </c>
      <c r="J1953">
        <v>605.9</v>
      </c>
      <c r="K1953">
        <v>425</v>
      </c>
      <c r="L1953" s="11">
        <v>0.60206018518518523</v>
      </c>
      <c r="M1953">
        <f t="shared" si="151"/>
        <v>21</v>
      </c>
      <c r="N1953">
        <f t="shared" si="152"/>
        <v>1</v>
      </c>
      <c r="O1953">
        <f t="shared" si="153"/>
        <v>2024</v>
      </c>
      <c r="P1953" s="4">
        <f t="shared" si="154"/>
        <v>45312</v>
      </c>
      <c r="Q1953" t="s">
        <v>1134</v>
      </c>
      <c r="R1953" t="s">
        <v>1135</v>
      </c>
      <c r="S1953">
        <v>2</v>
      </c>
      <c r="T1953" t="s">
        <v>1150</v>
      </c>
      <c r="U1953" s="11" t="str">
        <f t="shared" si="150"/>
        <v>02:26:58 PM</v>
      </c>
      <c r="BL1953" s="2" t="s">
        <v>3103</v>
      </c>
    </row>
    <row r="1954" spans="1:64" x14ac:dyDescent="0.35">
      <c r="A1954">
        <v>6370</v>
      </c>
      <c r="B1954" t="s">
        <v>13</v>
      </c>
      <c r="C1954" s="1">
        <v>45260</v>
      </c>
      <c r="D1954" t="s">
        <v>11</v>
      </c>
      <c r="E1954" t="s">
        <v>14</v>
      </c>
      <c r="F1954">
        <v>5</v>
      </c>
      <c r="G1954">
        <v>2450.9899999999998</v>
      </c>
      <c r="H1954">
        <v>12254.95</v>
      </c>
      <c r="I1954">
        <v>1838.45</v>
      </c>
      <c r="J1954">
        <v>10416.5</v>
      </c>
      <c r="K1954">
        <v>17</v>
      </c>
      <c r="L1954" s="11">
        <v>0.79351851851851851</v>
      </c>
      <c r="M1954">
        <f t="shared" si="151"/>
        <v>30</v>
      </c>
      <c r="N1954">
        <f t="shared" si="152"/>
        <v>11</v>
      </c>
      <c r="O1954">
        <f t="shared" si="153"/>
        <v>2023</v>
      </c>
      <c r="P1954" s="4">
        <f t="shared" si="154"/>
        <v>45260</v>
      </c>
      <c r="Q1954" t="s">
        <v>1134</v>
      </c>
      <c r="R1954" t="s">
        <v>1135</v>
      </c>
      <c r="S1954">
        <v>3</v>
      </c>
      <c r="T1954" t="s">
        <v>1141</v>
      </c>
      <c r="U1954" s="11" t="str">
        <f t="shared" si="150"/>
        <v>07:02:40 PM</v>
      </c>
      <c r="BL1954" s="2" t="s">
        <v>3104</v>
      </c>
    </row>
    <row r="1955" spans="1:64" x14ac:dyDescent="0.35">
      <c r="A1955">
        <v>2494</v>
      </c>
      <c r="B1955" t="s">
        <v>3</v>
      </c>
      <c r="C1955" s="1">
        <v>45697</v>
      </c>
      <c r="D1955" t="s">
        <v>34</v>
      </c>
      <c r="E1955" t="s">
        <v>33</v>
      </c>
      <c r="F1955">
        <v>5</v>
      </c>
      <c r="G1955">
        <v>1070.7</v>
      </c>
      <c r="H1955">
        <v>5353.5</v>
      </c>
      <c r="I1955">
        <v>369.35</v>
      </c>
      <c r="J1955">
        <v>4984.1499999999996</v>
      </c>
      <c r="K1955">
        <v>5</v>
      </c>
      <c r="L1955" s="11">
        <v>3.6458333333333336E-2</v>
      </c>
      <c r="M1955">
        <f t="shared" si="151"/>
        <v>9</v>
      </c>
      <c r="N1955">
        <f t="shared" si="152"/>
        <v>2</v>
      </c>
      <c r="O1955">
        <f t="shared" si="153"/>
        <v>2025</v>
      </c>
      <c r="P1955" s="4">
        <f t="shared" si="154"/>
        <v>45697</v>
      </c>
      <c r="Q1955" t="s">
        <v>1136</v>
      </c>
      <c r="R1955" t="s">
        <v>1137</v>
      </c>
      <c r="S1955">
        <v>4</v>
      </c>
      <c r="T1955" t="s">
        <v>1149</v>
      </c>
      <c r="U1955" s="11" t="str">
        <f t="shared" si="150"/>
        <v>12:52:30 AM</v>
      </c>
      <c r="BL1955" s="2" t="s">
        <v>3105</v>
      </c>
    </row>
    <row r="1956" spans="1:64" x14ac:dyDescent="0.35">
      <c r="A1956">
        <v>5066</v>
      </c>
      <c r="B1956" t="s">
        <v>20</v>
      </c>
      <c r="C1956" s="1">
        <v>45421</v>
      </c>
      <c r="D1956" t="s">
        <v>27</v>
      </c>
      <c r="E1956" t="s">
        <v>22</v>
      </c>
      <c r="F1956">
        <v>1</v>
      </c>
      <c r="G1956">
        <v>1290.6500000000001</v>
      </c>
      <c r="H1956">
        <v>1290.6500000000001</v>
      </c>
      <c r="I1956">
        <v>0</v>
      </c>
      <c r="J1956">
        <v>1290.6500000000001</v>
      </c>
      <c r="K1956">
        <v>237</v>
      </c>
      <c r="L1956" s="11">
        <v>0.79104166666666664</v>
      </c>
      <c r="M1956">
        <f t="shared" si="151"/>
        <v>9</v>
      </c>
      <c r="N1956">
        <f t="shared" si="152"/>
        <v>5</v>
      </c>
      <c r="O1956">
        <f t="shared" si="153"/>
        <v>2024</v>
      </c>
      <c r="P1956" s="4">
        <f t="shared" si="154"/>
        <v>45421</v>
      </c>
      <c r="Q1956" t="s">
        <v>1134</v>
      </c>
      <c r="R1956" t="s">
        <v>1135</v>
      </c>
      <c r="S1956">
        <v>2</v>
      </c>
      <c r="T1956" t="s">
        <v>1149</v>
      </c>
      <c r="U1956" s="11" t="str">
        <f t="shared" si="150"/>
        <v>06:59:06 PM</v>
      </c>
      <c r="BL1956" s="2" t="s">
        <v>3106</v>
      </c>
    </row>
    <row r="1957" spans="1:64" x14ac:dyDescent="0.35">
      <c r="A1957">
        <v>7492</v>
      </c>
      <c r="B1957" t="s">
        <v>13</v>
      </c>
      <c r="C1957" s="1">
        <v>45543</v>
      </c>
      <c r="D1957" t="s">
        <v>27</v>
      </c>
      <c r="E1957" t="s">
        <v>29</v>
      </c>
      <c r="F1957">
        <v>3</v>
      </c>
      <c r="G1957">
        <v>1491.51</v>
      </c>
      <c r="H1957">
        <v>4474.53</v>
      </c>
      <c r="I1957">
        <v>894.74</v>
      </c>
      <c r="J1957">
        <v>3579.79</v>
      </c>
      <c r="K1957">
        <v>357</v>
      </c>
      <c r="L1957" s="11">
        <v>0.37937500000000002</v>
      </c>
      <c r="M1957">
        <f t="shared" si="151"/>
        <v>8</v>
      </c>
      <c r="N1957">
        <f t="shared" si="152"/>
        <v>9</v>
      </c>
      <c r="O1957">
        <f t="shared" si="153"/>
        <v>2024</v>
      </c>
      <c r="P1957" s="4">
        <f t="shared" si="154"/>
        <v>45543</v>
      </c>
      <c r="Q1957" t="s">
        <v>1138</v>
      </c>
      <c r="R1957" t="s">
        <v>1137</v>
      </c>
      <c r="S1957">
        <v>2</v>
      </c>
      <c r="T1957" t="s">
        <v>1146</v>
      </c>
      <c r="U1957" s="11" t="str">
        <f t="shared" si="150"/>
        <v>09:06:18 AM</v>
      </c>
      <c r="BL1957" s="2" t="s">
        <v>3107</v>
      </c>
    </row>
    <row r="1958" spans="1:64" x14ac:dyDescent="0.35">
      <c r="A1958">
        <v>1802</v>
      </c>
      <c r="B1958" t="s">
        <v>15</v>
      </c>
      <c r="C1958" s="1">
        <v>45670</v>
      </c>
      <c r="D1958" t="s">
        <v>24</v>
      </c>
      <c r="E1958" t="s">
        <v>18</v>
      </c>
      <c r="F1958">
        <v>1</v>
      </c>
      <c r="G1958">
        <v>781.03</v>
      </c>
      <c r="H1958">
        <v>781.03</v>
      </c>
      <c r="I1958">
        <v>311.25</v>
      </c>
      <c r="J1958">
        <v>469.78</v>
      </c>
      <c r="K1958">
        <v>169</v>
      </c>
      <c r="L1958" s="11">
        <v>0.67203703703703699</v>
      </c>
      <c r="M1958">
        <f t="shared" si="151"/>
        <v>13</v>
      </c>
      <c r="N1958">
        <f t="shared" si="152"/>
        <v>1</v>
      </c>
      <c r="O1958">
        <f t="shared" si="153"/>
        <v>2025</v>
      </c>
      <c r="P1958" s="4">
        <f t="shared" si="154"/>
        <v>45670</v>
      </c>
      <c r="Q1958" t="s">
        <v>1139</v>
      </c>
      <c r="R1958" t="s">
        <v>1137</v>
      </c>
      <c r="S1958">
        <v>4</v>
      </c>
      <c r="T1958" t="s">
        <v>1150</v>
      </c>
      <c r="U1958" s="11" t="str">
        <f t="shared" si="150"/>
        <v>04:07:44 PM</v>
      </c>
      <c r="BL1958" s="2" t="s">
        <v>3108</v>
      </c>
    </row>
    <row r="1959" spans="1:64" x14ac:dyDescent="0.35">
      <c r="A1959">
        <v>5896</v>
      </c>
      <c r="B1959" t="s">
        <v>0</v>
      </c>
      <c r="C1959" s="1">
        <v>45347</v>
      </c>
      <c r="D1959" t="s">
        <v>6</v>
      </c>
      <c r="E1959" t="s">
        <v>37</v>
      </c>
      <c r="F1959">
        <v>4</v>
      </c>
      <c r="G1959">
        <v>681.43</v>
      </c>
      <c r="H1959">
        <v>2725.72</v>
      </c>
      <c r="I1959">
        <v>272.24</v>
      </c>
      <c r="J1959">
        <v>2453.48</v>
      </c>
      <c r="K1959">
        <v>198</v>
      </c>
      <c r="L1959" s="11">
        <v>0.41833333333333333</v>
      </c>
      <c r="M1959">
        <f t="shared" si="151"/>
        <v>25</v>
      </c>
      <c r="N1959">
        <f t="shared" si="152"/>
        <v>2</v>
      </c>
      <c r="O1959">
        <f t="shared" si="153"/>
        <v>2024</v>
      </c>
      <c r="P1959" s="4">
        <f t="shared" si="154"/>
        <v>45347</v>
      </c>
      <c r="Q1959" t="s">
        <v>1134</v>
      </c>
      <c r="R1959" t="s">
        <v>1135</v>
      </c>
      <c r="S1959">
        <v>5</v>
      </c>
      <c r="T1959" t="s">
        <v>1145</v>
      </c>
      <c r="U1959" s="11" t="str">
        <f t="shared" si="150"/>
        <v>10:02:24 AM</v>
      </c>
      <c r="BL1959" s="2" t="s">
        <v>3109</v>
      </c>
    </row>
    <row r="1960" spans="1:64" x14ac:dyDescent="0.35">
      <c r="A1960">
        <v>3848</v>
      </c>
      <c r="B1960" t="s">
        <v>20</v>
      </c>
      <c r="C1960" s="1">
        <v>45169</v>
      </c>
      <c r="D1960" t="s">
        <v>24</v>
      </c>
      <c r="E1960" t="s">
        <v>18</v>
      </c>
      <c r="F1960">
        <v>2</v>
      </c>
      <c r="G1960">
        <v>900.55</v>
      </c>
      <c r="H1960">
        <v>1801.1</v>
      </c>
      <c r="I1960">
        <v>360.22</v>
      </c>
      <c r="J1960">
        <v>1440.88</v>
      </c>
      <c r="K1960">
        <v>349</v>
      </c>
      <c r="L1960" s="11">
        <v>2.2349537037037036E-2</v>
      </c>
      <c r="M1960">
        <f t="shared" si="151"/>
        <v>31</v>
      </c>
      <c r="N1960">
        <f t="shared" si="152"/>
        <v>8</v>
      </c>
      <c r="O1960">
        <f t="shared" si="153"/>
        <v>2023</v>
      </c>
      <c r="P1960" s="4">
        <f t="shared" si="154"/>
        <v>45169</v>
      </c>
      <c r="Q1960" t="s">
        <v>1138</v>
      </c>
      <c r="R1960" t="s">
        <v>1135</v>
      </c>
      <c r="S1960">
        <v>4</v>
      </c>
      <c r="T1960" t="s">
        <v>1146</v>
      </c>
      <c r="U1960" s="11" t="str">
        <f t="shared" si="150"/>
        <v>12:32:11 AM</v>
      </c>
      <c r="BL1960" s="2" t="s">
        <v>3110</v>
      </c>
    </row>
    <row r="1961" spans="1:64" x14ac:dyDescent="0.35">
      <c r="A1961">
        <v>7625</v>
      </c>
      <c r="B1961" t="s">
        <v>15</v>
      </c>
      <c r="C1961" s="1">
        <v>45808</v>
      </c>
      <c r="D1961" t="s">
        <v>4</v>
      </c>
      <c r="E1961" t="s">
        <v>38</v>
      </c>
      <c r="F1961">
        <v>2</v>
      </c>
      <c r="G1961">
        <v>417.49</v>
      </c>
      <c r="H1961">
        <v>834.98</v>
      </c>
      <c r="I1961">
        <v>83.83</v>
      </c>
      <c r="J1961">
        <v>751.15</v>
      </c>
      <c r="K1961">
        <v>379</v>
      </c>
      <c r="L1961" s="11">
        <v>0.9369791666666667</v>
      </c>
      <c r="M1961">
        <f t="shared" si="151"/>
        <v>31</v>
      </c>
      <c r="N1961">
        <f t="shared" si="152"/>
        <v>5</v>
      </c>
      <c r="O1961">
        <f t="shared" si="153"/>
        <v>2025</v>
      </c>
      <c r="P1961" s="4">
        <f t="shared" si="154"/>
        <v>45808</v>
      </c>
      <c r="Q1961" t="s">
        <v>1134</v>
      </c>
      <c r="R1961" t="s">
        <v>1135</v>
      </c>
      <c r="S1961">
        <v>3</v>
      </c>
      <c r="T1961" t="s">
        <v>1147</v>
      </c>
      <c r="U1961" s="11" t="str">
        <f t="shared" si="150"/>
        <v>10:29:15 PM</v>
      </c>
      <c r="BL1961" s="2" t="s">
        <v>3111</v>
      </c>
    </row>
    <row r="1962" spans="1:64" x14ac:dyDescent="0.35">
      <c r="A1962">
        <v>8408</v>
      </c>
      <c r="B1962" t="s">
        <v>15</v>
      </c>
      <c r="C1962" s="1">
        <v>45576</v>
      </c>
      <c r="D1962" t="s">
        <v>11</v>
      </c>
      <c r="E1962" t="s">
        <v>5</v>
      </c>
      <c r="F1962">
        <v>1</v>
      </c>
      <c r="G1962">
        <v>1786.99</v>
      </c>
      <c r="H1962">
        <v>1786.99</v>
      </c>
      <c r="I1962">
        <v>0</v>
      </c>
      <c r="J1962">
        <v>1786.99</v>
      </c>
      <c r="K1962">
        <v>459</v>
      </c>
      <c r="L1962" s="11">
        <v>0.89015046296296296</v>
      </c>
      <c r="M1962">
        <f t="shared" si="151"/>
        <v>11</v>
      </c>
      <c r="N1962">
        <f t="shared" si="152"/>
        <v>10</v>
      </c>
      <c r="O1962">
        <f t="shared" si="153"/>
        <v>2024</v>
      </c>
      <c r="P1962" s="4">
        <f t="shared" si="154"/>
        <v>45576</v>
      </c>
      <c r="Q1962" t="s">
        <v>1139</v>
      </c>
      <c r="R1962" t="s">
        <v>1135</v>
      </c>
      <c r="S1962">
        <v>5</v>
      </c>
      <c r="T1962" t="s">
        <v>1145</v>
      </c>
      <c r="U1962" s="11" t="str">
        <f t="shared" ref="U1962:U1981" si="155">TEXT(L1962,"hh:mm:ss AM/PM")</f>
        <v>09:21:49 PM</v>
      </c>
      <c r="BL1962" s="2" t="s">
        <v>3112</v>
      </c>
    </row>
    <row r="1963" spans="1:64" x14ac:dyDescent="0.35">
      <c r="A1963">
        <v>5093</v>
      </c>
      <c r="B1963" t="s">
        <v>3</v>
      </c>
      <c r="C1963" s="1">
        <v>45218</v>
      </c>
      <c r="D1963" t="s">
        <v>4</v>
      </c>
      <c r="E1963" t="s">
        <v>5</v>
      </c>
      <c r="F1963">
        <v>4</v>
      </c>
      <c r="G1963">
        <v>162.68</v>
      </c>
      <c r="H1963">
        <v>650.72</v>
      </c>
      <c r="I1963">
        <v>104.58</v>
      </c>
      <c r="J1963">
        <v>546.14</v>
      </c>
      <c r="K1963">
        <v>223</v>
      </c>
      <c r="L1963" s="11">
        <v>1.1759259259259259E-2</v>
      </c>
      <c r="M1963">
        <f t="shared" si="151"/>
        <v>19</v>
      </c>
      <c r="N1963">
        <f t="shared" si="152"/>
        <v>10</v>
      </c>
      <c r="O1963">
        <f t="shared" si="153"/>
        <v>2023</v>
      </c>
      <c r="P1963" s="4">
        <f t="shared" si="154"/>
        <v>45218</v>
      </c>
      <c r="Q1963" t="s">
        <v>1138</v>
      </c>
      <c r="R1963" t="s">
        <v>1137</v>
      </c>
      <c r="S1963">
        <v>1</v>
      </c>
      <c r="T1963" t="s">
        <v>1145</v>
      </c>
      <c r="U1963" s="11" t="str">
        <f t="shared" si="155"/>
        <v>12:16:56 AM</v>
      </c>
      <c r="BL1963" s="2" t="s">
        <v>3113</v>
      </c>
    </row>
    <row r="1964" spans="1:64" x14ac:dyDescent="0.35">
      <c r="A1964">
        <v>8570</v>
      </c>
      <c r="B1964" t="s">
        <v>19</v>
      </c>
      <c r="C1964" s="1">
        <v>45224</v>
      </c>
      <c r="D1964" t="s">
        <v>16</v>
      </c>
      <c r="E1964" t="s">
        <v>12</v>
      </c>
      <c r="F1964">
        <v>4</v>
      </c>
      <c r="G1964">
        <v>1048.29</v>
      </c>
      <c r="H1964">
        <v>4193.16</v>
      </c>
      <c r="I1964">
        <v>838.3</v>
      </c>
      <c r="J1964">
        <v>3354.86</v>
      </c>
      <c r="K1964">
        <v>470</v>
      </c>
      <c r="L1964" s="11">
        <v>9.8518518518518519E-2</v>
      </c>
      <c r="M1964">
        <f t="shared" si="151"/>
        <v>25</v>
      </c>
      <c r="N1964">
        <f t="shared" si="152"/>
        <v>10</v>
      </c>
      <c r="O1964">
        <f t="shared" si="153"/>
        <v>2023</v>
      </c>
      <c r="P1964" s="4">
        <f t="shared" si="154"/>
        <v>45224</v>
      </c>
      <c r="Q1964" t="s">
        <v>1139</v>
      </c>
      <c r="R1964" t="s">
        <v>1137</v>
      </c>
      <c r="S1964">
        <v>4</v>
      </c>
      <c r="T1964" t="s">
        <v>1148</v>
      </c>
      <c r="U1964" s="11" t="str">
        <f t="shared" si="155"/>
        <v>02:21:52 AM</v>
      </c>
      <c r="BL1964" s="2" t="s">
        <v>1128</v>
      </c>
    </row>
    <row r="1965" spans="1:64" x14ac:dyDescent="0.35">
      <c r="A1965">
        <v>3290</v>
      </c>
      <c r="B1965" t="s">
        <v>0</v>
      </c>
      <c r="C1965" s="1">
        <v>45239</v>
      </c>
      <c r="D1965" t="s">
        <v>1</v>
      </c>
      <c r="E1965" t="s">
        <v>18</v>
      </c>
      <c r="F1965">
        <v>1</v>
      </c>
      <c r="G1965">
        <v>1454.99</v>
      </c>
      <c r="H1965">
        <v>1454.99</v>
      </c>
      <c r="I1965">
        <v>145.25</v>
      </c>
      <c r="J1965">
        <v>1309.74</v>
      </c>
      <c r="K1965">
        <v>340</v>
      </c>
      <c r="L1965" s="11">
        <v>0.30444444444444446</v>
      </c>
      <c r="M1965">
        <f t="shared" si="151"/>
        <v>9</v>
      </c>
      <c r="N1965">
        <f t="shared" si="152"/>
        <v>11</v>
      </c>
      <c r="O1965">
        <f t="shared" si="153"/>
        <v>2023</v>
      </c>
      <c r="P1965" s="4">
        <f t="shared" si="154"/>
        <v>45239</v>
      </c>
      <c r="Q1965" t="s">
        <v>1139</v>
      </c>
      <c r="R1965" t="s">
        <v>1137</v>
      </c>
      <c r="S1965">
        <v>3</v>
      </c>
      <c r="T1965" t="s">
        <v>1146</v>
      </c>
      <c r="U1965" s="11" t="str">
        <f t="shared" si="155"/>
        <v>07:18:24 AM</v>
      </c>
    </row>
    <row r="1966" spans="1:64" x14ac:dyDescent="0.35">
      <c r="A1966">
        <v>1195</v>
      </c>
      <c r="B1966" t="s">
        <v>3</v>
      </c>
      <c r="C1966" s="1">
        <v>45192</v>
      </c>
      <c r="D1966" t="s">
        <v>11</v>
      </c>
      <c r="E1966" t="s">
        <v>7</v>
      </c>
      <c r="F1966">
        <v>3</v>
      </c>
      <c r="G1966">
        <v>1232.55</v>
      </c>
      <c r="H1966">
        <v>3697.65</v>
      </c>
      <c r="I1966">
        <v>219.95</v>
      </c>
      <c r="J1966">
        <v>3477.7</v>
      </c>
      <c r="K1966">
        <v>497</v>
      </c>
      <c r="L1966" s="11">
        <v>0.9730671296296296</v>
      </c>
      <c r="M1966">
        <f t="shared" si="151"/>
        <v>23</v>
      </c>
      <c r="N1966">
        <f t="shared" si="152"/>
        <v>9</v>
      </c>
      <c r="O1966">
        <f t="shared" si="153"/>
        <v>2023</v>
      </c>
      <c r="P1966" s="4">
        <f t="shared" si="154"/>
        <v>45192</v>
      </c>
      <c r="Q1966" t="s">
        <v>1138</v>
      </c>
      <c r="R1966" t="s">
        <v>1135</v>
      </c>
      <c r="S1966">
        <v>5</v>
      </c>
      <c r="T1966" t="s">
        <v>1142</v>
      </c>
      <c r="U1966" s="11" t="str">
        <f t="shared" si="155"/>
        <v>11:21:13 PM</v>
      </c>
    </row>
    <row r="1967" spans="1:64" x14ac:dyDescent="0.35">
      <c r="A1967">
        <v>4641</v>
      </c>
      <c r="B1967" t="s">
        <v>3</v>
      </c>
      <c r="C1967" s="1">
        <v>45246</v>
      </c>
      <c r="D1967" t="s">
        <v>1</v>
      </c>
      <c r="E1967" t="s">
        <v>14</v>
      </c>
      <c r="F1967">
        <v>2</v>
      </c>
      <c r="G1967">
        <v>436.58</v>
      </c>
      <c r="H1967">
        <v>873.16</v>
      </c>
      <c r="I1967">
        <v>206.67</v>
      </c>
      <c r="J1967">
        <v>666.49</v>
      </c>
      <c r="K1967">
        <v>68</v>
      </c>
      <c r="L1967" s="11">
        <v>0.40130787037037036</v>
      </c>
      <c r="M1967">
        <f t="shared" si="151"/>
        <v>16</v>
      </c>
      <c r="N1967">
        <f t="shared" si="152"/>
        <v>11</v>
      </c>
      <c r="O1967">
        <f t="shared" si="153"/>
        <v>2023</v>
      </c>
      <c r="P1967" s="4">
        <f t="shared" si="154"/>
        <v>45246</v>
      </c>
      <c r="Q1967" t="s">
        <v>1138</v>
      </c>
      <c r="R1967" t="s">
        <v>1137</v>
      </c>
      <c r="S1967">
        <v>4</v>
      </c>
      <c r="T1967" t="s">
        <v>1141</v>
      </c>
      <c r="U1967" s="11" t="str">
        <f t="shared" si="155"/>
        <v>09:37:53 AM</v>
      </c>
    </row>
    <row r="1968" spans="1:64" x14ac:dyDescent="0.35">
      <c r="A1968">
        <v>4246</v>
      </c>
      <c r="B1968" t="s">
        <v>3</v>
      </c>
      <c r="C1968" s="1">
        <v>45784</v>
      </c>
      <c r="D1968" t="s">
        <v>1</v>
      </c>
      <c r="E1968" t="s">
        <v>38</v>
      </c>
      <c r="F1968">
        <v>5</v>
      </c>
      <c r="G1968">
        <v>1684.9</v>
      </c>
      <c r="H1968">
        <v>8424.5</v>
      </c>
      <c r="I1968">
        <v>1263.26</v>
      </c>
      <c r="J1968">
        <v>7161.24</v>
      </c>
      <c r="K1968">
        <v>299</v>
      </c>
      <c r="L1968" s="11">
        <v>0.68136574074074074</v>
      </c>
      <c r="M1968">
        <f t="shared" si="151"/>
        <v>7</v>
      </c>
      <c r="N1968">
        <f t="shared" si="152"/>
        <v>5</v>
      </c>
      <c r="O1968">
        <f t="shared" si="153"/>
        <v>2025</v>
      </c>
      <c r="P1968" s="4">
        <f t="shared" si="154"/>
        <v>45784</v>
      </c>
      <c r="Q1968" t="s">
        <v>1138</v>
      </c>
      <c r="R1968" t="s">
        <v>1135</v>
      </c>
      <c r="S1968">
        <v>2</v>
      </c>
      <c r="T1968" t="s">
        <v>1146</v>
      </c>
      <c r="U1968" s="11" t="str">
        <f t="shared" si="155"/>
        <v>04:21:10 PM</v>
      </c>
    </row>
    <row r="1969" spans="1:21" x14ac:dyDescent="0.35">
      <c r="A1969">
        <v>7563</v>
      </c>
      <c r="B1969" t="s">
        <v>8</v>
      </c>
      <c r="C1969" s="1">
        <v>45434</v>
      </c>
      <c r="D1969" t="s">
        <v>11</v>
      </c>
      <c r="E1969" t="s">
        <v>14</v>
      </c>
      <c r="F1969">
        <v>4</v>
      </c>
      <c r="G1969">
        <v>2011.09</v>
      </c>
      <c r="H1969">
        <v>8044.36</v>
      </c>
      <c r="I1969">
        <v>804.27</v>
      </c>
      <c r="J1969">
        <v>7240.09</v>
      </c>
      <c r="K1969">
        <v>96</v>
      </c>
      <c r="L1969" s="11">
        <v>0.19188657407407408</v>
      </c>
      <c r="M1969">
        <f t="shared" si="151"/>
        <v>22</v>
      </c>
      <c r="N1969">
        <f t="shared" si="152"/>
        <v>5</v>
      </c>
      <c r="O1969">
        <f t="shared" si="153"/>
        <v>2024</v>
      </c>
      <c r="P1969" s="4">
        <f t="shared" si="154"/>
        <v>45434</v>
      </c>
      <c r="Q1969" t="s">
        <v>1136</v>
      </c>
      <c r="R1969" t="s">
        <v>1135</v>
      </c>
      <c r="S1969">
        <v>4</v>
      </c>
      <c r="T1969" t="s">
        <v>1145</v>
      </c>
      <c r="U1969" s="11" t="str">
        <f t="shared" si="155"/>
        <v>04:36:19 AM</v>
      </c>
    </row>
    <row r="1970" spans="1:21" x14ac:dyDescent="0.35">
      <c r="A1970">
        <v>2376</v>
      </c>
      <c r="B1970" t="s">
        <v>15</v>
      </c>
      <c r="C1970" s="1">
        <v>45597</v>
      </c>
      <c r="D1970" t="s">
        <v>6</v>
      </c>
      <c r="E1970" t="s">
        <v>38</v>
      </c>
      <c r="F1970">
        <v>2</v>
      </c>
      <c r="G1970">
        <v>1015.92</v>
      </c>
      <c r="H1970">
        <v>2031.84</v>
      </c>
      <c r="I1970">
        <v>406.7</v>
      </c>
      <c r="J1970">
        <v>1625.14</v>
      </c>
      <c r="K1970">
        <v>324</v>
      </c>
      <c r="L1970" s="11">
        <v>0.52174768518518522</v>
      </c>
      <c r="M1970">
        <f t="shared" si="151"/>
        <v>1</v>
      </c>
      <c r="N1970">
        <f t="shared" si="152"/>
        <v>11</v>
      </c>
      <c r="O1970">
        <f t="shared" si="153"/>
        <v>2024</v>
      </c>
      <c r="P1970" s="4">
        <f t="shared" si="154"/>
        <v>45597</v>
      </c>
      <c r="Q1970" t="s">
        <v>1138</v>
      </c>
      <c r="R1970" t="s">
        <v>1135</v>
      </c>
      <c r="S1970">
        <v>1</v>
      </c>
      <c r="T1970" t="s">
        <v>1143</v>
      </c>
      <c r="U1970" s="11" t="str">
        <f t="shared" si="155"/>
        <v>12:31:19 PM</v>
      </c>
    </row>
    <row r="1971" spans="1:21" x14ac:dyDescent="0.35">
      <c r="A1971">
        <v>5240</v>
      </c>
      <c r="B1971" t="s">
        <v>8</v>
      </c>
      <c r="C1971" s="1">
        <v>45857</v>
      </c>
      <c r="D1971" t="s">
        <v>27</v>
      </c>
      <c r="E1971" t="s">
        <v>30</v>
      </c>
      <c r="F1971">
        <v>1</v>
      </c>
      <c r="G1971">
        <v>1231.72</v>
      </c>
      <c r="H1971">
        <v>1231.72</v>
      </c>
      <c r="I1971">
        <v>246.51</v>
      </c>
      <c r="J1971">
        <v>985.21</v>
      </c>
      <c r="K1971">
        <v>37</v>
      </c>
      <c r="L1971" s="11">
        <v>0.79142361111111115</v>
      </c>
      <c r="M1971">
        <f t="shared" si="151"/>
        <v>19</v>
      </c>
      <c r="N1971">
        <f t="shared" si="152"/>
        <v>7</v>
      </c>
      <c r="O1971">
        <f t="shared" si="153"/>
        <v>2025</v>
      </c>
      <c r="P1971" s="4">
        <f t="shared" si="154"/>
        <v>45857</v>
      </c>
      <c r="Q1971" t="s">
        <v>1138</v>
      </c>
      <c r="R1971" t="s">
        <v>1135</v>
      </c>
      <c r="S1971">
        <v>4</v>
      </c>
      <c r="T1971" t="s">
        <v>1145</v>
      </c>
      <c r="U1971" s="11" t="str">
        <f t="shared" si="155"/>
        <v>06:59:39 PM</v>
      </c>
    </row>
    <row r="1972" spans="1:21" x14ac:dyDescent="0.35">
      <c r="A1972">
        <v>2228</v>
      </c>
      <c r="B1972" t="s">
        <v>13</v>
      </c>
      <c r="C1972" s="1">
        <v>45161</v>
      </c>
      <c r="D1972" t="s">
        <v>16</v>
      </c>
      <c r="E1972" t="s">
        <v>12</v>
      </c>
      <c r="F1972">
        <v>2</v>
      </c>
      <c r="G1972">
        <v>2075</v>
      </c>
      <c r="H1972">
        <v>4150</v>
      </c>
      <c r="I1972">
        <v>415</v>
      </c>
      <c r="J1972">
        <v>3735</v>
      </c>
      <c r="K1972">
        <v>208</v>
      </c>
      <c r="L1972" s="11">
        <v>0.71966435185185185</v>
      </c>
      <c r="M1972">
        <f t="shared" si="151"/>
        <v>23</v>
      </c>
      <c r="N1972">
        <f t="shared" si="152"/>
        <v>8</v>
      </c>
      <c r="O1972">
        <f t="shared" si="153"/>
        <v>2023</v>
      </c>
      <c r="P1972" s="4">
        <f t="shared" si="154"/>
        <v>45161</v>
      </c>
      <c r="Q1972" t="s">
        <v>1138</v>
      </c>
      <c r="R1972" t="s">
        <v>1135</v>
      </c>
      <c r="S1972">
        <v>5</v>
      </c>
      <c r="T1972" t="s">
        <v>1145</v>
      </c>
      <c r="U1972" s="11" t="str">
        <f t="shared" si="155"/>
        <v>05:16:19 PM</v>
      </c>
    </row>
    <row r="1973" spans="1:21" x14ac:dyDescent="0.35">
      <c r="A1973">
        <v>2056</v>
      </c>
      <c r="B1973" t="s">
        <v>20</v>
      </c>
      <c r="C1973" s="1">
        <v>45298</v>
      </c>
      <c r="D1973" t="s">
        <v>11</v>
      </c>
      <c r="E1973" t="s">
        <v>21</v>
      </c>
      <c r="F1973">
        <v>1</v>
      </c>
      <c r="G1973">
        <v>546.14</v>
      </c>
      <c r="H1973">
        <v>546.14</v>
      </c>
      <c r="I1973">
        <v>54.78</v>
      </c>
      <c r="J1973">
        <v>491.36</v>
      </c>
      <c r="K1973">
        <v>371</v>
      </c>
      <c r="L1973" s="11">
        <v>4.5451388888888888E-2</v>
      </c>
      <c r="M1973">
        <f t="shared" si="151"/>
        <v>7</v>
      </c>
      <c r="N1973">
        <f t="shared" si="152"/>
        <v>1</v>
      </c>
      <c r="O1973">
        <f t="shared" si="153"/>
        <v>2024</v>
      </c>
      <c r="P1973" s="4">
        <f t="shared" si="154"/>
        <v>45298</v>
      </c>
      <c r="Q1973" t="s">
        <v>1138</v>
      </c>
      <c r="R1973" t="s">
        <v>1135</v>
      </c>
      <c r="S1973">
        <v>5</v>
      </c>
      <c r="T1973" t="s">
        <v>1150</v>
      </c>
      <c r="U1973" s="11" t="str">
        <f t="shared" si="155"/>
        <v>01:05:27 AM</v>
      </c>
    </row>
    <row r="1974" spans="1:21" x14ac:dyDescent="0.35">
      <c r="A1974">
        <v>8265</v>
      </c>
      <c r="B1974" t="s">
        <v>15</v>
      </c>
      <c r="C1974" s="1">
        <v>45773</v>
      </c>
      <c r="D1974" t="s">
        <v>17</v>
      </c>
      <c r="E1974" t="s">
        <v>14</v>
      </c>
      <c r="F1974">
        <v>2</v>
      </c>
      <c r="G1974">
        <v>1235.8699999999999</v>
      </c>
      <c r="H1974">
        <v>2471.7399999999998</v>
      </c>
      <c r="I1974">
        <v>0</v>
      </c>
      <c r="J1974">
        <v>2471.7399999999998</v>
      </c>
      <c r="K1974">
        <v>486</v>
      </c>
      <c r="L1974" s="11">
        <v>0.51648148148148143</v>
      </c>
      <c r="M1974">
        <f t="shared" si="151"/>
        <v>26</v>
      </c>
      <c r="N1974">
        <f t="shared" si="152"/>
        <v>4</v>
      </c>
      <c r="O1974">
        <f t="shared" si="153"/>
        <v>2025</v>
      </c>
      <c r="P1974" s="4">
        <f t="shared" si="154"/>
        <v>45773</v>
      </c>
      <c r="Q1974" t="s">
        <v>1134</v>
      </c>
      <c r="R1974" t="s">
        <v>1137</v>
      </c>
      <c r="S1974">
        <v>4</v>
      </c>
      <c r="T1974" t="s">
        <v>1144</v>
      </c>
      <c r="U1974" s="11" t="str">
        <f t="shared" si="155"/>
        <v>12:23:44 PM</v>
      </c>
    </row>
    <row r="1975" spans="1:21" x14ac:dyDescent="0.35">
      <c r="A1975">
        <v>3110</v>
      </c>
      <c r="B1975" t="s">
        <v>8</v>
      </c>
      <c r="C1975" s="1">
        <v>45216</v>
      </c>
      <c r="D1975" t="s">
        <v>6</v>
      </c>
      <c r="E1975" t="s">
        <v>36</v>
      </c>
      <c r="F1975">
        <v>3</v>
      </c>
      <c r="G1975">
        <v>1279.03</v>
      </c>
      <c r="H1975">
        <v>3837.09</v>
      </c>
      <c r="I1975">
        <v>92.96</v>
      </c>
      <c r="J1975">
        <v>3744.13</v>
      </c>
      <c r="K1975">
        <v>38</v>
      </c>
      <c r="L1975" s="11">
        <v>0.80601851851851847</v>
      </c>
      <c r="M1975">
        <f t="shared" si="151"/>
        <v>17</v>
      </c>
      <c r="N1975">
        <f t="shared" si="152"/>
        <v>10</v>
      </c>
      <c r="O1975">
        <f t="shared" si="153"/>
        <v>2023</v>
      </c>
      <c r="P1975" s="4">
        <f>DATE(O1975,N1975,M1975)</f>
        <v>45216</v>
      </c>
      <c r="Q1975" t="s">
        <v>1136</v>
      </c>
      <c r="R1975" t="s">
        <v>1135</v>
      </c>
      <c r="S1975">
        <v>5</v>
      </c>
      <c r="T1975" t="s">
        <v>1150</v>
      </c>
      <c r="U1975" s="11" t="str">
        <f t="shared" si="155"/>
        <v>07:20:40 PM</v>
      </c>
    </row>
    <row r="1976" spans="1:21" x14ac:dyDescent="0.35">
      <c r="A1976">
        <v>6432</v>
      </c>
      <c r="B1976" t="s">
        <v>0</v>
      </c>
      <c r="C1976" s="1">
        <v>45240</v>
      </c>
      <c r="D1976" t="s">
        <v>27</v>
      </c>
      <c r="E1976" t="s">
        <v>32</v>
      </c>
      <c r="F1976">
        <v>2</v>
      </c>
      <c r="G1976">
        <v>1942.2</v>
      </c>
      <c r="H1976">
        <v>3884.4</v>
      </c>
      <c r="I1976">
        <v>582.66</v>
      </c>
      <c r="J1976">
        <v>3301.74</v>
      </c>
      <c r="K1976">
        <v>20</v>
      </c>
      <c r="L1976" s="11">
        <v>0.94621527777777781</v>
      </c>
      <c r="M1976">
        <f t="shared" si="151"/>
        <v>10</v>
      </c>
      <c r="N1976">
        <f t="shared" si="152"/>
        <v>11</v>
      </c>
      <c r="O1976">
        <f t="shared" si="153"/>
        <v>2023</v>
      </c>
      <c r="P1976" s="4">
        <f t="shared" si="154"/>
        <v>45240</v>
      </c>
      <c r="Q1976" t="s">
        <v>1139</v>
      </c>
      <c r="R1976" t="s">
        <v>1137</v>
      </c>
      <c r="S1976">
        <v>2</v>
      </c>
      <c r="T1976" t="s">
        <v>1146</v>
      </c>
      <c r="U1976" s="11" t="str">
        <f t="shared" si="155"/>
        <v>10:42:33 PM</v>
      </c>
    </row>
    <row r="1977" spans="1:21" x14ac:dyDescent="0.35">
      <c r="A1977">
        <v>1699</v>
      </c>
      <c r="B1977" t="s">
        <v>13</v>
      </c>
      <c r="C1977" s="1">
        <v>45503</v>
      </c>
      <c r="D1977" t="s">
        <v>24</v>
      </c>
      <c r="E1977" t="s">
        <v>22</v>
      </c>
      <c r="F1977">
        <v>3</v>
      </c>
      <c r="G1977">
        <v>812.57</v>
      </c>
      <c r="H1977">
        <v>2437.71</v>
      </c>
      <c r="I1977">
        <v>366.03</v>
      </c>
      <c r="J1977">
        <v>2071.6799999999998</v>
      </c>
      <c r="K1977">
        <v>274</v>
      </c>
      <c r="L1977" s="11">
        <v>0.86003472222222221</v>
      </c>
      <c r="M1977">
        <f t="shared" si="151"/>
        <v>30</v>
      </c>
      <c r="N1977">
        <f t="shared" si="152"/>
        <v>7</v>
      </c>
      <c r="O1977">
        <f t="shared" si="153"/>
        <v>2024</v>
      </c>
      <c r="P1977" s="4">
        <f t="shared" si="154"/>
        <v>45503</v>
      </c>
      <c r="Q1977" t="s">
        <v>1138</v>
      </c>
      <c r="R1977" t="s">
        <v>1137</v>
      </c>
      <c r="S1977">
        <v>4</v>
      </c>
      <c r="T1977" t="s">
        <v>1143</v>
      </c>
      <c r="U1977" s="11" t="str">
        <f t="shared" si="155"/>
        <v>08:38:27 PM</v>
      </c>
    </row>
    <row r="1978" spans="1:21" x14ac:dyDescent="0.35">
      <c r="A1978">
        <v>1829</v>
      </c>
      <c r="B1978" t="s">
        <v>15</v>
      </c>
      <c r="C1978" s="1">
        <v>45275</v>
      </c>
      <c r="D1978" t="s">
        <v>27</v>
      </c>
      <c r="E1978" t="s">
        <v>37</v>
      </c>
      <c r="F1978">
        <v>4</v>
      </c>
      <c r="G1978">
        <v>1905.68</v>
      </c>
      <c r="H1978">
        <v>7622.72</v>
      </c>
      <c r="I1978">
        <v>761.94</v>
      </c>
      <c r="J1978">
        <v>6860.78</v>
      </c>
      <c r="K1978">
        <v>429</v>
      </c>
      <c r="L1978" s="11">
        <v>0.72180555555555559</v>
      </c>
      <c r="M1978">
        <f t="shared" si="151"/>
        <v>15</v>
      </c>
      <c r="N1978">
        <f t="shared" si="152"/>
        <v>12</v>
      </c>
      <c r="O1978">
        <f t="shared" si="153"/>
        <v>2023</v>
      </c>
      <c r="P1978" s="4">
        <f t="shared" si="154"/>
        <v>45275</v>
      </c>
      <c r="Q1978" t="s">
        <v>1134</v>
      </c>
      <c r="R1978" t="s">
        <v>1135</v>
      </c>
      <c r="S1978">
        <v>2</v>
      </c>
      <c r="T1978" t="s">
        <v>1141</v>
      </c>
      <c r="U1978" s="11" t="str">
        <f t="shared" si="155"/>
        <v>05:19:24 PM</v>
      </c>
    </row>
    <row r="1979" spans="1:21" x14ac:dyDescent="0.35">
      <c r="A1979">
        <v>8096</v>
      </c>
      <c r="B1979" t="s">
        <v>25</v>
      </c>
      <c r="C1979" s="1">
        <v>45783</v>
      </c>
      <c r="D1979" t="s">
        <v>4</v>
      </c>
      <c r="E1979" t="s">
        <v>37</v>
      </c>
      <c r="F1979">
        <v>3</v>
      </c>
      <c r="G1979">
        <v>1364.52</v>
      </c>
      <c r="H1979">
        <v>4093.56</v>
      </c>
      <c r="I1979">
        <v>614.20000000000005</v>
      </c>
      <c r="J1979">
        <v>3479.36</v>
      </c>
      <c r="K1979">
        <v>315</v>
      </c>
      <c r="L1979" s="11">
        <v>0.38134259259259257</v>
      </c>
      <c r="M1979">
        <f t="shared" si="151"/>
        <v>6</v>
      </c>
      <c r="N1979">
        <f t="shared" si="152"/>
        <v>5</v>
      </c>
      <c r="O1979">
        <f t="shared" si="153"/>
        <v>2025</v>
      </c>
      <c r="P1979" s="4">
        <f t="shared" si="154"/>
        <v>45783</v>
      </c>
      <c r="Q1979" t="s">
        <v>1134</v>
      </c>
      <c r="R1979" t="s">
        <v>1135</v>
      </c>
      <c r="S1979">
        <v>2</v>
      </c>
      <c r="T1979" t="s">
        <v>1143</v>
      </c>
      <c r="U1979" s="11" t="str">
        <f t="shared" si="155"/>
        <v>09:09:08 AM</v>
      </c>
    </row>
    <row r="1980" spans="1:21" x14ac:dyDescent="0.35">
      <c r="A1980">
        <v>7471</v>
      </c>
      <c r="B1980" t="s">
        <v>19</v>
      </c>
      <c r="C1980" s="1">
        <v>45530</v>
      </c>
      <c r="D1980" t="s">
        <v>24</v>
      </c>
      <c r="E1980" t="s">
        <v>26</v>
      </c>
      <c r="F1980">
        <v>5</v>
      </c>
      <c r="G1980">
        <v>1318.04</v>
      </c>
      <c r="H1980">
        <v>6590.2</v>
      </c>
      <c r="I1980">
        <v>1318.04</v>
      </c>
      <c r="J1980">
        <v>5272.16</v>
      </c>
      <c r="K1980">
        <v>160</v>
      </c>
      <c r="L1980" s="11">
        <v>0.97377314814814819</v>
      </c>
      <c r="M1980">
        <f t="shared" si="151"/>
        <v>26</v>
      </c>
      <c r="N1980">
        <f t="shared" si="152"/>
        <v>8</v>
      </c>
      <c r="O1980">
        <f t="shared" si="153"/>
        <v>2024</v>
      </c>
      <c r="P1980" s="4">
        <f t="shared" si="154"/>
        <v>45530</v>
      </c>
      <c r="Q1980" t="s">
        <v>1134</v>
      </c>
      <c r="R1980" t="s">
        <v>1135</v>
      </c>
      <c r="S1980">
        <v>3</v>
      </c>
      <c r="T1980" t="s">
        <v>1144</v>
      </c>
      <c r="U1980" s="11" t="str">
        <f t="shared" si="155"/>
        <v>11:22:14 PM</v>
      </c>
    </row>
    <row r="1981" spans="1:21" x14ac:dyDescent="0.35">
      <c r="A1981">
        <v>1483</v>
      </c>
      <c r="B1981" t="s">
        <v>31</v>
      </c>
      <c r="C1981" s="1">
        <v>45442</v>
      </c>
      <c r="D1981" t="s">
        <v>11</v>
      </c>
      <c r="E1981" t="s">
        <v>26</v>
      </c>
      <c r="F1981">
        <v>2</v>
      </c>
      <c r="G1981">
        <v>2070.02</v>
      </c>
      <c r="H1981">
        <v>4140.04</v>
      </c>
      <c r="I1981">
        <v>620.84</v>
      </c>
      <c r="J1981">
        <v>3519.2</v>
      </c>
      <c r="K1981">
        <v>265</v>
      </c>
      <c r="L1981" s="11">
        <v>0.43686342592592592</v>
      </c>
      <c r="M1981">
        <f t="shared" si="151"/>
        <v>30</v>
      </c>
      <c r="N1981">
        <f t="shared" si="152"/>
        <v>5</v>
      </c>
      <c r="O1981">
        <f t="shared" si="153"/>
        <v>2024</v>
      </c>
      <c r="P1981" s="4">
        <f t="shared" si="154"/>
        <v>45442</v>
      </c>
      <c r="Q1981" t="s">
        <v>1139</v>
      </c>
      <c r="R1981" t="s">
        <v>1137</v>
      </c>
      <c r="S1981">
        <v>4</v>
      </c>
      <c r="T1981" t="s">
        <v>1146</v>
      </c>
      <c r="U1981" s="11" t="str">
        <f t="shared" si="155"/>
        <v>10:29:05 AM</v>
      </c>
    </row>
  </sheetData>
  <phoneticPr fontId="4" type="noConversion"/>
  <pageMargins left="0.75" right="0.75" top="1" bottom="1" header="0.5" footer="0.5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002A-6CC4-4661-95A1-84C951756124}">
  <dimension ref="B2:R692"/>
  <sheetViews>
    <sheetView topLeftCell="N204" workbookViewId="0">
      <selection activeCell="P209" sqref="P209"/>
    </sheetView>
  </sheetViews>
  <sheetFormatPr defaultRowHeight="14.5" x14ac:dyDescent="0.35"/>
  <cols>
    <col min="2" max="2" width="12.36328125" bestFit="1" customWidth="1"/>
    <col min="3" max="3" width="18.81640625" bestFit="1" customWidth="1"/>
    <col min="12" max="12" width="12.36328125" bestFit="1" customWidth="1"/>
    <col min="13" max="13" width="18.81640625" bestFit="1" customWidth="1"/>
    <col min="15" max="15" width="13.08984375" bestFit="1" customWidth="1"/>
    <col min="16" max="16" width="18.81640625" bestFit="1" customWidth="1"/>
    <col min="17" max="17" width="13" customWidth="1"/>
    <col min="18" max="18" width="19.1796875" customWidth="1"/>
  </cols>
  <sheetData>
    <row r="2" spans="2:13" x14ac:dyDescent="0.35">
      <c r="B2" s="7" t="s">
        <v>1127</v>
      </c>
      <c r="C2" t="s">
        <v>1129</v>
      </c>
      <c r="L2" s="7" t="s">
        <v>1127</v>
      </c>
      <c r="M2" t="s">
        <v>1129</v>
      </c>
    </row>
    <row r="3" spans="2:13" x14ac:dyDescent="0.35">
      <c r="B3" s="2" t="s">
        <v>1143</v>
      </c>
      <c r="C3" s="25">
        <v>654875.80999999971</v>
      </c>
      <c r="L3" s="4">
        <v>45145</v>
      </c>
      <c r="M3" s="25">
        <v>3363.16</v>
      </c>
    </row>
    <row r="4" spans="2:13" x14ac:dyDescent="0.35">
      <c r="B4" s="2" t="s">
        <v>1145</v>
      </c>
      <c r="C4" s="25">
        <v>615263.23</v>
      </c>
      <c r="L4" s="4">
        <v>45146</v>
      </c>
      <c r="M4" s="25">
        <v>18971.310000000001</v>
      </c>
    </row>
    <row r="5" spans="2:13" x14ac:dyDescent="0.35">
      <c r="B5" s="2" t="s">
        <v>1150</v>
      </c>
      <c r="C5" s="25">
        <v>722473.5</v>
      </c>
      <c r="L5" s="4">
        <v>45149</v>
      </c>
      <c r="M5" s="25">
        <v>7967.17</v>
      </c>
    </row>
    <row r="6" spans="2:13" x14ac:dyDescent="0.35">
      <c r="B6" s="2" t="s">
        <v>1141</v>
      </c>
      <c r="C6" s="25">
        <v>794395.49</v>
      </c>
      <c r="L6" s="4">
        <v>45150</v>
      </c>
      <c r="M6" s="25">
        <v>10785.02</v>
      </c>
    </row>
    <row r="7" spans="2:13" x14ac:dyDescent="0.35">
      <c r="B7" s="2" t="s">
        <v>1144</v>
      </c>
      <c r="C7" s="25">
        <v>651324.24000000011</v>
      </c>
      <c r="L7" s="4">
        <v>45151</v>
      </c>
      <c r="M7" s="25">
        <v>6434.99</v>
      </c>
    </row>
    <row r="8" spans="2:13" x14ac:dyDescent="0.35">
      <c r="B8" s="2" t="s">
        <v>1146</v>
      </c>
      <c r="C8" s="25">
        <v>650775.61000000034</v>
      </c>
      <c r="L8" s="4">
        <v>45152</v>
      </c>
      <c r="M8" s="25">
        <v>26791.57</v>
      </c>
    </row>
    <row r="9" spans="2:13" x14ac:dyDescent="0.35">
      <c r="B9" s="2" t="s">
        <v>1148</v>
      </c>
      <c r="C9" s="25">
        <v>734938.43999999959</v>
      </c>
      <c r="L9" s="4">
        <v>45154</v>
      </c>
      <c r="M9" s="25">
        <v>17571.93</v>
      </c>
    </row>
    <row r="10" spans="2:13" x14ac:dyDescent="0.35">
      <c r="B10" s="2" t="s">
        <v>1147</v>
      </c>
      <c r="C10" s="25">
        <v>628480.15000000026</v>
      </c>
      <c r="L10" s="4">
        <v>45155</v>
      </c>
      <c r="M10" s="25">
        <v>15472.029999999999</v>
      </c>
    </row>
    <row r="11" spans="2:13" x14ac:dyDescent="0.35">
      <c r="B11" s="2" t="s">
        <v>1142</v>
      </c>
      <c r="C11" s="25">
        <v>639966.51999999979</v>
      </c>
      <c r="L11" s="4">
        <v>45156</v>
      </c>
      <c r="M11" s="25">
        <v>8226.9599999999991</v>
      </c>
    </row>
    <row r="12" spans="2:13" x14ac:dyDescent="0.35">
      <c r="B12" s="2" t="s">
        <v>1149</v>
      </c>
      <c r="C12" s="25">
        <v>716603.74</v>
      </c>
      <c r="L12" s="4">
        <v>45157</v>
      </c>
      <c r="M12" s="25">
        <v>44199.159999999996</v>
      </c>
    </row>
    <row r="13" spans="2:13" x14ac:dyDescent="0.35">
      <c r="B13" s="2" t="s">
        <v>1128</v>
      </c>
      <c r="C13" s="25">
        <v>6809096.7299999995</v>
      </c>
      <c r="L13" s="4">
        <v>45158</v>
      </c>
      <c r="M13" s="25">
        <v>4694.4799999999996</v>
      </c>
    </row>
    <row r="14" spans="2:13" x14ac:dyDescent="0.35">
      <c r="L14" s="4">
        <v>45159</v>
      </c>
      <c r="M14" s="25">
        <v>3257.75</v>
      </c>
    </row>
    <row r="15" spans="2:13" x14ac:dyDescent="0.35">
      <c r="L15" s="4">
        <v>45161</v>
      </c>
      <c r="M15" s="25">
        <v>4505.24</v>
      </c>
    </row>
    <row r="16" spans="2:13" x14ac:dyDescent="0.35">
      <c r="B16" s="7" t="s">
        <v>1127</v>
      </c>
      <c r="C16" t="s">
        <v>1129</v>
      </c>
      <c r="L16" s="4">
        <v>45162</v>
      </c>
      <c r="M16" s="25">
        <v>7372.0599999999995</v>
      </c>
    </row>
    <row r="17" spans="2:13" x14ac:dyDescent="0.35">
      <c r="B17" s="2" t="s">
        <v>1138</v>
      </c>
      <c r="C17" s="25">
        <v>1811966.3599999989</v>
      </c>
      <c r="L17" s="4">
        <v>45163</v>
      </c>
      <c r="M17" s="25">
        <v>4548.3999999999996</v>
      </c>
    </row>
    <row r="18" spans="2:13" x14ac:dyDescent="0.35">
      <c r="B18" s="2" t="s">
        <v>1139</v>
      </c>
      <c r="C18" s="25">
        <v>1682204.1599999997</v>
      </c>
      <c r="L18" s="4">
        <v>45164</v>
      </c>
      <c r="M18" s="25">
        <v>12658.33</v>
      </c>
    </row>
    <row r="19" spans="2:13" x14ac:dyDescent="0.35">
      <c r="B19" s="2" t="s">
        <v>1134</v>
      </c>
      <c r="C19" s="25">
        <v>1650143.7499999986</v>
      </c>
      <c r="L19" s="4">
        <v>45165</v>
      </c>
      <c r="M19" s="25">
        <v>19952.37</v>
      </c>
    </row>
    <row r="20" spans="2:13" x14ac:dyDescent="0.35">
      <c r="B20" s="2" t="s">
        <v>1136</v>
      </c>
      <c r="C20" s="25">
        <v>1664782.459999999</v>
      </c>
      <c r="L20" s="4">
        <v>45166</v>
      </c>
      <c r="M20" s="25">
        <v>1206.82</v>
      </c>
    </row>
    <row r="21" spans="2:13" x14ac:dyDescent="0.35">
      <c r="B21" s="2" t="s">
        <v>1128</v>
      </c>
      <c r="C21" s="25">
        <v>6809096.7299999967</v>
      </c>
      <c r="L21" s="4">
        <v>45167</v>
      </c>
      <c r="M21" s="25">
        <v>8788.0400000000009</v>
      </c>
    </row>
    <row r="22" spans="2:13" x14ac:dyDescent="0.35">
      <c r="L22" s="4">
        <v>45168</v>
      </c>
      <c r="M22" s="25">
        <v>780.2</v>
      </c>
    </row>
    <row r="23" spans="2:13" x14ac:dyDescent="0.35">
      <c r="L23" s="4">
        <v>45169</v>
      </c>
      <c r="M23" s="25">
        <v>12957.130000000001</v>
      </c>
    </row>
    <row r="24" spans="2:13" x14ac:dyDescent="0.35">
      <c r="L24" s="4">
        <v>45170</v>
      </c>
      <c r="M24" s="25">
        <v>6559.49</v>
      </c>
    </row>
    <row r="25" spans="2:13" x14ac:dyDescent="0.35">
      <c r="L25" s="4">
        <v>45172</v>
      </c>
      <c r="M25" s="25">
        <v>4264.54</v>
      </c>
    </row>
    <row r="26" spans="2:13" x14ac:dyDescent="0.35">
      <c r="L26" s="4">
        <v>45173</v>
      </c>
      <c r="M26" s="25">
        <v>5019.84</v>
      </c>
    </row>
    <row r="27" spans="2:13" x14ac:dyDescent="0.35">
      <c r="L27" s="4">
        <v>45174</v>
      </c>
      <c r="M27" s="25">
        <v>9632.98</v>
      </c>
    </row>
    <row r="28" spans="2:13" x14ac:dyDescent="0.35">
      <c r="L28" s="4">
        <v>45175</v>
      </c>
      <c r="M28" s="25">
        <v>8163.05</v>
      </c>
    </row>
    <row r="29" spans="2:13" x14ac:dyDescent="0.35">
      <c r="B29" s="7" t="s">
        <v>1127</v>
      </c>
      <c r="C29" t="s">
        <v>1129</v>
      </c>
      <c r="L29" s="4">
        <v>45176</v>
      </c>
      <c r="M29" s="25">
        <v>531.20000000000005</v>
      </c>
    </row>
    <row r="30" spans="2:13" x14ac:dyDescent="0.35">
      <c r="B30" s="2" t="s">
        <v>3119</v>
      </c>
      <c r="C30" s="25">
        <v>531991.81999999995</v>
      </c>
      <c r="L30" s="4">
        <v>45177</v>
      </c>
      <c r="M30" s="25">
        <v>4329.28</v>
      </c>
    </row>
    <row r="31" spans="2:13" x14ac:dyDescent="0.35">
      <c r="B31" s="2" t="s">
        <v>3120</v>
      </c>
      <c r="C31" s="25">
        <v>536373.39</v>
      </c>
      <c r="L31" s="4">
        <v>45178</v>
      </c>
      <c r="M31" s="25">
        <v>17024.96</v>
      </c>
    </row>
    <row r="32" spans="2:13" x14ac:dyDescent="0.35">
      <c r="B32" s="2" t="s">
        <v>3121</v>
      </c>
      <c r="C32" s="25">
        <v>680974.33000000007</v>
      </c>
      <c r="L32" s="4">
        <v>45179</v>
      </c>
      <c r="M32" s="25">
        <v>6087.22</v>
      </c>
    </row>
    <row r="33" spans="2:13" x14ac:dyDescent="0.35">
      <c r="B33" s="2" t="s">
        <v>3122</v>
      </c>
      <c r="C33" s="25">
        <v>562782.32999999984</v>
      </c>
      <c r="L33" s="4">
        <v>45180</v>
      </c>
      <c r="M33" s="25">
        <v>27133.53</v>
      </c>
    </row>
    <row r="34" spans="2:13" x14ac:dyDescent="0.35">
      <c r="B34" s="2" t="s">
        <v>3123</v>
      </c>
      <c r="C34" s="25">
        <v>591428.11999999965</v>
      </c>
      <c r="L34" s="4">
        <v>45181</v>
      </c>
      <c r="M34" s="25">
        <v>4317.66</v>
      </c>
    </row>
    <row r="35" spans="2:13" x14ac:dyDescent="0.35">
      <c r="B35" s="2" t="s">
        <v>3124</v>
      </c>
      <c r="C35" s="25">
        <v>494943.94</v>
      </c>
      <c r="L35" s="4">
        <v>45182</v>
      </c>
      <c r="M35" s="25">
        <v>3910.96</v>
      </c>
    </row>
    <row r="36" spans="2:13" x14ac:dyDescent="0.35">
      <c r="B36" s="2" t="s">
        <v>3125</v>
      </c>
      <c r="C36" s="25">
        <v>557861.25999999966</v>
      </c>
      <c r="L36" s="4">
        <v>45184</v>
      </c>
      <c r="M36" s="25">
        <v>6564.47</v>
      </c>
    </row>
    <row r="37" spans="2:13" x14ac:dyDescent="0.35">
      <c r="B37" s="2" t="s">
        <v>3114</v>
      </c>
      <c r="C37" s="25">
        <v>549827.69000000006</v>
      </c>
      <c r="L37" s="4">
        <v>45185</v>
      </c>
      <c r="M37" s="25">
        <v>22405.02</v>
      </c>
    </row>
    <row r="38" spans="2:13" x14ac:dyDescent="0.35">
      <c r="B38" s="2" t="s">
        <v>3115</v>
      </c>
      <c r="C38" s="25">
        <v>525102.81999999995</v>
      </c>
      <c r="L38" s="4">
        <v>45186</v>
      </c>
      <c r="M38" s="25">
        <v>9096.7999999999993</v>
      </c>
    </row>
    <row r="39" spans="2:13" x14ac:dyDescent="0.35">
      <c r="B39" s="2" t="s">
        <v>3116</v>
      </c>
      <c r="C39" s="25">
        <v>652918.66999999946</v>
      </c>
      <c r="L39" s="4">
        <v>45187</v>
      </c>
      <c r="M39" s="25">
        <v>6191.8</v>
      </c>
    </row>
    <row r="40" spans="2:13" x14ac:dyDescent="0.35">
      <c r="B40" s="2" t="s">
        <v>3117</v>
      </c>
      <c r="C40" s="25">
        <v>614702.14999999979</v>
      </c>
      <c r="L40" s="4">
        <v>45188</v>
      </c>
      <c r="M40" s="25">
        <v>2597.0699999999997</v>
      </c>
    </row>
    <row r="41" spans="2:13" x14ac:dyDescent="0.35">
      <c r="B41" s="2" t="s">
        <v>3118</v>
      </c>
      <c r="C41" s="25">
        <v>510190.20999999985</v>
      </c>
      <c r="L41" s="4">
        <v>45189</v>
      </c>
      <c r="M41" s="25">
        <v>17552.010000000002</v>
      </c>
    </row>
    <row r="42" spans="2:13" x14ac:dyDescent="0.35">
      <c r="B42" s="2" t="s">
        <v>1128</v>
      </c>
      <c r="C42" s="25">
        <v>6809096.7299999986</v>
      </c>
      <c r="L42" s="4">
        <v>45190</v>
      </c>
      <c r="M42" s="25">
        <v>4432.2</v>
      </c>
    </row>
    <row r="43" spans="2:13" x14ac:dyDescent="0.35">
      <c r="L43" s="4">
        <v>45191</v>
      </c>
      <c r="M43" s="25">
        <v>8900.92</v>
      </c>
    </row>
    <row r="44" spans="2:13" x14ac:dyDescent="0.35">
      <c r="L44" s="4">
        <v>45192</v>
      </c>
      <c r="M44" s="25">
        <v>27170.05</v>
      </c>
    </row>
    <row r="45" spans="2:13" x14ac:dyDescent="0.35">
      <c r="L45" s="4">
        <v>45193</v>
      </c>
      <c r="M45" s="25">
        <v>2851.0499999999997</v>
      </c>
    </row>
    <row r="46" spans="2:13" x14ac:dyDescent="0.35">
      <c r="L46" s="4">
        <v>45194</v>
      </c>
      <c r="M46" s="25">
        <v>2825.32</v>
      </c>
    </row>
    <row r="47" spans="2:13" x14ac:dyDescent="0.35">
      <c r="L47" s="4">
        <v>45196</v>
      </c>
      <c r="M47" s="25">
        <v>19034.39</v>
      </c>
    </row>
    <row r="48" spans="2:13" x14ac:dyDescent="0.35">
      <c r="L48" s="4">
        <v>45197</v>
      </c>
      <c r="M48" s="25">
        <v>11452.34</v>
      </c>
    </row>
    <row r="49" spans="12:13" x14ac:dyDescent="0.35">
      <c r="L49" s="4">
        <v>45198</v>
      </c>
      <c r="M49" s="25">
        <v>15059.519999999997</v>
      </c>
    </row>
    <row r="50" spans="12:13" x14ac:dyDescent="0.35">
      <c r="L50" s="4">
        <v>45199</v>
      </c>
      <c r="M50" s="25">
        <v>7874.21</v>
      </c>
    </row>
    <row r="51" spans="12:13" x14ac:dyDescent="0.35">
      <c r="L51" s="4">
        <v>45200</v>
      </c>
      <c r="M51" s="25">
        <v>7069.9400000000005</v>
      </c>
    </row>
    <row r="52" spans="12:13" x14ac:dyDescent="0.35">
      <c r="L52" s="4">
        <v>45201</v>
      </c>
      <c r="M52" s="25">
        <v>5404.96</v>
      </c>
    </row>
    <row r="53" spans="12:13" x14ac:dyDescent="0.35">
      <c r="L53" s="4">
        <v>45202</v>
      </c>
      <c r="M53" s="25">
        <v>15189</v>
      </c>
    </row>
    <row r="54" spans="12:13" x14ac:dyDescent="0.35">
      <c r="L54" s="4">
        <v>45203</v>
      </c>
      <c r="M54" s="25">
        <v>19221.97</v>
      </c>
    </row>
    <row r="55" spans="12:13" x14ac:dyDescent="0.35">
      <c r="L55" s="4">
        <v>45204</v>
      </c>
      <c r="M55" s="25">
        <v>9596.4599999999991</v>
      </c>
    </row>
    <row r="56" spans="12:13" x14ac:dyDescent="0.35">
      <c r="L56" s="4">
        <v>45205</v>
      </c>
      <c r="M56" s="25">
        <v>10160.030000000001</v>
      </c>
    </row>
    <row r="57" spans="12:13" x14ac:dyDescent="0.35">
      <c r="L57" s="4">
        <v>45206</v>
      </c>
      <c r="M57" s="25">
        <v>9200.5500000000011</v>
      </c>
    </row>
    <row r="58" spans="12:13" x14ac:dyDescent="0.35">
      <c r="L58" s="4">
        <v>45207</v>
      </c>
      <c r="M58" s="25">
        <v>9857.91</v>
      </c>
    </row>
    <row r="59" spans="12:13" x14ac:dyDescent="0.35">
      <c r="L59" s="4">
        <v>45208</v>
      </c>
      <c r="M59" s="25">
        <v>5489.62</v>
      </c>
    </row>
    <row r="60" spans="12:13" x14ac:dyDescent="0.35">
      <c r="L60" s="4">
        <v>45209</v>
      </c>
      <c r="M60" s="25">
        <v>7793.7000000000007</v>
      </c>
    </row>
    <row r="61" spans="12:13" x14ac:dyDescent="0.35">
      <c r="L61" s="4">
        <v>45210</v>
      </c>
      <c r="M61" s="25">
        <v>4325.13</v>
      </c>
    </row>
    <row r="62" spans="12:13" x14ac:dyDescent="0.35">
      <c r="L62" s="4">
        <v>45211</v>
      </c>
      <c r="M62" s="25">
        <v>12697.34</v>
      </c>
    </row>
    <row r="63" spans="12:13" x14ac:dyDescent="0.35">
      <c r="L63" s="4">
        <v>45212</v>
      </c>
      <c r="M63" s="25">
        <v>9374.02</v>
      </c>
    </row>
    <row r="64" spans="12:13" x14ac:dyDescent="0.35">
      <c r="L64" s="4">
        <v>45213</v>
      </c>
      <c r="M64" s="25">
        <v>11164.33</v>
      </c>
    </row>
    <row r="65" spans="12:13" x14ac:dyDescent="0.35">
      <c r="L65" s="4">
        <v>45214</v>
      </c>
      <c r="M65" s="25">
        <v>4392.3599999999997</v>
      </c>
    </row>
    <row r="66" spans="12:13" x14ac:dyDescent="0.35">
      <c r="L66" s="4">
        <v>45215</v>
      </c>
      <c r="M66" s="25">
        <v>16211.560000000001</v>
      </c>
    </row>
    <row r="67" spans="12:13" x14ac:dyDescent="0.35">
      <c r="L67" s="4">
        <v>45216</v>
      </c>
      <c r="M67" s="25">
        <v>16582.57</v>
      </c>
    </row>
    <row r="68" spans="12:13" x14ac:dyDescent="0.35">
      <c r="L68" s="4">
        <v>45217</v>
      </c>
      <c r="M68" s="25">
        <v>36813.82</v>
      </c>
    </row>
    <row r="69" spans="12:13" x14ac:dyDescent="0.35">
      <c r="L69" s="4">
        <v>45218</v>
      </c>
      <c r="M69" s="25">
        <v>4464.57</v>
      </c>
    </row>
    <row r="70" spans="12:13" x14ac:dyDescent="0.35">
      <c r="L70" s="4">
        <v>45220</v>
      </c>
      <c r="M70" s="25">
        <v>7632.6799999999994</v>
      </c>
    </row>
    <row r="71" spans="12:13" x14ac:dyDescent="0.35">
      <c r="L71" s="4">
        <v>45221</v>
      </c>
      <c r="M71" s="25">
        <v>42.33</v>
      </c>
    </row>
    <row r="72" spans="12:13" x14ac:dyDescent="0.35">
      <c r="L72" s="4">
        <v>45222</v>
      </c>
      <c r="M72" s="25">
        <v>23826.809999999998</v>
      </c>
    </row>
    <row r="73" spans="12:13" x14ac:dyDescent="0.35">
      <c r="L73" s="4">
        <v>45223</v>
      </c>
      <c r="M73" s="25">
        <v>6324.5999999999995</v>
      </c>
    </row>
    <row r="74" spans="12:13" x14ac:dyDescent="0.35">
      <c r="L74" s="4">
        <v>45224</v>
      </c>
      <c r="M74" s="25">
        <v>14136.56</v>
      </c>
    </row>
    <row r="75" spans="12:13" x14ac:dyDescent="0.35">
      <c r="L75" s="4">
        <v>45225</v>
      </c>
      <c r="M75" s="25">
        <v>14756.57</v>
      </c>
    </row>
    <row r="76" spans="12:13" x14ac:dyDescent="0.35">
      <c r="L76" s="4">
        <v>45226</v>
      </c>
      <c r="M76" s="25">
        <v>7025.95</v>
      </c>
    </row>
    <row r="77" spans="12:13" x14ac:dyDescent="0.35">
      <c r="L77" s="4">
        <v>45227</v>
      </c>
      <c r="M77" s="25">
        <v>9735.9</v>
      </c>
    </row>
    <row r="78" spans="12:13" x14ac:dyDescent="0.35">
      <c r="L78" s="4">
        <v>45228</v>
      </c>
      <c r="M78" s="25">
        <v>1661.66</v>
      </c>
    </row>
    <row r="79" spans="12:13" x14ac:dyDescent="0.35">
      <c r="L79" s="4">
        <v>45229</v>
      </c>
      <c r="M79" s="25">
        <v>6918.88</v>
      </c>
    </row>
    <row r="80" spans="12:13" x14ac:dyDescent="0.35">
      <c r="L80" s="4">
        <v>45230</v>
      </c>
      <c r="M80" s="25">
        <v>5687.16</v>
      </c>
    </row>
    <row r="81" spans="12:13" x14ac:dyDescent="0.35">
      <c r="L81" s="4">
        <v>45231</v>
      </c>
      <c r="M81" s="25">
        <v>6185.16</v>
      </c>
    </row>
    <row r="82" spans="12:13" x14ac:dyDescent="0.35">
      <c r="L82" s="4">
        <v>45232</v>
      </c>
      <c r="M82" s="25">
        <v>4524.33</v>
      </c>
    </row>
    <row r="83" spans="12:13" x14ac:dyDescent="0.35">
      <c r="L83" s="4">
        <v>45233</v>
      </c>
      <c r="M83" s="25">
        <v>5787.59</v>
      </c>
    </row>
    <row r="84" spans="12:13" x14ac:dyDescent="0.35">
      <c r="L84" s="4">
        <v>45234</v>
      </c>
      <c r="M84" s="25">
        <v>3446.16</v>
      </c>
    </row>
    <row r="85" spans="12:13" x14ac:dyDescent="0.35">
      <c r="L85" s="4">
        <v>45235</v>
      </c>
      <c r="M85" s="25">
        <v>21091.129999999997</v>
      </c>
    </row>
    <row r="86" spans="12:13" x14ac:dyDescent="0.35">
      <c r="L86" s="4">
        <v>45237</v>
      </c>
      <c r="M86" s="25">
        <v>21653.870000000003</v>
      </c>
    </row>
    <row r="87" spans="12:13" x14ac:dyDescent="0.35">
      <c r="L87" s="4">
        <v>45238</v>
      </c>
      <c r="M87" s="25">
        <v>7353.7999999999993</v>
      </c>
    </row>
    <row r="88" spans="12:13" x14ac:dyDescent="0.35">
      <c r="L88" s="4">
        <v>45239</v>
      </c>
      <c r="M88" s="25">
        <v>15942.640000000001</v>
      </c>
    </row>
    <row r="89" spans="12:13" x14ac:dyDescent="0.35">
      <c r="L89" s="4">
        <v>45240</v>
      </c>
      <c r="M89" s="25">
        <v>3301.74</v>
      </c>
    </row>
    <row r="90" spans="12:13" x14ac:dyDescent="0.35">
      <c r="L90" s="4">
        <v>45242</v>
      </c>
      <c r="M90" s="25">
        <v>2976.38</v>
      </c>
    </row>
    <row r="91" spans="12:13" x14ac:dyDescent="0.35">
      <c r="L91" s="4">
        <v>45243</v>
      </c>
      <c r="M91" s="25">
        <v>21897.06</v>
      </c>
    </row>
    <row r="92" spans="12:13" x14ac:dyDescent="0.35">
      <c r="L92" s="4">
        <v>45244</v>
      </c>
      <c r="M92" s="25">
        <v>9509.3100000000013</v>
      </c>
    </row>
    <row r="93" spans="12:13" x14ac:dyDescent="0.35">
      <c r="L93" s="4">
        <v>45245</v>
      </c>
      <c r="M93" s="25">
        <v>5658.11</v>
      </c>
    </row>
    <row r="94" spans="12:13" x14ac:dyDescent="0.35">
      <c r="L94" s="4">
        <v>45246</v>
      </c>
      <c r="M94" s="25">
        <v>666.49</v>
      </c>
    </row>
    <row r="95" spans="12:13" x14ac:dyDescent="0.35">
      <c r="L95" s="4">
        <v>45247</v>
      </c>
      <c r="M95" s="25">
        <v>13156.329999999998</v>
      </c>
    </row>
    <row r="96" spans="12:13" x14ac:dyDescent="0.35">
      <c r="L96" s="4">
        <v>45248</v>
      </c>
      <c r="M96" s="25">
        <v>22158.510000000002</v>
      </c>
    </row>
    <row r="97" spans="12:13" x14ac:dyDescent="0.35">
      <c r="L97" s="4">
        <v>45249</v>
      </c>
      <c r="M97" s="25">
        <v>1231.72</v>
      </c>
    </row>
    <row r="98" spans="12:13" x14ac:dyDescent="0.35">
      <c r="L98" s="4">
        <v>45250</v>
      </c>
      <c r="M98" s="25">
        <v>25462.739999999998</v>
      </c>
    </row>
    <row r="99" spans="12:13" x14ac:dyDescent="0.35">
      <c r="L99" s="4">
        <v>45251</v>
      </c>
      <c r="M99" s="25">
        <v>23931.39</v>
      </c>
    </row>
    <row r="100" spans="12:13" x14ac:dyDescent="0.35">
      <c r="L100" s="4">
        <v>45252</v>
      </c>
      <c r="M100" s="25">
        <v>2476.7199999999998</v>
      </c>
    </row>
    <row r="101" spans="12:13" x14ac:dyDescent="0.35">
      <c r="L101" s="4">
        <v>45253</v>
      </c>
      <c r="M101" s="25">
        <v>17662.400000000001</v>
      </c>
    </row>
    <row r="102" spans="12:13" x14ac:dyDescent="0.35">
      <c r="L102" s="4">
        <v>45254</v>
      </c>
      <c r="M102" s="25">
        <v>8599.6299999999992</v>
      </c>
    </row>
    <row r="103" spans="12:13" x14ac:dyDescent="0.35">
      <c r="L103" s="4">
        <v>45255</v>
      </c>
      <c r="M103" s="25">
        <v>3344.07</v>
      </c>
    </row>
    <row r="104" spans="12:13" x14ac:dyDescent="0.35">
      <c r="L104" s="4">
        <v>45258</v>
      </c>
      <c r="M104" s="25">
        <v>22243.17</v>
      </c>
    </row>
    <row r="105" spans="12:13" x14ac:dyDescent="0.35">
      <c r="L105" s="4">
        <v>45259</v>
      </c>
      <c r="M105" s="25">
        <v>8840.33</v>
      </c>
    </row>
    <row r="106" spans="12:13" x14ac:dyDescent="0.35">
      <c r="L106" s="4">
        <v>45260</v>
      </c>
      <c r="M106" s="25">
        <v>18865.900000000001</v>
      </c>
    </row>
    <row r="107" spans="12:13" x14ac:dyDescent="0.35">
      <c r="L107" s="4">
        <v>45261</v>
      </c>
      <c r="M107" s="25">
        <v>2569.6800000000003</v>
      </c>
    </row>
    <row r="108" spans="12:13" x14ac:dyDescent="0.35">
      <c r="L108" s="4">
        <v>45262</v>
      </c>
      <c r="M108" s="25">
        <v>5236.4699999999993</v>
      </c>
    </row>
    <row r="109" spans="12:13" x14ac:dyDescent="0.35">
      <c r="L109" s="4">
        <v>45263</v>
      </c>
      <c r="M109" s="25">
        <v>13508.25</v>
      </c>
    </row>
    <row r="110" spans="12:13" x14ac:dyDescent="0.35">
      <c r="L110" s="4">
        <v>45264</v>
      </c>
      <c r="M110" s="25">
        <v>9804.7899999999991</v>
      </c>
    </row>
    <row r="111" spans="12:13" x14ac:dyDescent="0.35">
      <c r="L111" s="4">
        <v>45265</v>
      </c>
      <c r="M111" s="25">
        <v>13701.64</v>
      </c>
    </row>
    <row r="112" spans="12:13" x14ac:dyDescent="0.35">
      <c r="L112" s="4">
        <v>45266</v>
      </c>
      <c r="M112" s="25">
        <v>11295.470000000001</v>
      </c>
    </row>
    <row r="113" spans="12:13" x14ac:dyDescent="0.35">
      <c r="L113" s="4">
        <v>45267</v>
      </c>
      <c r="M113" s="25">
        <v>9379</v>
      </c>
    </row>
    <row r="114" spans="12:13" x14ac:dyDescent="0.35">
      <c r="L114" s="4">
        <v>45268</v>
      </c>
      <c r="M114" s="25">
        <v>690.56</v>
      </c>
    </row>
    <row r="115" spans="12:13" x14ac:dyDescent="0.35">
      <c r="L115" s="4">
        <v>45269</v>
      </c>
      <c r="M115" s="25">
        <v>4098.54</v>
      </c>
    </row>
    <row r="116" spans="12:13" x14ac:dyDescent="0.35">
      <c r="L116" s="4">
        <v>45270</v>
      </c>
      <c r="M116" s="25">
        <v>6493.92</v>
      </c>
    </row>
    <row r="117" spans="12:13" x14ac:dyDescent="0.35">
      <c r="L117" s="4">
        <v>45271</v>
      </c>
      <c r="M117" s="25">
        <v>5440.65</v>
      </c>
    </row>
    <row r="118" spans="12:13" x14ac:dyDescent="0.35">
      <c r="L118" s="4">
        <v>45272</v>
      </c>
      <c r="M118" s="25">
        <v>7867.57</v>
      </c>
    </row>
    <row r="119" spans="12:13" x14ac:dyDescent="0.35">
      <c r="L119" s="4">
        <v>45273</v>
      </c>
      <c r="M119" s="25">
        <v>8897.6</v>
      </c>
    </row>
    <row r="120" spans="12:13" x14ac:dyDescent="0.35">
      <c r="L120" s="4">
        <v>45274</v>
      </c>
      <c r="M120" s="25">
        <v>23308.890000000003</v>
      </c>
    </row>
    <row r="121" spans="12:13" x14ac:dyDescent="0.35">
      <c r="L121" s="4">
        <v>45275</v>
      </c>
      <c r="M121" s="25">
        <v>17519.64</v>
      </c>
    </row>
    <row r="122" spans="12:13" x14ac:dyDescent="0.35">
      <c r="L122" s="4">
        <v>45276</v>
      </c>
      <c r="M122" s="25">
        <v>13166.29</v>
      </c>
    </row>
    <row r="123" spans="12:13" x14ac:dyDescent="0.35">
      <c r="L123" s="4">
        <v>45277</v>
      </c>
      <c r="M123" s="25">
        <v>9709.34</v>
      </c>
    </row>
    <row r="124" spans="12:13" x14ac:dyDescent="0.35">
      <c r="L124" s="4">
        <v>45280</v>
      </c>
      <c r="M124" s="25">
        <v>6970.34</v>
      </c>
    </row>
    <row r="125" spans="12:13" x14ac:dyDescent="0.35">
      <c r="L125" s="4">
        <v>45281</v>
      </c>
      <c r="M125" s="25">
        <v>14801.39</v>
      </c>
    </row>
    <row r="126" spans="12:13" x14ac:dyDescent="0.35">
      <c r="L126" s="4">
        <v>45282</v>
      </c>
      <c r="M126" s="25">
        <v>7395.2999999999993</v>
      </c>
    </row>
    <row r="127" spans="12:13" x14ac:dyDescent="0.35">
      <c r="L127" s="4">
        <v>45283</v>
      </c>
      <c r="M127" s="25">
        <v>3021.2</v>
      </c>
    </row>
    <row r="128" spans="12:13" x14ac:dyDescent="0.35">
      <c r="L128" s="4">
        <v>45284</v>
      </c>
      <c r="M128" s="25">
        <v>11663.99</v>
      </c>
    </row>
    <row r="129" spans="12:13" x14ac:dyDescent="0.35">
      <c r="L129" s="4">
        <v>45285</v>
      </c>
      <c r="M129" s="25">
        <v>3198.8199999999997</v>
      </c>
    </row>
    <row r="130" spans="12:13" x14ac:dyDescent="0.35">
      <c r="L130" s="4">
        <v>45286</v>
      </c>
      <c r="M130" s="25">
        <v>8026.93</v>
      </c>
    </row>
    <row r="131" spans="12:13" x14ac:dyDescent="0.35">
      <c r="L131" s="4">
        <v>45287</v>
      </c>
      <c r="M131" s="25">
        <v>6760.35</v>
      </c>
    </row>
    <row r="132" spans="12:13" x14ac:dyDescent="0.35">
      <c r="L132" s="4">
        <v>45288</v>
      </c>
      <c r="M132" s="25">
        <v>2219.42</v>
      </c>
    </row>
    <row r="133" spans="12:13" x14ac:dyDescent="0.35">
      <c r="L133" s="4">
        <v>45289</v>
      </c>
      <c r="M133" s="25">
        <v>2173.77</v>
      </c>
    </row>
    <row r="134" spans="12:13" x14ac:dyDescent="0.35">
      <c r="L134" s="4">
        <v>45290</v>
      </c>
      <c r="M134" s="25">
        <v>4220.55</v>
      </c>
    </row>
    <row r="135" spans="12:13" x14ac:dyDescent="0.35">
      <c r="L135" s="4">
        <v>45291</v>
      </c>
      <c r="M135" s="25">
        <v>6924.69</v>
      </c>
    </row>
    <row r="136" spans="12:13" x14ac:dyDescent="0.35">
      <c r="L136" s="4">
        <v>45292</v>
      </c>
      <c r="M136" s="25">
        <v>10396.58</v>
      </c>
    </row>
    <row r="137" spans="12:13" x14ac:dyDescent="0.35">
      <c r="L137" s="4">
        <v>45293</v>
      </c>
      <c r="M137" s="25">
        <v>5162.6000000000004</v>
      </c>
    </row>
    <row r="138" spans="12:13" x14ac:dyDescent="0.35">
      <c r="L138" s="4">
        <v>45294</v>
      </c>
      <c r="M138" s="25">
        <v>14693.490000000002</v>
      </c>
    </row>
    <row r="139" spans="12:13" x14ac:dyDescent="0.35">
      <c r="L139" s="4">
        <v>45295</v>
      </c>
      <c r="M139" s="25">
        <v>4773.33</v>
      </c>
    </row>
    <row r="140" spans="12:13" x14ac:dyDescent="0.35">
      <c r="L140" s="4">
        <v>45297</v>
      </c>
      <c r="M140" s="25">
        <v>1419.3</v>
      </c>
    </row>
    <row r="141" spans="12:13" x14ac:dyDescent="0.35">
      <c r="L141" s="4">
        <v>45298</v>
      </c>
      <c r="M141" s="25">
        <v>1636.7600000000002</v>
      </c>
    </row>
    <row r="142" spans="12:13" x14ac:dyDescent="0.35">
      <c r="L142" s="4">
        <v>45299</v>
      </c>
      <c r="M142" s="25">
        <v>763.6</v>
      </c>
    </row>
    <row r="143" spans="12:13" x14ac:dyDescent="0.35">
      <c r="L143" s="4">
        <v>45300</v>
      </c>
      <c r="M143" s="25">
        <v>2502.4499999999998</v>
      </c>
    </row>
    <row r="144" spans="12:13" x14ac:dyDescent="0.35">
      <c r="L144" s="4">
        <v>45301</v>
      </c>
      <c r="M144" s="25">
        <v>8611.25</v>
      </c>
    </row>
    <row r="145" spans="12:13" x14ac:dyDescent="0.35">
      <c r="L145" s="4">
        <v>45302</v>
      </c>
      <c r="M145" s="25">
        <v>3239.49</v>
      </c>
    </row>
    <row r="146" spans="12:13" x14ac:dyDescent="0.35">
      <c r="L146" s="4">
        <v>45303</v>
      </c>
      <c r="M146" s="25">
        <v>11785.17</v>
      </c>
    </row>
    <row r="147" spans="12:13" x14ac:dyDescent="0.35">
      <c r="L147" s="4">
        <v>45304</v>
      </c>
      <c r="M147" s="25">
        <v>6926.35</v>
      </c>
    </row>
    <row r="148" spans="12:13" x14ac:dyDescent="0.35">
      <c r="L148" s="4">
        <v>45305</v>
      </c>
      <c r="M148" s="25">
        <v>1221.76</v>
      </c>
    </row>
    <row r="149" spans="12:13" x14ac:dyDescent="0.35">
      <c r="L149" s="4">
        <v>45308</v>
      </c>
      <c r="M149" s="25">
        <v>8148.1100000000006</v>
      </c>
    </row>
    <row r="150" spans="12:13" x14ac:dyDescent="0.35">
      <c r="L150" s="4">
        <v>45309</v>
      </c>
      <c r="M150" s="25">
        <v>7943.1</v>
      </c>
    </row>
    <row r="151" spans="12:13" x14ac:dyDescent="0.35">
      <c r="L151" s="4">
        <v>45310</v>
      </c>
      <c r="M151" s="25">
        <v>14761.55</v>
      </c>
    </row>
    <row r="152" spans="12:13" x14ac:dyDescent="0.35">
      <c r="L152" s="4">
        <v>45311</v>
      </c>
      <c r="M152" s="25">
        <v>21995.83</v>
      </c>
    </row>
    <row r="153" spans="12:13" x14ac:dyDescent="0.35">
      <c r="L153" s="4">
        <v>45312</v>
      </c>
      <c r="M153" s="25">
        <v>9094.31</v>
      </c>
    </row>
    <row r="154" spans="12:13" x14ac:dyDescent="0.35">
      <c r="L154" s="4">
        <v>45313</v>
      </c>
      <c r="M154" s="25">
        <v>4563.34</v>
      </c>
    </row>
    <row r="155" spans="12:13" x14ac:dyDescent="0.35">
      <c r="L155" s="4">
        <v>45314</v>
      </c>
      <c r="M155" s="25">
        <v>6670.71</v>
      </c>
    </row>
    <row r="156" spans="12:13" x14ac:dyDescent="0.35">
      <c r="L156" s="4">
        <v>45315</v>
      </c>
      <c r="M156" s="25">
        <v>2974.72</v>
      </c>
    </row>
    <row r="157" spans="12:13" x14ac:dyDescent="0.35">
      <c r="L157" s="4">
        <v>45316</v>
      </c>
      <c r="M157" s="25">
        <v>2232.6999999999998</v>
      </c>
    </row>
    <row r="158" spans="12:13" x14ac:dyDescent="0.35">
      <c r="L158" s="4">
        <v>45317</v>
      </c>
      <c r="M158" s="25">
        <v>21404.04</v>
      </c>
    </row>
    <row r="159" spans="12:13" x14ac:dyDescent="0.35">
      <c r="L159" s="4">
        <v>45318</v>
      </c>
      <c r="M159" s="25">
        <v>1824.34</v>
      </c>
    </row>
    <row r="160" spans="12:13" x14ac:dyDescent="0.35">
      <c r="L160" s="4">
        <v>45319</v>
      </c>
      <c r="M160" s="25">
        <v>19729.099999999999</v>
      </c>
    </row>
    <row r="161" spans="12:13" x14ac:dyDescent="0.35">
      <c r="L161" s="4">
        <v>45320</v>
      </c>
      <c r="M161" s="25">
        <v>316.23</v>
      </c>
    </row>
    <row r="162" spans="12:13" x14ac:dyDescent="0.35">
      <c r="L162" s="4">
        <v>45321</v>
      </c>
      <c r="M162" s="25">
        <v>7038.4</v>
      </c>
    </row>
    <row r="163" spans="12:13" x14ac:dyDescent="0.35">
      <c r="L163" s="4">
        <v>45322</v>
      </c>
      <c r="M163" s="25">
        <v>23561.21</v>
      </c>
    </row>
    <row r="164" spans="12:13" x14ac:dyDescent="0.35">
      <c r="L164" s="4">
        <v>45323</v>
      </c>
      <c r="M164" s="25">
        <v>4047.9100000000003</v>
      </c>
    </row>
    <row r="165" spans="12:13" x14ac:dyDescent="0.35">
      <c r="L165" s="4">
        <v>45324</v>
      </c>
      <c r="M165" s="25">
        <v>8874.36</v>
      </c>
    </row>
    <row r="166" spans="12:13" x14ac:dyDescent="0.35">
      <c r="L166" s="4">
        <v>45325</v>
      </c>
      <c r="M166" s="25">
        <v>6252.39</v>
      </c>
    </row>
    <row r="167" spans="12:13" x14ac:dyDescent="0.35">
      <c r="L167" s="4">
        <v>45326</v>
      </c>
      <c r="M167" s="25">
        <v>4506.07</v>
      </c>
    </row>
    <row r="168" spans="12:13" x14ac:dyDescent="0.35">
      <c r="L168" s="4">
        <v>45327</v>
      </c>
      <c r="M168" s="25">
        <v>10432.27</v>
      </c>
    </row>
    <row r="169" spans="12:13" x14ac:dyDescent="0.35">
      <c r="L169" s="4">
        <v>45328</v>
      </c>
      <c r="M169" s="25">
        <v>5410.77</v>
      </c>
    </row>
    <row r="170" spans="12:13" x14ac:dyDescent="0.35">
      <c r="L170" s="4">
        <v>45329</v>
      </c>
      <c r="M170" s="25">
        <v>14234.5</v>
      </c>
    </row>
    <row r="171" spans="12:13" x14ac:dyDescent="0.35">
      <c r="L171" s="4">
        <v>45330</v>
      </c>
      <c r="M171" s="25">
        <v>28926.329999999998</v>
      </c>
    </row>
    <row r="172" spans="12:13" x14ac:dyDescent="0.35">
      <c r="L172" s="4">
        <v>45331</v>
      </c>
      <c r="M172" s="25">
        <v>5451.4400000000005</v>
      </c>
    </row>
    <row r="173" spans="12:13" x14ac:dyDescent="0.35">
      <c r="L173" s="4">
        <v>45332</v>
      </c>
      <c r="M173" s="25">
        <v>3915.94</v>
      </c>
    </row>
    <row r="174" spans="12:13" x14ac:dyDescent="0.35">
      <c r="L174" s="4">
        <v>45333</v>
      </c>
      <c r="M174" s="25">
        <v>10084.5</v>
      </c>
    </row>
    <row r="175" spans="12:13" x14ac:dyDescent="0.35">
      <c r="L175" s="4">
        <v>45334</v>
      </c>
      <c r="M175" s="25">
        <v>26848.84</v>
      </c>
    </row>
    <row r="176" spans="12:13" x14ac:dyDescent="0.35">
      <c r="L176" s="4">
        <v>45335</v>
      </c>
      <c r="M176" s="25">
        <v>6976.1500000000005</v>
      </c>
    </row>
    <row r="177" spans="12:16" x14ac:dyDescent="0.35">
      <c r="L177" s="4">
        <v>45336</v>
      </c>
      <c r="M177" s="25">
        <v>5217.38</v>
      </c>
    </row>
    <row r="178" spans="12:16" x14ac:dyDescent="0.35">
      <c r="L178" s="4">
        <v>45337</v>
      </c>
      <c r="M178" s="25">
        <v>27877.21</v>
      </c>
    </row>
    <row r="179" spans="12:16" x14ac:dyDescent="0.35">
      <c r="L179" s="4">
        <v>45338</v>
      </c>
      <c r="M179" s="25">
        <v>8539.0399999999991</v>
      </c>
    </row>
    <row r="180" spans="12:16" x14ac:dyDescent="0.35">
      <c r="L180" s="4">
        <v>45339</v>
      </c>
      <c r="M180" s="25">
        <v>10871.34</v>
      </c>
    </row>
    <row r="181" spans="12:16" x14ac:dyDescent="0.35">
      <c r="L181" s="4">
        <v>45340</v>
      </c>
      <c r="M181" s="25">
        <v>17449.919999999998</v>
      </c>
    </row>
    <row r="182" spans="12:16" x14ac:dyDescent="0.35">
      <c r="L182" s="4">
        <v>45341</v>
      </c>
      <c r="M182" s="25">
        <v>11810.9</v>
      </c>
    </row>
    <row r="183" spans="12:16" x14ac:dyDescent="0.35">
      <c r="L183" s="4">
        <v>45342</v>
      </c>
      <c r="M183" s="25">
        <v>2149.6999999999998</v>
      </c>
    </row>
    <row r="184" spans="12:16" x14ac:dyDescent="0.35">
      <c r="L184" s="4">
        <v>45343</v>
      </c>
      <c r="M184" s="25">
        <v>230.74</v>
      </c>
    </row>
    <row r="185" spans="12:16" x14ac:dyDescent="0.35">
      <c r="L185" s="4">
        <v>45344</v>
      </c>
      <c r="M185" s="25">
        <v>12292.3</v>
      </c>
    </row>
    <row r="186" spans="12:16" x14ac:dyDescent="0.35">
      <c r="L186" s="4">
        <v>45347</v>
      </c>
      <c r="M186" s="25">
        <v>16291.240000000002</v>
      </c>
    </row>
    <row r="187" spans="12:16" x14ac:dyDescent="0.35">
      <c r="L187" s="4">
        <v>45348</v>
      </c>
      <c r="M187" s="25">
        <v>8781.4</v>
      </c>
      <c r="O187" s="7" t="s">
        <v>1127</v>
      </c>
      <c r="P187" t="s">
        <v>1129</v>
      </c>
    </row>
    <row r="188" spans="12:16" x14ac:dyDescent="0.35">
      <c r="L188" s="4">
        <v>45349</v>
      </c>
      <c r="M188" s="25">
        <v>6104.65</v>
      </c>
      <c r="O188" s="2" t="s">
        <v>15</v>
      </c>
      <c r="P188" s="25">
        <v>813278.82000000041</v>
      </c>
    </row>
    <row r="189" spans="12:16" x14ac:dyDescent="0.35">
      <c r="L189" s="4">
        <v>45350</v>
      </c>
      <c r="M189" s="25">
        <v>17871.559999999998</v>
      </c>
      <c r="O189" s="2" t="s">
        <v>13</v>
      </c>
      <c r="P189" s="25">
        <v>778842.11999999965</v>
      </c>
    </row>
    <row r="190" spans="12:16" x14ac:dyDescent="0.35">
      <c r="L190" s="4">
        <v>45351</v>
      </c>
      <c r="M190" s="25">
        <v>7960.5300000000007</v>
      </c>
      <c r="O190" s="2" t="s">
        <v>31</v>
      </c>
      <c r="P190" s="25">
        <v>640717.67000000016</v>
      </c>
    </row>
    <row r="191" spans="12:16" x14ac:dyDescent="0.35">
      <c r="L191" s="4">
        <v>45352</v>
      </c>
      <c r="M191" s="25">
        <v>13260.08</v>
      </c>
      <c r="O191" s="2" t="s">
        <v>20</v>
      </c>
      <c r="P191" s="25">
        <v>709996.10999999987</v>
      </c>
    </row>
    <row r="192" spans="12:16" x14ac:dyDescent="0.35">
      <c r="L192" s="4">
        <v>45353</v>
      </c>
      <c r="M192" s="25">
        <v>10459.66</v>
      </c>
      <c r="O192" s="2" t="s">
        <v>0</v>
      </c>
      <c r="P192" s="25">
        <v>832490.83000000031</v>
      </c>
    </row>
    <row r="193" spans="12:16" x14ac:dyDescent="0.35">
      <c r="L193" s="4">
        <v>45355</v>
      </c>
      <c r="M193" s="25">
        <v>8682.630000000001</v>
      </c>
      <c r="O193" s="2" t="s">
        <v>25</v>
      </c>
      <c r="P193" s="25">
        <v>781842.57000000007</v>
      </c>
    </row>
    <row r="194" spans="12:16" x14ac:dyDescent="0.35">
      <c r="L194" s="4">
        <v>45356</v>
      </c>
      <c r="M194" s="25">
        <v>22902.19</v>
      </c>
      <c r="O194" s="2" t="s">
        <v>19</v>
      </c>
      <c r="P194" s="25">
        <v>697127.79000000027</v>
      </c>
    </row>
    <row r="195" spans="12:16" x14ac:dyDescent="0.35">
      <c r="L195" s="4">
        <v>45357</v>
      </c>
      <c r="M195" s="25">
        <v>4118.46</v>
      </c>
      <c r="O195" s="2" t="s">
        <v>8</v>
      </c>
      <c r="P195" s="25">
        <v>823484.4999999993</v>
      </c>
    </row>
    <row r="196" spans="12:16" x14ac:dyDescent="0.35">
      <c r="L196" s="4">
        <v>45358</v>
      </c>
      <c r="M196" s="25">
        <v>13817.84</v>
      </c>
      <c r="O196" s="2" t="s">
        <v>3</v>
      </c>
      <c r="P196" s="25">
        <v>731316.32000000018</v>
      </c>
    </row>
    <row r="197" spans="12:16" x14ac:dyDescent="0.35">
      <c r="L197" s="4">
        <v>45359</v>
      </c>
      <c r="M197" s="25">
        <v>9714.32</v>
      </c>
      <c r="O197" s="2" t="s">
        <v>1128</v>
      </c>
      <c r="P197" s="25">
        <v>6809096.7300000004</v>
      </c>
    </row>
    <row r="198" spans="12:16" x14ac:dyDescent="0.35">
      <c r="L198" s="4">
        <v>45360</v>
      </c>
      <c r="M198" s="25">
        <v>9346.630000000001</v>
      </c>
    </row>
    <row r="199" spans="12:16" x14ac:dyDescent="0.35">
      <c r="L199" s="4">
        <v>45361</v>
      </c>
      <c r="M199" s="25">
        <v>18718.990000000002</v>
      </c>
    </row>
    <row r="200" spans="12:16" x14ac:dyDescent="0.35">
      <c r="L200" s="4">
        <v>45362</v>
      </c>
      <c r="M200" s="25">
        <v>1378.63</v>
      </c>
    </row>
    <row r="201" spans="12:16" x14ac:dyDescent="0.35">
      <c r="L201" s="4">
        <v>45363</v>
      </c>
      <c r="M201" s="25">
        <v>3744.96</v>
      </c>
    </row>
    <row r="202" spans="12:16" x14ac:dyDescent="0.35">
      <c r="L202" s="4">
        <v>45364</v>
      </c>
      <c r="M202" s="25">
        <v>653.21</v>
      </c>
    </row>
    <row r="203" spans="12:16" x14ac:dyDescent="0.35">
      <c r="L203" s="4">
        <v>45365</v>
      </c>
      <c r="M203" s="25">
        <v>14372.279999999999</v>
      </c>
    </row>
    <row r="204" spans="12:16" x14ac:dyDescent="0.35">
      <c r="L204" s="4">
        <v>45366</v>
      </c>
      <c r="M204" s="25">
        <v>5184.18</v>
      </c>
    </row>
    <row r="205" spans="12:16" x14ac:dyDescent="0.35">
      <c r="L205" s="4">
        <v>45367</v>
      </c>
      <c r="M205" s="25">
        <v>5469.7000000000007</v>
      </c>
    </row>
    <row r="206" spans="12:16" x14ac:dyDescent="0.35">
      <c r="L206" s="4">
        <v>45368</v>
      </c>
      <c r="M206" s="25">
        <v>11891.410000000002</v>
      </c>
    </row>
    <row r="207" spans="12:16" x14ac:dyDescent="0.35">
      <c r="L207" s="4">
        <v>45369</v>
      </c>
      <c r="M207" s="25">
        <v>21926.940000000002</v>
      </c>
    </row>
    <row r="208" spans="12:16" x14ac:dyDescent="0.35">
      <c r="L208" s="4">
        <v>45370</v>
      </c>
      <c r="M208" s="25">
        <v>9952.5299999999988</v>
      </c>
      <c r="O208" s="7" t="s">
        <v>1127</v>
      </c>
      <c r="P208" t="s">
        <v>1129</v>
      </c>
    </row>
    <row r="209" spans="12:16" x14ac:dyDescent="0.35">
      <c r="L209" s="4">
        <v>45371</v>
      </c>
      <c r="M209" s="25">
        <v>9960</v>
      </c>
      <c r="O209" s="2" t="s">
        <v>18</v>
      </c>
      <c r="P209" s="25">
        <v>378118.12000000005</v>
      </c>
    </row>
    <row r="210" spans="12:16" x14ac:dyDescent="0.35">
      <c r="L210" s="4">
        <v>45372</v>
      </c>
      <c r="M210" s="25">
        <v>7887.49</v>
      </c>
      <c r="O210" s="2" t="s">
        <v>28</v>
      </c>
      <c r="P210" s="25">
        <v>390993.07999999978</v>
      </c>
    </row>
    <row r="211" spans="12:16" x14ac:dyDescent="0.35">
      <c r="L211" s="4">
        <v>45374</v>
      </c>
      <c r="M211" s="25">
        <v>14451.96</v>
      </c>
      <c r="O211" s="2" t="s">
        <v>32</v>
      </c>
      <c r="P211" s="25">
        <v>443996.88000000024</v>
      </c>
    </row>
    <row r="212" spans="12:16" x14ac:dyDescent="0.35">
      <c r="L212" s="4">
        <v>45375</v>
      </c>
      <c r="M212" s="25">
        <v>10076.199999999999</v>
      </c>
      <c r="O212" s="2" t="s">
        <v>36</v>
      </c>
      <c r="P212" s="25">
        <v>279236.07</v>
      </c>
    </row>
    <row r="213" spans="12:16" x14ac:dyDescent="0.35">
      <c r="L213" s="4">
        <v>45376</v>
      </c>
      <c r="M213" s="25">
        <v>6844.18</v>
      </c>
      <c r="O213" s="2" t="s">
        <v>10</v>
      </c>
      <c r="P213" s="25">
        <v>389386.20000000019</v>
      </c>
    </row>
    <row r="214" spans="12:16" x14ac:dyDescent="0.35">
      <c r="L214" s="4">
        <v>45377</v>
      </c>
      <c r="M214" s="25">
        <v>17441.62</v>
      </c>
      <c r="O214" s="2" t="s">
        <v>5</v>
      </c>
      <c r="P214" s="25">
        <v>346931.7</v>
      </c>
    </row>
    <row r="215" spans="12:16" x14ac:dyDescent="0.35">
      <c r="L215" s="4">
        <v>45378</v>
      </c>
      <c r="M215" s="25">
        <v>5432.35</v>
      </c>
      <c r="O215" s="2" t="s">
        <v>38</v>
      </c>
      <c r="P215" s="25">
        <v>429349.04000000021</v>
      </c>
    </row>
    <row r="216" spans="12:16" x14ac:dyDescent="0.35">
      <c r="L216" s="4">
        <v>45379</v>
      </c>
      <c r="M216" s="25">
        <v>2861.84</v>
      </c>
      <c r="O216" s="2" t="s">
        <v>30</v>
      </c>
      <c r="P216" s="25">
        <v>400523.97000000003</v>
      </c>
    </row>
    <row r="217" spans="12:16" x14ac:dyDescent="0.35">
      <c r="L217" s="4">
        <v>45380</v>
      </c>
      <c r="M217" s="25">
        <v>6283.93</v>
      </c>
      <c r="O217" s="2" t="s">
        <v>14</v>
      </c>
      <c r="P217" s="25">
        <v>304715.41000000009</v>
      </c>
    </row>
    <row r="218" spans="12:16" x14ac:dyDescent="0.35">
      <c r="L218" s="4">
        <v>45381</v>
      </c>
      <c r="M218" s="25">
        <v>17600.150000000001</v>
      </c>
      <c r="O218" s="2" t="s">
        <v>29</v>
      </c>
      <c r="P218" s="25">
        <v>317959.71999999991</v>
      </c>
    </row>
    <row r="219" spans="12:16" x14ac:dyDescent="0.35">
      <c r="L219" s="4">
        <v>45382</v>
      </c>
      <c r="M219" s="25">
        <v>18059.14</v>
      </c>
      <c r="O219" s="2" t="s">
        <v>7</v>
      </c>
      <c r="P219" s="25">
        <v>382775.25</v>
      </c>
    </row>
    <row r="220" spans="12:16" x14ac:dyDescent="0.35">
      <c r="L220" s="4">
        <v>45383</v>
      </c>
      <c r="M220" s="25">
        <v>9923.48</v>
      </c>
      <c r="O220" s="2" t="s">
        <v>12</v>
      </c>
      <c r="P220" s="25">
        <v>381894.61999999988</v>
      </c>
    </row>
    <row r="221" spans="12:16" x14ac:dyDescent="0.35">
      <c r="L221" s="4">
        <v>45384</v>
      </c>
      <c r="M221" s="25">
        <v>6996.07</v>
      </c>
      <c r="O221" s="2" t="s">
        <v>2</v>
      </c>
      <c r="P221" s="25">
        <v>383936.41999999981</v>
      </c>
    </row>
    <row r="222" spans="12:16" x14ac:dyDescent="0.35">
      <c r="L222" s="4">
        <v>45385</v>
      </c>
      <c r="M222" s="25">
        <v>14978.18</v>
      </c>
      <c r="O222" s="2" t="s">
        <v>37</v>
      </c>
      <c r="P222" s="25">
        <v>440418.75000000006</v>
      </c>
    </row>
    <row r="223" spans="12:16" x14ac:dyDescent="0.35">
      <c r="L223" s="4">
        <v>45386</v>
      </c>
      <c r="M223" s="25">
        <v>991.02</v>
      </c>
      <c r="O223" s="2" t="s">
        <v>26</v>
      </c>
      <c r="P223" s="25">
        <v>363741.68999999989</v>
      </c>
    </row>
    <row r="224" spans="12:16" x14ac:dyDescent="0.35">
      <c r="L224" s="4">
        <v>45387</v>
      </c>
      <c r="M224" s="25">
        <v>9720.9600000000009</v>
      </c>
      <c r="O224" s="2" t="s">
        <v>22</v>
      </c>
      <c r="P224" s="25">
        <v>366470.72999999986</v>
      </c>
    </row>
    <row r="225" spans="12:18" x14ac:dyDescent="0.35">
      <c r="L225" s="4">
        <v>45388</v>
      </c>
      <c r="M225" s="25">
        <v>3193.84</v>
      </c>
      <c r="O225" s="2" t="s">
        <v>21</v>
      </c>
      <c r="P225" s="25">
        <v>446681.93</v>
      </c>
    </row>
    <row r="226" spans="12:18" x14ac:dyDescent="0.35">
      <c r="L226" s="4">
        <v>45389</v>
      </c>
      <c r="M226" s="25">
        <v>16758.53</v>
      </c>
      <c r="O226" s="2" t="s">
        <v>33</v>
      </c>
      <c r="P226" s="25">
        <v>361967.14999999997</v>
      </c>
    </row>
    <row r="227" spans="12:18" x14ac:dyDescent="0.35">
      <c r="L227" s="4">
        <v>45390</v>
      </c>
      <c r="M227" s="25">
        <v>17759.510000000002</v>
      </c>
      <c r="O227" s="2" t="s">
        <v>1128</v>
      </c>
      <c r="P227" s="25">
        <v>6809096.7299999995</v>
      </c>
    </row>
    <row r="228" spans="12:18" x14ac:dyDescent="0.35">
      <c r="L228" s="4">
        <v>45391</v>
      </c>
      <c r="M228" s="25">
        <v>286.35000000000002</v>
      </c>
    </row>
    <row r="229" spans="12:18" x14ac:dyDescent="0.35">
      <c r="L229" s="4">
        <v>45392</v>
      </c>
      <c r="M229" s="25">
        <v>8015.3100000000013</v>
      </c>
    </row>
    <row r="230" spans="12:18" x14ac:dyDescent="0.35">
      <c r="L230" s="4">
        <v>45394</v>
      </c>
      <c r="M230" s="25">
        <v>2542.29</v>
      </c>
      <c r="O230" s="7" t="s">
        <v>1127</v>
      </c>
      <c r="P230" s="7" t="s">
        <v>1153</v>
      </c>
      <c r="Q230" t="s">
        <v>1130</v>
      </c>
      <c r="R230" t="s">
        <v>1129</v>
      </c>
    </row>
    <row r="231" spans="12:18" x14ac:dyDescent="0.35">
      <c r="L231" s="4">
        <v>45395</v>
      </c>
      <c r="M231" s="25">
        <v>5826.5999999999995</v>
      </c>
      <c r="O231" s="2" t="s">
        <v>6</v>
      </c>
      <c r="P231" s="25">
        <v>690009.70999999973</v>
      </c>
      <c r="Q231" s="25">
        <v>62425.959999999992</v>
      </c>
      <c r="R231" s="25">
        <v>627583.75</v>
      </c>
    </row>
    <row r="232" spans="12:18" x14ac:dyDescent="0.35">
      <c r="L232" s="4">
        <v>45396</v>
      </c>
      <c r="M232" s="25">
        <v>4410.62</v>
      </c>
      <c r="O232" s="2" t="s">
        <v>34</v>
      </c>
      <c r="P232" s="25">
        <v>726164.51</v>
      </c>
      <c r="Q232" s="25">
        <v>77083.760000000009</v>
      </c>
      <c r="R232" s="25">
        <v>649080.74999999988</v>
      </c>
    </row>
    <row r="233" spans="12:18" x14ac:dyDescent="0.35">
      <c r="L233" s="4">
        <v>45397</v>
      </c>
      <c r="M233" s="25">
        <v>1470.76</v>
      </c>
      <c r="O233" s="2" t="s">
        <v>11</v>
      </c>
      <c r="P233" s="25">
        <v>740159.97000000044</v>
      </c>
      <c r="Q233" s="25">
        <v>72293.830000000031</v>
      </c>
      <c r="R233" s="25">
        <v>667866.1399999999</v>
      </c>
    </row>
    <row r="234" spans="12:18" x14ac:dyDescent="0.35">
      <c r="L234" s="4">
        <v>45398</v>
      </c>
      <c r="M234" s="25">
        <v>26193.14</v>
      </c>
      <c r="O234" s="2" t="s">
        <v>4</v>
      </c>
      <c r="P234" s="25">
        <v>679347.52999999991</v>
      </c>
      <c r="Q234" s="25">
        <v>66541.929999999993</v>
      </c>
      <c r="R234" s="25">
        <v>612805.59999999974</v>
      </c>
    </row>
    <row r="235" spans="12:18" x14ac:dyDescent="0.35">
      <c r="L235" s="4">
        <v>45399</v>
      </c>
      <c r="M235" s="25">
        <v>14311.689999999999</v>
      </c>
      <c r="O235" s="2" t="s">
        <v>24</v>
      </c>
      <c r="P235" s="25">
        <v>661768.95999999985</v>
      </c>
      <c r="Q235" s="25">
        <v>66007.41</v>
      </c>
      <c r="R235" s="25">
        <v>595761.55000000016</v>
      </c>
    </row>
    <row r="236" spans="12:18" x14ac:dyDescent="0.35">
      <c r="L236" s="4">
        <v>45400</v>
      </c>
      <c r="M236" s="25">
        <v>5610.8</v>
      </c>
      <c r="O236" s="2" t="s">
        <v>16</v>
      </c>
      <c r="P236" s="25">
        <v>717057.75000000012</v>
      </c>
      <c r="Q236" s="25">
        <v>60906.23000000001</v>
      </c>
      <c r="R236" s="25">
        <v>656151.51999999967</v>
      </c>
    </row>
    <row r="237" spans="12:18" x14ac:dyDescent="0.35">
      <c r="L237" s="4">
        <v>45401</v>
      </c>
      <c r="M237" s="25">
        <v>5474.68</v>
      </c>
      <c r="O237" s="2" t="s">
        <v>17</v>
      </c>
      <c r="P237" s="25">
        <v>634806.40999999968</v>
      </c>
      <c r="Q237" s="25">
        <v>62083.169999999984</v>
      </c>
      <c r="R237" s="25">
        <v>572723.24</v>
      </c>
    </row>
    <row r="238" spans="12:18" x14ac:dyDescent="0.35">
      <c r="L238" s="4">
        <v>45402</v>
      </c>
      <c r="M238" s="25">
        <v>10434.759999999998</v>
      </c>
      <c r="O238" s="2" t="s">
        <v>23</v>
      </c>
      <c r="P238" s="25">
        <v>623435.40999999957</v>
      </c>
      <c r="Q238" s="25">
        <v>59764.979999999989</v>
      </c>
      <c r="R238" s="25">
        <v>563670.43000000005</v>
      </c>
    </row>
    <row r="239" spans="12:18" x14ac:dyDescent="0.35">
      <c r="L239" s="4">
        <v>45403</v>
      </c>
      <c r="M239" s="25">
        <v>16554.349999999999</v>
      </c>
      <c r="O239" s="2" t="s">
        <v>27</v>
      </c>
      <c r="P239" s="25">
        <v>760354.69999999972</v>
      </c>
      <c r="Q239" s="25">
        <v>72357.739999999991</v>
      </c>
      <c r="R239" s="25">
        <v>687996.95999999961</v>
      </c>
    </row>
    <row r="240" spans="12:18" x14ac:dyDescent="0.35">
      <c r="L240" s="4">
        <v>45404</v>
      </c>
      <c r="M240" s="25">
        <v>1187.73</v>
      </c>
      <c r="O240" s="2" t="s">
        <v>1</v>
      </c>
      <c r="P240" s="25">
        <v>562334.13000000035</v>
      </c>
      <c r="Q240" s="25">
        <v>56434.189999999973</v>
      </c>
      <c r="R240" s="25">
        <v>505899.93999999971</v>
      </c>
    </row>
    <row r="241" spans="12:18" x14ac:dyDescent="0.35">
      <c r="L241" s="4">
        <v>45405</v>
      </c>
      <c r="M241" s="25">
        <v>2861.01</v>
      </c>
      <c r="O241" s="2" t="s">
        <v>9</v>
      </c>
      <c r="P241" s="25">
        <v>748190.21999999974</v>
      </c>
      <c r="Q241" s="25">
        <v>78633.369999999981</v>
      </c>
      <c r="R241" s="25">
        <v>669556.85000000021</v>
      </c>
    </row>
    <row r="242" spans="12:18" x14ac:dyDescent="0.35">
      <c r="L242" s="4">
        <v>45406</v>
      </c>
      <c r="M242" s="25">
        <v>3443.67</v>
      </c>
      <c r="O242" s="2" t="s">
        <v>1128</v>
      </c>
      <c r="P242" s="25">
        <v>7543629.2999999998</v>
      </c>
      <c r="Q242" s="25">
        <v>734532.57</v>
      </c>
      <c r="R242" s="25">
        <v>6809096.7299999995</v>
      </c>
    </row>
    <row r="243" spans="12:18" x14ac:dyDescent="0.35">
      <c r="L243" s="4">
        <v>45407</v>
      </c>
      <c r="M243" s="25">
        <v>12386.09</v>
      </c>
    </row>
    <row r="244" spans="12:18" x14ac:dyDescent="0.35">
      <c r="L244" s="4">
        <v>45408</v>
      </c>
      <c r="M244" s="25">
        <v>10166.67</v>
      </c>
    </row>
    <row r="245" spans="12:18" x14ac:dyDescent="0.35">
      <c r="L245" s="4">
        <v>45409</v>
      </c>
      <c r="M245" s="25">
        <v>21066.23</v>
      </c>
    </row>
    <row r="246" spans="12:18" x14ac:dyDescent="0.35">
      <c r="L246" s="4">
        <v>45410</v>
      </c>
      <c r="M246" s="25">
        <v>4761.71</v>
      </c>
    </row>
    <row r="247" spans="12:18" x14ac:dyDescent="0.35">
      <c r="L247" s="4">
        <v>45411</v>
      </c>
      <c r="M247" s="25">
        <v>425.79</v>
      </c>
    </row>
    <row r="248" spans="12:18" x14ac:dyDescent="0.35">
      <c r="L248" s="4">
        <v>45412</v>
      </c>
      <c r="M248" s="25">
        <v>6707.23</v>
      </c>
    </row>
    <row r="249" spans="12:18" x14ac:dyDescent="0.35">
      <c r="L249" s="4">
        <v>45413</v>
      </c>
      <c r="M249" s="25">
        <v>13775.51</v>
      </c>
    </row>
    <row r="250" spans="12:18" x14ac:dyDescent="0.35">
      <c r="L250" s="4">
        <v>45414</v>
      </c>
      <c r="M250" s="25">
        <v>22546.95</v>
      </c>
    </row>
    <row r="251" spans="12:18" x14ac:dyDescent="0.35">
      <c r="L251" s="4">
        <v>45415</v>
      </c>
      <c r="M251" s="25">
        <v>27819.940000000002</v>
      </c>
    </row>
    <row r="252" spans="12:18" x14ac:dyDescent="0.35">
      <c r="L252" s="4">
        <v>45416</v>
      </c>
      <c r="M252" s="25">
        <v>15322.63</v>
      </c>
    </row>
    <row r="253" spans="12:18" x14ac:dyDescent="0.35">
      <c r="L253" s="4">
        <v>45417</v>
      </c>
      <c r="M253" s="25">
        <v>3541.61</v>
      </c>
    </row>
    <row r="254" spans="12:18" x14ac:dyDescent="0.35">
      <c r="L254" s="4">
        <v>45418</v>
      </c>
      <c r="M254" s="25">
        <v>12811.88</v>
      </c>
    </row>
    <row r="255" spans="12:18" x14ac:dyDescent="0.35">
      <c r="L255" s="4">
        <v>45419</v>
      </c>
      <c r="M255" s="25">
        <v>9400.58</v>
      </c>
    </row>
    <row r="256" spans="12:18" x14ac:dyDescent="0.35">
      <c r="L256" s="4">
        <v>45420</v>
      </c>
      <c r="M256" s="25">
        <v>15887.86</v>
      </c>
    </row>
    <row r="257" spans="12:13" x14ac:dyDescent="0.35">
      <c r="L257" s="4">
        <v>45421</v>
      </c>
      <c r="M257" s="25">
        <v>1457.48</v>
      </c>
    </row>
    <row r="258" spans="12:13" x14ac:dyDescent="0.35">
      <c r="L258" s="4">
        <v>45422</v>
      </c>
      <c r="M258" s="25">
        <v>8107.44</v>
      </c>
    </row>
    <row r="259" spans="12:13" x14ac:dyDescent="0.35">
      <c r="L259" s="4">
        <v>45423</v>
      </c>
      <c r="M259" s="25">
        <v>15525.150000000001</v>
      </c>
    </row>
    <row r="260" spans="12:13" x14ac:dyDescent="0.35">
      <c r="L260" s="4">
        <v>45424</v>
      </c>
      <c r="M260" s="25">
        <v>1462.46</v>
      </c>
    </row>
    <row r="261" spans="12:13" x14ac:dyDescent="0.35">
      <c r="L261" s="4">
        <v>45425</v>
      </c>
      <c r="M261" s="25">
        <v>3461.9300000000003</v>
      </c>
    </row>
    <row r="262" spans="12:13" x14ac:dyDescent="0.35">
      <c r="L262" s="4">
        <v>45426</v>
      </c>
      <c r="M262" s="25">
        <v>13642.71</v>
      </c>
    </row>
    <row r="263" spans="12:13" x14ac:dyDescent="0.35">
      <c r="L263" s="4">
        <v>45427</v>
      </c>
      <c r="M263" s="25">
        <v>10460.490000000002</v>
      </c>
    </row>
    <row r="264" spans="12:13" x14ac:dyDescent="0.35">
      <c r="L264" s="4">
        <v>45428</v>
      </c>
      <c r="M264" s="25">
        <v>14043.6</v>
      </c>
    </row>
    <row r="265" spans="12:13" x14ac:dyDescent="0.35">
      <c r="L265" s="4">
        <v>45429</v>
      </c>
      <c r="M265" s="25">
        <v>1940.54</v>
      </c>
    </row>
    <row r="266" spans="12:13" x14ac:dyDescent="0.35">
      <c r="L266" s="4">
        <v>45430</v>
      </c>
      <c r="M266" s="25">
        <v>13200.32</v>
      </c>
    </row>
    <row r="267" spans="12:13" x14ac:dyDescent="0.35">
      <c r="L267" s="4">
        <v>45431</v>
      </c>
      <c r="M267" s="25">
        <v>2672.6</v>
      </c>
    </row>
    <row r="268" spans="12:13" x14ac:dyDescent="0.35">
      <c r="L268" s="4">
        <v>45432</v>
      </c>
      <c r="M268" s="25">
        <v>8346.48</v>
      </c>
    </row>
    <row r="269" spans="12:13" x14ac:dyDescent="0.35">
      <c r="L269" s="4">
        <v>45433</v>
      </c>
      <c r="M269" s="25">
        <v>7864.25</v>
      </c>
    </row>
    <row r="270" spans="12:13" x14ac:dyDescent="0.35">
      <c r="L270" s="4">
        <v>45434</v>
      </c>
      <c r="M270" s="25">
        <v>20506.810000000001</v>
      </c>
    </row>
    <row r="271" spans="12:13" x14ac:dyDescent="0.35">
      <c r="L271" s="4">
        <v>45435</v>
      </c>
      <c r="M271" s="25">
        <v>5780.95</v>
      </c>
    </row>
    <row r="272" spans="12:13" x14ac:dyDescent="0.35">
      <c r="L272" s="4">
        <v>45436</v>
      </c>
      <c r="M272" s="25">
        <v>12656.67</v>
      </c>
    </row>
    <row r="273" spans="12:13" x14ac:dyDescent="0.35">
      <c r="L273" s="4">
        <v>45437</v>
      </c>
      <c r="M273" s="25">
        <v>6276.46</v>
      </c>
    </row>
    <row r="274" spans="12:13" x14ac:dyDescent="0.35">
      <c r="L274" s="4">
        <v>45439</v>
      </c>
      <c r="M274" s="25">
        <v>11667.31</v>
      </c>
    </row>
    <row r="275" spans="12:13" x14ac:dyDescent="0.35">
      <c r="L275" s="4">
        <v>45440</v>
      </c>
      <c r="M275" s="25">
        <v>24284.969999999998</v>
      </c>
    </row>
    <row r="276" spans="12:13" x14ac:dyDescent="0.35">
      <c r="L276" s="4">
        <v>45441</v>
      </c>
      <c r="M276" s="25">
        <v>6298.04</v>
      </c>
    </row>
    <row r="277" spans="12:13" x14ac:dyDescent="0.35">
      <c r="L277" s="4">
        <v>45442</v>
      </c>
      <c r="M277" s="25">
        <v>13660.14</v>
      </c>
    </row>
    <row r="278" spans="12:13" x14ac:dyDescent="0.35">
      <c r="L278" s="4">
        <v>45443</v>
      </c>
      <c r="M278" s="25">
        <v>3818</v>
      </c>
    </row>
    <row r="279" spans="12:13" x14ac:dyDescent="0.35">
      <c r="L279" s="4">
        <v>45444</v>
      </c>
      <c r="M279" s="25">
        <v>8392.9599999999991</v>
      </c>
    </row>
    <row r="280" spans="12:13" x14ac:dyDescent="0.35">
      <c r="L280" s="4">
        <v>45445</v>
      </c>
      <c r="M280" s="25">
        <v>3842.0699999999997</v>
      </c>
    </row>
    <row r="281" spans="12:13" x14ac:dyDescent="0.35">
      <c r="L281" s="4">
        <v>45447</v>
      </c>
      <c r="M281" s="25">
        <v>9504.33</v>
      </c>
    </row>
    <row r="282" spans="12:13" x14ac:dyDescent="0.35">
      <c r="L282" s="4">
        <v>45448</v>
      </c>
      <c r="M282" s="25">
        <v>8341.5</v>
      </c>
    </row>
    <row r="283" spans="12:13" x14ac:dyDescent="0.35">
      <c r="L283" s="4">
        <v>45450</v>
      </c>
      <c r="M283" s="25">
        <v>2342.2600000000002</v>
      </c>
    </row>
    <row r="284" spans="12:13" x14ac:dyDescent="0.35">
      <c r="L284" s="4">
        <v>45452</v>
      </c>
      <c r="M284" s="25">
        <v>19960.669999999998</v>
      </c>
    </row>
    <row r="285" spans="12:13" x14ac:dyDescent="0.35">
      <c r="L285" s="4">
        <v>45453</v>
      </c>
      <c r="M285" s="25">
        <v>9968.2999999999993</v>
      </c>
    </row>
    <row r="286" spans="12:13" x14ac:dyDescent="0.35">
      <c r="L286" s="4">
        <v>45454</v>
      </c>
      <c r="M286" s="25">
        <v>14320.819999999998</v>
      </c>
    </row>
    <row r="287" spans="12:13" x14ac:dyDescent="0.35">
      <c r="L287" s="4">
        <v>45455</v>
      </c>
      <c r="M287" s="25">
        <v>173.47</v>
      </c>
    </row>
    <row r="288" spans="12:13" x14ac:dyDescent="0.35">
      <c r="L288" s="4">
        <v>45456</v>
      </c>
      <c r="M288" s="25">
        <v>15866.28</v>
      </c>
    </row>
    <row r="289" spans="12:13" x14ac:dyDescent="0.35">
      <c r="L289" s="4">
        <v>45457</v>
      </c>
      <c r="M289" s="25">
        <v>12782</v>
      </c>
    </row>
    <row r="290" spans="12:13" x14ac:dyDescent="0.35">
      <c r="L290" s="4">
        <v>45458</v>
      </c>
      <c r="M290" s="25">
        <v>1405.19</v>
      </c>
    </row>
    <row r="291" spans="12:13" x14ac:dyDescent="0.35">
      <c r="L291" s="4">
        <v>45459</v>
      </c>
      <c r="M291" s="25">
        <v>3116.65</v>
      </c>
    </row>
    <row r="292" spans="12:13" x14ac:dyDescent="0.35">
      <c r="L292" s="4">
        <v>45460</v>
      </c>
      <c r="M292" s="25">
        <v>4158.3</v>
      </c>
    </row>
    <row r="293" spans="12:13" x14ac:dyDescent="0.35">
      <c r="L293" s="4">
        <v>45461</v>
      </c>
      <c r="M293" s="25">
        <v>16100.34</v>
      </c>
    </row>
    <row r="294" spans="12:13" x14ac:dyDescent="0.35">
      <c r="L294" s="4">
        <v>45462</v>
      </c>
      <c r="M294" s="25">
        <v>10531.04</v>
      </c>
    </row>
    <row r="295" spans="12:13" x14ac:dyDescent="0.35">
      <c r="L295" s="4">
        <v>45463</v>
      </c>
      <c r="M295" s="25">
        <v>8853.61</v>
      </c>
    </row>
    <row r="296" spans="12:13" x14ac:dyDescent="0.35">
      <c r="L296" s="4">
        <v>45464</v>
      </c>
      <c r="M296" s="25">
        <v>3783.14</v>
      </c>
    </row>
    <row r="297" spans="12:13" x14ac:dyDescent="0.35">
      <c r="L297" s="4">
        <v>45465</v>
      </c>
      <c r="M297" s="25">
        <v>10584.99</v>
      </c>
    </row>
    <row r="298" spans="12:13" x14ac:dyDescent="0.35">
      <c r="L298" s="4">
        <v>45466</v>
      </c>
      <c r="M298" s="25">
        <v>4262.05</v>
      </c>
    </row>
    <row r="299" spans="12:13" x14ac:dyDescent="0.35">
      <c r="L299" s="4">
        <v>45467</v>
      </c>
      <c r="M299" s="25">
        <v>18988.739999999998</v>
      </c>
    </row>
    <row r="300" spans="12:13" x14ac:dyDescent="0.35">
      <c r="L300" s="4">
        <v>45468</v>
      </c>
      <c r="M300" s="25">
        <v>14451.960000000001</v>
      </c>
    </row>
    <row r="301" spans="12:13" x14ac:dyDescent="0.35">
      <c r="L301" s="4">
        <v>45469</v>
      </c>
      <c r="M301" s="25">
        <v>8778.91</v>
      </c>
    </row>
    <row r="302" spans="12:13" x14ac:dyDescent="0.35">
      <c r="L302" s="4">
        <v>45470</v>
      </c>
      <c r="M302" s="25">
        <v>19700.88</v>
      </c>
    </row>
    <row r="303" spans="12:13" x14ac:dyDescent="0.35">
      <c r="L303" s="4">
        <v>45471</v>
      </c>
      <c r="M303" s="25">
        <v>10067.9</v>
      </c>
    </row>
    <row r="304" spans="12:13" x14ac:dyDescent="0.35">
      <c r="L304" s="4">
        <v>45472</v>
      </c>
      <c r="M304" s="25">
        <v>4516.03</v>
      </c>
    </row>
    <row r="305" spans="12:13" x14ac:dyDescent="0.35">
      <c r="L305" s="4">
        <v>45473</v>
      </c>
      <c r="M305" s="25">
        <v>9445.4000000000015</v>
      </c>
    </row>
    <row r="306" spans="12:13" x14ac:dyDescent="0.35">
      <c r="L306" s="4">
        <v>45474</v>
      </c>
      <c r="M306" s="25">
        <v>2773.0299999999997</v>
      </c>
    </row>
    <row r="307" spans="12:13" x14ac:dyDescent="0.35">
      <c r="L307" s="4">
        <v>45475</v>
      </c>
      <c r="M307" s="25">
        <v>7572.92</v>
      </c>
    </row>
    <row r="308" spans="12:13" x14ac:dyDescent="0.35">
      <c r="L308" s="4">
        <v>45476</v>
      </c>
      <c r="M308" s="25">
        <v>1941.37</v>
      </c>
    </row>
    <row r="309" spans="12:13" x14ac:dyDescent="0.35">
      <c r="L309" s="4">
        <v>45477</v>
      </c>
      <c r="M309" s="25">
        <v>9240.39</v>
      </c>
    </row>
    <row r="310" spans="12:13" x14ac:dyDescent="0.35">
      <c r="L310" s="4">
        <v>45478</v>
      </c>
      <c r="M310" s="25">
        <v>13190.36</v>
      </c>
    </row>
    <row r="311" spans="12:13" x14ac:dyDescent="0.35">
      <c r="L311" s="4">
        <v>45479</v>
      </c>
      <c r="M311" s="25">
        <v>9495.2000000000007</v>
      </c>
    </row>
    <row r="312" spans="12:13" x14ac:dyDescent="0.35">
      <c r="L312" s="4">
        <v>45480</v>
      </c>
      <c r="M312" s="25">
        <v>4543.42</v>
      </c>
    </row>
    <row r="313" spans="12:13" x14ac:dyDescent="0.35">
      <c r="L313" s="4">
        <v>45481</v>
      </c>
      <c r="M313" s="25">
        <v>3990.64</v>
      </c>
    </row>
    <row r="314" spans="12:13" x14ac:dyDescent="0.35">
      <c r="L314" s="4">
        <v>45482</v>
      </c>
      <c r="M314" s="25">
        <v>5868.1</v>
      </c>
    </row>
    <row r="315" spans="12:13" x14ac:dyDescent="0.35">
      <c r="L315" s="4">
        <v>45483</v>
      </c>
      <c r="M315" s="25">
        <v>11129.470000000001</v>
      </c>
    </row>
    <row r="316" spans="12:13" x14ac:dyDescent="0.35">
      <c r="L316" s="4">
        <v>45484</v>
      </c>
      <c r="M316" s="25">
        <v>9696.89</v>
      </c>
    </row>
    <row r="317" spans="12:13" x14ac:dyDescent="0.35">
      <c r="L317" s="4">
        <v>45485</v>
      </c>
      <c r="M317" s="25">
        <v>5486.2999999999993</v>
      </c>
    </row>
    <row r="318" spans="12:13" x14ac:dyDescent="0.35">
      <c r="L318" s="4">
        <v>45486</v>
      </c>
      <c r="M318" s="25">
        <v>27673.859999999997</v>
      </c>
    </row>
    <row r="319" spans="12:13" x14ac:dyDescent="0.35">
      <c r="L319" s="4">
        <v>45487</v>
      </c>
      <c r="M319" s="25">
        <v>18502.36</v>
      </c>
    </row>
    <row r="320" spans="12:13" x14ac:dyDescent="0.35">
      <c r="L320" s="4">
        <v>45488</v>
      </c>
      <c r="M320" s="25">
        <v>15745.93</v>
      </c>
    </row>
    <row r="321" spans="12:13" x14ac:dyDescent="0.35">
      <c r="L321" s="4">
        <v>45489</v>
      </c>
      <c r="M321" s="25">
        <v>4894.51</v>
      </c>
    </row>
    <row r="322" spans="12:13" x14ac:dyDescent="0.35">
      <c r="L322" s="4">
        <v>45490</v>
      </c>
      <c r="M322" s="25">
        <v>10745.18</v>
      </c>
    </row>
    <row r="323" spans="12:13" x14ac:dyDescent="0.35">
      <c r="L323" s="4">
        <v>45491</v>
      </c>
      <c r="M323" s="25">
        <v>16113.619999999999</v>
      </c>
    </row>
    <row r="324" spans="12:13" x14ac:dyDescent="0.35">
      <c r="L324" s="4">
        <v>45493</v>
      </c>
      <c r="M324" s="25">
        <v>18725.63</v>
      </c>
    </row>
    <row r="325" spans="12:13" x14ac:dyDescent="0.35">
      <c r="L325" s="4">
        <v>45494</v>
      </c>
      <c r="M325" s="25">
        <v>16228.16</v>
      </c>
    </row>
    <row r="326" spans="12:13" x14ac:dyDescent="0.35">
      <c r="L326" s="4">
        <v>45495</v>
      </c>
      <c r="M326" s="25">
        <v>2064.21</v>
      </c>
    </row>
    <row r="327" spans="12:13" x14ac:dyDescent="0.35">
      <c r="L327" s="4">
        <v>45496</v>
      </c>
      <c r="M327" s="25">
        <v>7826.9</v>
      </c>
    </row>
    <row r="328" spans="12:13" x14ac:dyDescent="0.35">
      <c r="L328" s="4">
        <v>45497</v>
      </c>
      <c r="M328" s="25">
        <v>8767.2900000000009</v>
      </c>
    </row>
    <row r="329" spans="12:13" x14ac:dyDescent="0.35">
      <c r="L329" s="4">
        <v>45498</v>
      </c>
      <c r="M329" s="25">
        <v>16729.48</v>
      </c>
    </row>
    <row r="330" spans="12:13" x14ac:dyDescent="0.35">
      <c r="L330" s="4">
        <v>45499</v>
      </c>
      <c r="M330" s="25">
        <v>8666.0300000000007</v>
      </c>
    </row>
    <row r="331" spans="12:13" x14ac:dyDescent="0.35">
      <c r="L331" s="4">
        <v>45500</v>
      </c>
      <c r="M331" s="25">
        <v>17636.669999999998</v>
      </c>
    </row>
    <row r="332" spans="12:13" x14ac:dyDescent="0.35">
      <c r="L332" s="4">
        <v>45501</v>
      </c>
      <c r="M332" s="25">
        <v>6816.79</v>
      </c>
    </row>
    <row r="333" spans="12:13" x14ac:dyDescent="0.35">
      <c r="L333" s="4">
        <v>45502</v>
      </c>
      <c r="M333" s="25">
        <v>3278.5</v>
      </c>
    </row>
    <row r="334" spans="12:13" x14ac:dyDescent="0.35">
      <c r="L334" s="4">
        <v>45503</v>
      </c>
      <c r="M334" s="25">
        <v>20116.71</v>
      </c>
    </row>
    <row r="335" spans="12:13" x14ac:dyDescent="0.35">
      <c r="L335" s="4">
        <v>45504</v>
      </c>
      <c r="M335" s="25">
        <v>366.86</v>
      </c>
    </row>
    <row r="336" spans="12:13" x14ac:dyDescent="0.35">
      <c r="L336" s="4">
        <v>45505</v>
      </c>
      <c r="M336" s="25">
        <v>15965.05</v>
      </c>
    </row>
    <row r="337" spans="12:13" x14ac:dyDescent="0.35">
      <c r="L337" s="4">
        <v>45506</v>
      </c>
      <c r="M337" s="25">
        <v>22454.82</v>
      </c>
    </row>
    <row r="338" spans="12:13" x14ac:dyDescent="0.35">
      <c r="L338" s="4">
        <v>45507</v>
      </c>
      <c r="M338" s="25">
        <v>2412.81</v>
      </c>
    </row>
    <row r="339" spans="12:13" x14ac:dyDescent="0.35">
      <c r="L339" s="4">
        <v>45508</v>
      </c>
      <c r="M339" s="25">
        <v>9480.26</v>
      </c>
    </row>
    <row r="340" spans="12:13" x14ac:dyDescent="0.35">
      <c r="L340" s="4">
        <v>45509</v>
      </c>
      <c r="M340" s="25">
        <v>16658.099999999999</v>
      </c>
    </row>
    <row r="341" spans="12:13" x14ac:dyDescent="0.35">
      <c r="L341" s="4">
        <v>45510</v>
      </c>
      <c r="M341" s="25">
        <v>8392.9599999999991</v>
      </c>
    </row>
    <row r="342" spans="12:13" x14ac:dyDescent="0.35">
      <c r="L342" s="4">
        <v>45511</v>
      </c>
      <c r="M342" s="25">
        <v>13708.28</v>
      </c>
    </row>
    <row r="343" spans="12:13" x14ac:dyDescent="0.35">
      <c r="L343" s="4">
        <v>45512</v>
      </c>
      <c r="M343" s="25">
        <v>12575.33</v>
      </c>
    </row>
    <row r="344" spans="12:13" x14ac:dyDescent="0.35">
      <c r="L344" s="4">
        <v>45513</v>
      </c>
      <c r="M344" s="25">
        <v>9090.16</v>
      </c>
    </row>
    <row r="345" spans="12:13" x14ac:dyDescent="0.35">
      <c r="L345" s="4">
        <v>45514</v>
      </c>
      <c r="M345" s="25">
        <v>7475.8099999999995</v>
      </c>
    </row>
    <row r="346" spans="12:13" x14ac:dyDescent="0.35">
      <c r="L346" s="4">
        <v>45515</v>
      </c>
      <c r="M346" s="25">
        <v>9669.5</v>
      </c>
    </row>
    <row r="347" spans="12:13" x14ac:dyDescent="0.35">
      <c r="L347" s="4">
        <v>45516</v>
      </c>
      <c r="M347" s="25">
        <v>1466.61</v>
      </c>
    </row>
    <row r="348" spans="12:13" x14ac:dyDescent="0.35">
      <c r="L348" s="4">
        <v>45517</v>
      </c>
      <c r="M348" s="25">
        <v>3498.45</v>
      </c>
    </row>
    <row r="349" spans="12:13" x14ac:dyDescent="0.35">
      <c r="L349" s="4">
        <v>45520</v>
      </c>
      <c r="M349" s="25">
        <v>2693.35</v>
      </c>
    </row>
    <row r="350" spans="12:13" x14ac:dyDescent="0.35">
      <c r="L350" s="4">
        <v>45521</v>
      </c>
      <c r="M350" s="25">
        <v>5799.21</v>
      </c>
    </row>
    <row r="351" spans="12:13" x14ac:dyDescent="0.35">
      <c r="L351" s="4">
        <v>45522</v>
      </c>
      <c r="M351" s="25">
        <v>15810.669999999998</v>
      </c>
    </row>
    <row r="352" spans="12:13" x14ac:dyDescent="0.35">
      <c r="L352" s="4">
        <v>45523</v>
      </c>
      <c r="M352" s="25">
        <v>4286.12</v>
      </c>
    </row>
    <row r="353" spans="12:13" x14ac:dyDescent="0.35">
      <c r="L353" s="4">
        <v>45524</v>
      </c>
      <c r="M353" s="25">
        <v>18984.59</v>
      </c>
    </row>
    <row r="354" spans="12:13" x14ac:dyDescent="0.35">
      <c r="L354" s="4">
        <v>45525</v>
      </c>
      <c r="M354" s="25">
        <v>7681.65</v>
      </c>
    </row>
    <row r="355" spans="12:13" x14ac:dyDescent="0.35">
      <c r="L355" s="4">
        <v>45526</v>
      </c>
      <c r="M355" s="25">
        <v>344.45</v>
      </c>
    </row>
    <row r="356" spans="12:13" x14ac:dyDescent="0.35">
      <c r="L356" s="4">
        <v>45528</v>
      </c>
      <c r="M356" s="25">
        <v>9888.6200000000008</v>
      </c>
    </row>
    <row r="357" spans="12:13" x14ac:dyDescent="0.35">
      <c r="L357" s="4">
        <v>45529</v>
      </c>
      <c r="M357" s="25">
        <v>7759.67</v>
      </c>
    </row>
    <row r="358" spans="12:13" x14ac:dyDescent="0.35">
      <c r="L358" s="4">
        <v>45530</v>
      </c>
      <c r="M358" s="25">
        <v>12687.380000000001</v>
      </c>
    </row>
    <row r="359" spans="12:13" x14ac:dyDescent="0.35">
      <c r="L359" s="4">
        <v>45531</v>
      </c>
      <c r="M359" s="25">
        <v>11709.64</v>
      </c>
    </row>
    <row r="360" spans="12:13" x14ac:dyDescent="0.35">
      <c r="L360" s="4">
        <v>45532</v>
      </c>
      <c r="M360" s="25">
        <v>20844.620000000003</v>
      </c>
    </row>
    <row r="361" spans="12:13" x14ac:dyDescent="0.35">
      <c r="L361" s="4">
        <v>45533</v>
      </c>
      <c r="M361" s="25">
        <v>10455.51</v>
      </c>
    </row>
    <row r="362" spans="12:13" x14ac:dyDescent="0.35">
      <c r="L362" s="4">
        <v>45534</v>
      </c>
      <c r="M362" s="25">
        <v>3301.74</v>
      </c>
    </row>
    <row r="363" spans="12:13" x14ac:dyDescent="0.35">
      <c r="L363" s="4">
        <v>45535</v>
      </c>
      <c r="M363" s="25">
        <v>14886.05</v>
      </c>
    </row>
    <row r="364" spans="12:13" x14ac:dyDescent="0.35">
      <c r="L364" s="4">
        <v>45536</v>
      </c>
      <c r="M364" s="25">
        <v>7397.79</v>
      </c>
    </row>
    <row r="365" spans="12:13" x14ac:dyDescent="0.35">
      <c r="L365" s="4">
        <v>45537</v>
      </c>
      <c r="M365" s="25">
        <v>14695.98</v>
      </c>
    </row>
    <row r="366" spans="12:13" x14ac:dyDescent="0.35">
      <c r="L366" s="4">
        <v>45538</v>
      </c>
      <c r="M366" s="25">
        <v>1293.97</v>
      </c>
    </row>
    <row r="367" spans="12:13" x14ac:dyDescent="0.35">
      <c r="L367" s="4">
        <v>45539</v>
      </c>
      <c r="M367" s="25">
        <v>12371.15</v>
      </c>
    </row>
    <row r="368" spans="12:13" x14ac:dyDescent="0.35">
      <c r="L368" s="4">
        <v>45540</v>
      </c>
      <c r="M368" s="25">
        <v>3265.2200000000003</v>
      </c>
    </row>
    <row r="369" spans="12:13" x14ac:dyDescent="0.35">
      <c r="L369" s="4">
        <v>45541</v>
      </c>
      <c r="M369" s="25">
        <v>10010.629999999999</v>
      </c>
    </row>
    <row r="370" spans="12:13" x14ac:dyDescent="0.35">
      <c r="L370" s="4">
        <v>45542</v>
      </c>
      <c r="M370" s="25">
        <v>6967.0199999999995</v>
      </c>
    </row>
    <row r="371" spans="12:13" x14ac:dyDescent="0.35">
      <c r="L371" s="4">
        <v>45543</v>
      </c>
      <c r="M371" s="25">
        <v>16600</v>
      </c>
    </row>
    <row r="372" spans="12:13" x14ac:dyDescent="0.35">
      <c r="L372" s="4">
        <v>45544</v>
      </c>
      <c r="M372" s="25">
        <v>6208.4</v>
      </c>
    </row>
    <row r="373" spans="12:13" x14ac:dyDescent="0.35">
      <c r="L373" s="4">
        <v>45545</v>
      </c>
      <c r="M373" s="25">
        <v>13920.759999999998</v>
      </c>
    </row>
    <row r="374" spans="12:13" x14ac:dyDescent="0.35">
      <c r="L374" s="4">
        <v>45546</v>
      </c>
      <c r="M374" s="25">
        <v>3229.53</v>
      </c>
    </row>
    <row r="375" spans="12:13" x14ac:dyDescent="0.35">
      <c r="L375" s="4">
        <v>45547</v>
      </c>
      <c r="M375" s="25">
        <v>9048.66</v>
      </c>
    </row>
    <row r="376" spans="12:13" x14ac:dyDescent="0.35">
      <c r="L376" s="4">
        <v>45548</v>
      </c>
      <c r="M376" s="25">
        <v>12993.65</v>
      </c>
    </row>
    <row r="377" spans="12:13" x14ac:dyDescent="0.35">
      <c r="L377" s="4">
        <v>45549</v>
      </c>
      <c r="M377" s="25">
        <v>1304.76</v>
      </c>
    </row>
    <row r="378" spans="12:13" x14ac:dyDescent="0.35">
      <c r="L378" s="4">
        <v>45551</v>
      </c>
      <c r="M378" s="25">
        <v>9271.1</v>
      </c>
    </row>
    <row r="379" spans="12:13" x14ac:dyDescent="0.35">
      <c r="L379" s="4">
        <v>45552</v>
      </c>
      <c r="M379" s="25">
        <v>14609.66</v>
      </c>
    </row>
    <row r="380" spans="12:13" x14ac:dyDescent="0.35">
      <c r="L380" s="4">
        <v>45553</v>
      </c>
      <c r="M380" s="25">
        <v>9974.11</v>
      </c>
    </row>
    <row r="381" spans="12:13" x14ac:dyDescent="0.35">
      <c r="L381" s="4">
        <v>45554</v>
      </c>
      <c r="M381" s="25">
        <v>10815.73</v>
      </c>
    </row>
    <row r="382" spans="12:13" x14ac:dyDescent="0.35">
      <c r="L382" s="4">
        <v>45555</v>
      </c>
      <c r="M382" s="25">
        <v>13173.76</v>
      </c>
    </row>
    <row r="383" spans="12:13" x14ac:dyDescent="0.35">
      <c r="L383" s="4">
        <v>45556</v>
      </c>
      <c r="M383" s="25">
        <v>5008.22</v>
      </c>
    </row>
    <row r="384" spans="12:13" x14ac:dyDescent="0.35">
      <c r="L384" s="4">
        <v>45557</v>
      </c>
      <c r="M384" s="25">
        <v>19281.73</v>
      </c>
    </row>
    <row r="385" spans="12:13" x14ac:dyDescent="0.35">
      <c r="L385" s="4">
        <v>45558</v>
      </c>
      <c r="M385" s="25">
        <v>19346.47</v>
      </c>
    </row>
    <row r="386" spans="12:13" x14ac:dyDescent="0.35">
      <c r="L386" s="4">
        <v>45559</v>
      </c>
      <c r="M386" s="25">
        <v>4768.3499999999995</v>
      </c>
    </row>
    <row r="387" spans="12:13" x14ac:dyDescent="0.35">
      <c r="L387" s="4">
        <v>45560</v>
      </c>
      <c r="M387" s="25">
        <v>4912.7700000000004</v>
      </c>
    </row>
    <row r="388" spans="12:13" x14ac:dyDescent="0.35">
      <c r="L388" s="4">
        <v>45561</v>
      </c>
      <c r="M388" s="25">
        <v>9270.27</v>
      </c>
    </row>
    <row r="389" spans="12:13" x14ac:dyDescent="0.35">
      <c r="L389" s="4">
        <v>45562</v>
      </c>
      <c r="M389" s="25">
        <v>7589.5199999999995</v>
      </c>
    </row>
    <row r="390" spans="12:13" x14ac:dyDescent="0.35">
      <c r="L390" s="4">
        <v>45563</v>
      </c>
      <c r="M390" s="25">
        <v>6729.6399999999994</v>
      </c>
    </row>
    <row r="391" spans="12:13" x14ac:dyDescent="0.35">
      <c r="L391" s="4">
        <v>45564</v>
      </c>
      <c r="M391" s="25">
        <v>3294.27</v>
      </c>
    </row>
    <row r="392" spans="12:13" x14ac:dyDescent="0.35">
      <c r="L392" s="4">
        <v>45565</v>
      </c>
      <c r="M392" s="25">
        <v>6767.82</v>
      </c>
    </row>
    <row r="393" spans="12:13" x14ac:dyDescent="0.35">
      <c r="L393" s="4">
        <v>45566</v>
      </c>
      <c r="M393" s="25">
        <v>4132.57</v>
      </c>
    </row>
    <row r="394" spans="12:13" x14ac:dyDescent="0.35">
      <c r="L394" s="4">
        <v>45567</v>
      </c>
      <c r="M394" s="25">
        <v>9939.25</v>
      </c>
    </row>
    <row r="395" spans="12:13" x14ac:dyDescent="0.35">
      <c r="L395" s="4">
        <v>45568</v>
      </c>
      <c r="M395" s="25">
        <v>8498.369999999999</v>
      </c>
    </row>
    <row r="396" spans="12:13" x14ac:dyDescent="0.35">
      <c r="L396" s="4">
        <v>45569</v>
      </c>
      <c r="M396" s="25">
        <v>3683.54</v>
      </c>
    </row>
    <row r="397" spans="12:13" x14ac:dyDescent="0.35">
      <c r="L397" s="4">
        <v>45571</v>
      </c>
      <c r="M397" s="25">
        <v>16224.009999999998</v>
      </c>
    </row>
    <row r="398" spans="12:13" x14ac:dyDescent="0.35">
      <c r="L398" s="4">
        <v>45572</v>
      </c>
      <c r="M398" s="25">
        <v>4318.49</v>
      </c>
    </row>
    <row r="399" spans="12:13" x14ac:dyDescent="0.35">
      <c r="L399" s="4">
        <v>45573</v>
      </c>
      <c r="M399" s="25">
        <v>5091.22</v>
      </c>
    </row>
    <row r="400" spans="12:13" x14ac:dyDescent="0.35">
      <c r="L400" s="4">
        <v>45574</v>
      </c>
      <c r="M400" s="25">
        <v>35129.750000000007</v>
      </c>
    </row>
    <row r="401" spans="12:13" x14ac:dyDescent="0.35">
      <c r="L401" s="4">
        <v>45575</v>
      </c>
      <c r="M401" s="25">
        <v>10271.25</v>
      </c>
    </row>
    <row r="402" spans="12:13" x14ac:dyDescent="0.35">
      <c r="L402" s="4">
        <v>45576</v>
      </c>
      <c r="M402" s="25">
        <v>10726.089999999998</v>
      </c>
    </row>
    <row r="403" spans="12:13" x14ac:dyDescent="0.35">
      <c r="L403" s="4">
        <v>45577</v>
      </c>
      <c r="M403" s="25">
        <v>11034.85</v>
      </c>
    </row>
    <row r="404" spans="12:13" x14ac:dyDescent="0.35">
      <c r="L404" s="4">
        <v>45578</v>
      </c>
      <c r="M404" s="25">
        <v>2460.9499999999998</v>
      </c>
    </row>
    <row r="405" spans="12:13" x14ac:dyDescent="0.35">
      <c r="L405" s="4">
        <v>45579</v>
      </c>
      <c r="M405" s="25">
        <v>8009.5</v>
      </c>
    </row>
    <row r="406" spans="12:13" x14ac:dyDescent="0.35">
      <c r="L406" s="4">
        <v>45580</v>
      </c>
      <c r="M406" s="25">
        <v>14490.97</v>
      </c>
    </row>
    <row r="407" spans="12:13" x14ac:dyDescent="0.35">
      <c r="L407" s="4">
        <v>45581</v>
      </c>
      <c r="M407" s="25">
        <v>4769.18</v>
      </c>
    </row>
    <row r="408" spans="12:13" x14ac:dyDescent="0.35">
      <c r="L408" s="4">
        <v>45582</v>
      </c>
      <c r="M408" s="25">
        <v>27686.31</v>
      </c>
    </row>
    <row r="409" spans="12:13" x14ac:dyDescent="0.35">
      <c r="L409" s="4">
        <v>45583</v>
      </c>
      <c r="M409" s="25">
        <v>13090.76</v>
      </c>
    </row>
    <row r="410" spans="12:13" x14ac:dyDescent="0.35">
      <c r="L410" s="4">
        <v>45584</v>
      </c>
      <c r="M410" s="25">
        <v>20027.899999999998</v>
      </c>
    </row>
    <row r="411" spans="12:13" x14ac:dyDescent="0.35">
      <c r="L411" s="4">
        <v>45585</v>
      </c>
      <c r="M411" s="25">
        <v>9276.91</v>
      </c>
    </row>
    <row r="412" spans="12:13" x14ac:dyDescent="0.35">
      <c r="L412" s="4">
        <v>45586</v>
      </c>
      <c r="M412" s="25">
        <v>7948.08</v>
      </c>
    </row>
    <row r="413" spans="12:13" x14ac:dyDescent="0.35">
      <c r="L413" s="4">
        <v>45587</v>
      </c>
      <c r="M413" s="25">
        <v>17003.38</v>
      </c>
    </row>
    <row r="414" spans="12:13" x14ac:dyDescent="0.35">
      <c r="L414" s="4">
        <v>45588</v>
      </c>
      <c r="M414" s="25">
        <v>10879.64</v>
      </c>
    </row>
    <row r="415" spans="12:13" x14ac:dyDescent="0.35">
      <c r="L415" s="4">
        <v>45589</v>
      </c>
      <c r="M415" s="25">
        <v>6039.08</v>
      </c>
    </row>
    <row r="416" spans="12:13" x14ac:dyDescent="0.35">
      <c r="L416" s="4">
        <v>45590</v>
      </c>
      <c r="M416" s="25">
        <v>25840.39</v>
      </c>
    </row>
    <row r="417" spans="12:13" x14ac:dyDescent="0.35">
      <c r="L417" s="4">
        <v>45591</v>
      </c>
      <c r="M417" s="25">
        <v>7419.3700000000008</v>
      </c>
    </row>
    <row r="418" spans="12:13" x14ac:dyDescent="0.35">
      <c r="L418" s="4">
        <v>45592</v>
      </c>
      <c r="M418" s="25">
        <v>14694.32</v>
      </c>
    </row>
    <row r="419" spans="12:13" x14ac:dyDescent="0.35">
      <c r="L419" s="4">
        <v>45593</v>
      </c>
      <c r="M419" s="25">
        <v>27544.379999999997</v>
      </c>
    </row>
    <row r="420" spans="12:13" x14ac:dyDescent="0.35">
      <c r="L420" s="4">
        <v>45594</v>
      </c>
      <c r="M420" s="25">
        <v>2096.58</v>
      </c>
    </row>
    <row r="421" spans="12:13" x14ac:dyDescent="0.35">
      <c r="L421" s="4">
        <v>45595</v>
      </c>
      <c r="M421" s="25">
        <v>1163.6600000000001</v>
      </c>
    </row>
    <row r="422" spans="12:13" x14ac:dyDescent="0.35">
      <c r="L422" s="4">
        <v>45596</v>
      </c>
      <c r="M422" s="25">
        <v>668.98</v>
      </c>
    </row>
    <row r="423" spans="12:13" x14ac:dyDescent="0.35">
      <c r="L423" s="4">
        <v>45597</v>
      </c>
      <c r="M423" s="25">
        <v>22805.91</v>
      </c>
    </row>
    <row r="424" spans="12:13" x14ac:dyDescent="0.35">
      <c r="L424" s="4">
        <v>45598</v>
      </c>
      <c r="M424" s="25">
        <v>7457.5499999999993</v>
      </c>
    </row>
    <row r="425" spans="12:13" x14ac:dyDescent="0.35">
      <c r="L425" s="4">
        <v>45599</v>
      </c>
      <c r="M425" s="25">
        <v>8339.84</v>
      </c>
    </row>
    <row r="426" spans="12:13" x14ac:dyDescent="0.35">
      <c r="L426" s="4">
        <v>45600</v>
      </c>
      <c r="M426" s="25">
        <v>25801.38</v>
      </c>
    </row>
    <row r="427" spans="12:13" x14ac:dyDescent="0.35">
      <c r="L427" s="4">
        <v>45601</v>
      </c>
      <c r="M427" s="25">
        <v>1996.15</v>
      </c>
    </row>
    <row r="428" spans="12:13" x14ac:dyDescent="0.35">
      <c r="L428" s="4">
        <v>45602</v>
      </c>
      <c r="M428" s="25">
        <v>15375.75</v>
      </c>
    </row>
    <row r="429" spans="12:13" x14ac:dyDescent="0.35">
      <c r="L429" s="4">
        <v>45603</v>
      </c>
      <c r="M429" s="25">
        <v>1943.86</v>
      </c>
    </row>
    <row r="430" spans="12:13" x14ac:dyDescent="0.35">
      <c r="L430" s="4">
        <v>45604</v>
      </c>
      <c r="M430" s="25">
        <v>13532.320000000002</v>
      </c>
    </row>
    <row r="431" spans="12:13" x14ac:dyDescent="0.35">
      <c r="L431" s="4">
        <v>45606</v>
      </c>
      <c r="M431" s="25">
        <v>10292.829999999998</v>
      </c>
    </row>
    <row r="432" spans="12:13" x14ac:dyDescent="0.35">
      <c r="L432" s="4">
        <v>45607</v>
      </c>
      <c r="M432" s="25">
        <v>6340.37</v>
      </c>
    </row>
    <row r="433" spans="12:13" x14ac:dyDescent="0.35">
      <c r="L433" s="4">
        <v>45608</v>
      </c>
      <c r="M433" s="25">
        <v>38186.639999999999</v>
      </c>
    </row>
    <row r="434" spans="12:13" x14ac:dyDescent="0.35">
      <c r="L434" s="4">
        <v>45609</v>
      </c>
      <c r="M434" s="25">
        <v>3732.51</v>
      </c>
    </row>
    <row r="435" spans="12:13" x14ac:dyDescent="0.35">
      <c r="L435" s="4">
        <v>45610</v>
      </c>
      <c r="M435" s="25">
        <v>3140.72</v>
      </c>
    </row>
    <row r="436" spans="12:13" x14ac:dyDescent="0.35">
      <c r="L436" s="4">
        <v>45612</v>
      </c>
      <c r="M436" s="25">
        <v>17332.89</v>
      </c>
    </row>
    <row r="437" spans="12:13" x14ac:dyDescent="0.35">
      <c r="L437" s="4">
        <v>45613</v>
      </c>
      <c r="M437" s="25">
        <v>11746.16</v>
      </c>
    </row>
    <row r="438" spans="12:13" x14ac:dyDescent="0.35">
      <c r="L438" s="4">
        <v>45614</v>
      </c>
      <c r="M438" s="25">
        <v>3271.86</v>
      </c>
    </row>
    <row r="439" spans="12:13" x14ac:dyDescent="0.35">
      <c r="L439" s="4">
        <v>45615</v>
      </c>
      <c r="M439" s="25">
        <v>2290.8000000000002</v>
      </c>
    </row>
    <row r="440" spans="12:13" x14ac:dyDescent="0.35">
      <c r="L440" s="4">
        <v>45616</v>
      </c>
      <c r="M440" s="25">
        <v>10759.29</v>
      </c>
    </row>
    <row r="441" spans="12:13" x14ac:dyDescent="0.35">
      <c r="L441" s="4">
        <v>45618</v>
      </c>
      <c r="M441" s="25">
        <v>21028.05</v>
      </c>
    </row>
    <row r="442" spans="12:13" x14ac:dyDescent="0.35">
      <c r="L442" s="4">
        <v>45619</v>
      </c>
      <c r="M442" s="25">
        <v>12793.62</v>
      </c>
    </row>
    <row r="443" spans="12:13" x14ac:dyDescent="0.35">
      <c r="L443" s="4">
        <v>45620</v>
      </c>
      <c r="M443" s="25">
        <v>15219.710000000001</v>
      </c>
    </row>
    <row r="444" spans="12:13" x14ac:dyDescent="0.35">
      <c r="L444" s="4">
        <v>45622</v>
      </c>
      <c r="M444" s="25">
        <v>14759.060000000001</v>
      </c>
    </row>
    <row r="445" spans="12:13" x14ac:dyDescent="0.35">
      <c r="L445" s="4">
        <v>45623</v>
      </c>
      <c r="M445" s="25">
        <v>25785.609999999997</v>
      </c>
    </row>
    <row r="446" spans="12:13" x14ac:dyDescent="0.35">
      <c r="L446" s="4">
        <v>45624</v>
      </c>
      <c r="M446" s="25">
        <v>7109.7800000000007</v>
      </c>
    </row>
    <row r="447" spans="12:13" x14ac:dyDescent="0.35">
      <c r="L447" s="4">
        <v>45625</v>
      </c>
      <c r="M447" s="25">
        <v>1408.51</v>
      </c>
    </row>
    <row r="448" spans="12:13" x14ac:dyDescent="0.35">
      <c r="L448" s="4">
        <v>45626</v>
      </c>
      <c r="M448" s="25">
        <v>14284.300000000001</v>
      </c>
    </row>
    <row r="449" spans="12:13" x14ac:dyDescent="0.35">
      <c r="L449" s="4">
        <v>45627</v>
      </c>
      <c r="M449" s="25">
        <v>7396.1299999999992</v>
      </c>
    </row>
    <row r="450" spans="12:13" x14ac:dyDescent="0.35">
      <c r="L450" s="4">
        <v>45628</v>
      </c>
      <c r="M450" s="25">
        <v>11166.82</v>
      </c>
    </row>
    <row r="451" spans="12:13" x14ac:dyDescent="0.35">
      <c r="L451" s="4">
        <v>45629</v>
      </c>
      <c r="M451" s="25">
        <v>7162.9</v>
      </c>
    </row>
    <row r="452" spans="12:13" x14ac:dyDescent="0.35">
      <c r="L452" s="4">
        <v>45630</v>
      </c>
      <c r="M452" s="25">
        <v>4338.41</v>
      </c>
    </row>
    <row r="453" spans="12:13" x14ac:dyDescent="0.35">
      <c r="L453" s="4">
        <v>45631</v>
      </c>
      <c r="M453" s="25">
        <v>6913.0700000000006</v>
      </c>
    </row>
    <row r="454" spans="12:13" x14ac:dyDescent="0.35">
      <c r="L454" s="4">
        <v>45632</v>
      </c>
      <c r="M454" s="25">
        <v>5790.91</v>
      </c>
    </row>
    <row r="455" spans="12:13" x14ac:dyDescent="0.35">
      <c r="L455" s="4">
        <v>45633</v>
      </c>
      <c r="M455" s="25">
        <v>4653.8099999999995</v>
      </c>
    </row>
    <row r="456" spans="12:13" x14ac:dyDescent="0.35">
      <c r="L456" s="4">
        <v>45634</v>
      </c>
      <c r="M456" s="25">
        <v>10786.68</v>
      </c>
    </row>
    <row r="457" spans="12:13" x14ac:dyDescent="0.35">
      <c r="L457" s="4">
        <v>45635</v>
      </c>
      <c r="M457" s="25">
        <v>3241.98</v>
      </c>
    </row>
    <row r="458" spans="12:13" x14ac:dyDescent="0.35">
      <c r="L458" s="4">
        <v>45636</v>
      </c>
      <c r="M458" s="25">
        <v>2140.5700000000002</v>
      </c>
    </row>
    <row r="459" spans="12:13" x14ac:dyDescent="0.35">
      <c r="L459" s="4">
        <v>45638</v>
      </c>
      <c r="M459" s="25">
        <v>16674.7</v>
      </c>
    </row>
    <row r="460" spans="12:13" x14ac:dyDescent="0.35">
      <c r="L460" s="4">
        <v>45639</v>
      </c>
      <c r="M460" s="25">
        <v>7988.75</v>
      </c>
    </row>
    <row r="461" spans="12:13" x14ac:dyDescent="0.35">
      <c r="L461" s="4">
        <v>45640</v>
      </c>
      <c r="M461" s="25">
        <v>13504.1</v>
      </c>
    </row>
    <row r="462" spans="12:13" x14ac:dyDescent="0.35">
      <c r="L462" s="4">
        <v>45641</v>
      </c>
      <c r="M462" s="25">
        <v>14530.810000000001</v>
      </c>
    </row>
    <row r="463" spans="12:13" x14ac:dyDescent="0.35">
      <c r="L463" s="4">
        <v>45642</v>
      </c>
      <c r="M463" s="25">
        <v>5964.38</v>
      </c>
    </row>
    <row r="464" spans="12:13" x14ac:dyDescent="0.35">
      <c r="L464" s="4">
        <v>45643</v>
      </c>
      <c r="M464" s="25">
        <v>13275.02</v>
      </c>
    </row>
    <row r="465" spans="12:13" x14ac:dyDescent="0.35">
      <c r="L465" s="4">
        <v>45644</v>
      </c>
      <c r="M465" s="25">
        <v>3564.85</v>
      </c>
    </row>
    <row r="466" spans="12:13" x14ac:dyDescent="0.35">
      <c r="L466" s="4">
        <v>45645</v>
      </c>
      <c r="M466" s="25">
        <v>5536.93</v>
      </c>
    </row>
    <row r="467" spans="12:13" x14ac:dyDescent="0.35">
      <c r="L467" s="4">
        <v>45646</v>
      </c>
      <c r="M467" s="25">
        <v>11279.7</v>
      </c>
    </row>
    <row r="468" spans="12:13" x14ac:dyDescent="0.35">
      <c r="L468" s="4">
        <v>45647</v>
      </c>
      <c r="M468" s="25">
        <v>2282.5</v>
      </c>
    </row>
    <row r="469" spans="12:13" x14ac:dyDescent="0.35">
      <c r="L469" s="4">
        <v>45648</v>
      </c>
      <c r="M469" s="25">
        <v>18425.169999999998</v>
      </c>
    </row>
    <row r="470" spans="12:13" x14ac:dyDescent="0.35">
      <c r="L470" s="4">
        <v>45649</v>
      </c>
      <c r="M470" s="25">
        <v>12799.43</v>
      </c>
    </row>
    <row r="471" spans="12:13" x14ac:dyDescent="0.35">
      <c r="L471" s="4">
        <v>45650</v>
      </c>
      <c r="M471" s="25">
        <v>20373.18</v>
      </c>
    </row>
    <row r="472" spans="12:13" x14ac:dyDescent="0.35">
      <c r="L472" s="4">
        <v>45651</v>
      </c>
      <c r="M472" s="25">
        <v>8938.27</v>
      </c>
    </row>
    <row r="473" spans="12:13" x14ac:dyDescent="0.35">
      <c r="L473" s="4">
        <v>45652</v>
      </c>
      <c r="M473" s="25">
        <v>11074.69</v>
      </c>
    </row>
    <row r="474" spans="12:13" x14ac:dyDescent="0.35">
      <c r="L474" s="4">
        <v>45653</v>
      </c>
      <c r="M474" s="25">
        <v>2509.92</v>
      </c>
    </row>
    <row r="475" spans="12:13" x14ac:dyDescent="0.35">
      <c r="L475" s="4">
        <v>45654</v>
      </c>
      <c r="M475" s="25">
        <v>6210.89</v>
      </c>
    </row>
    <row r="476" spans="12:13" x14ac:dyDescent="0.35">
      <c r="L476" s="4">
        <v>45655</v>
      </c>
      <c r="M476" s="25">
        <v>12248.31</v>
      </c>
    </row>
    <row r="477" spans="12:13" x14ac:dyDescent="0.35">
      <c r="L477" s="4">
        <v>45656</v>
      </c>
      <c r="M477" s="25">
        <v>10194.06</v>
      </c>
    </row>
    <row r="478" spans="12:13" x14ac:dyDescent="0.35">
      <c r="L478" s="4">
        <v>45657</v>
      </c>
      <c r="M478" s="25">
        <v>9158.2199999999993</v>
      </c>
    </row>
    <row r="479" spans="12:13" x14ac:dyDescent="0.35">
      <c r="L479" s="4">
        <v>45658</v>
      </c>
      <c r="M479" s="25">
        <v>810.08</v>
      </c>
    </row>
    <row r="480" spans="12:13" x14ac:dyDescent="0.35">
      <c r="L480" s="4">
        <v>45659</v>
      </c>
      <c r="M480" s="25">
        <v>3960.7599999999998</v>
      </c>
    </row>
    <row r="481" spans="12:13" x14ac:dyDescent="0.35">
      <c r="L481" s="4">
        <v>45660</v>
      </c>
      <c r="M481" s="25">
        <v>12053.26</v>
      </c>
    </row>
    <row r="482" spans="12:13" x14ac:dyDescent="0.35">
      <c r="L482" s="4">
        <v>45661</v>
      </c>
      <c r="M482" s="25">
        <v>6484.79</v>
      </c>
    </row>
    <row r="483" spans="12:13" x14ac:dyDescent="0.35">
      <c r="L483" s="4">
        <v>45662</v>
      </c>
      <c r="M483" s="25">
        <v>4763.37</v>
      </c>
    </row>
    <row r="484" spans="12:13" x14ac:dyDescent="0.35">
      <c r="L484" s="4">
        <v>45663</v>
      </c>
      <c r="M484" s="25">
        <v>5814.15</v>
      </c>
    </row>
    <row r="485" spans="12:13" x14ac:dyDescent="0.35">
      <c r="L485" s="4">
        <v>45664</v>
      </c>
      <c r="M485" s="25">
        <v>12209.300000000001</v>
      </c>
    </row>
    <row r="486" spans="12:13" x14ac:dyDescent="0.35">
      <c r="L486" s="4">
        <v>45665</v>
      </c>
      <c r="M486" s="25">
        <v>24621.119999999999</v>
      </c>
    </row>
    <row r="487" spans="12:13" x14ac:dyDescent="0.35">
      <c r="L487" s="4">
        <v>45666</v>
      </c>
      <c r="M487" s="25">
        <v>6918.88</v>
      </c>
    </row>
    <row r="488" spans="12:13" x14ac:dyDescent="0.35">
      <c r="L488" s="4">
        <v>45667</v>
      </c>
      <c r="M488" s="25">
        <v>16098.679999999998</v>
      </c>
    </row>
    <row r="489" spans="12:13" x14ac:dyDescent="0.35">
      <c r="L489" s="4">
        <v>45668</v>
      </c>
      <c r="M489" s="25">
        <v>22302.1</v>
      </c>
    </row>
    <row r="490" spans="12:13" x14ac:dyDescent="0.35">
      <c r="L490" s="4">
        <v>45669</v>
      </c>
      <c r="M490" s="25">
        <v>967.78</v>
      </c>
    </row>
    <row r="491" spans="12:13" x14ac:dyDescent="0.35">
      <c r="L491" s="4">
        <v>45670</v>
      </c>
      <c r="M491" s="25">
        <v>8348.9699999999993</v>
      </c>
    </row>
    <row r="492" spans="12:13" x14ac:dyDescent="0.35">
      <c r="L492" s="4">
        <v>45671</v>
      </c>
      <c r="M492" s="25">
        <v>7481.6200000000008</v>
      </c>
    </row>
    <row r="493" spans="12:13" x14ac:dyDescent="0.35">
      <c r="L493" s="4">
        <v>45672</v>
      </c>
      <c r="M493" s="25">
        <v>17275.620000000003</v>
      </c>
    </row>
    <row r="494" spans="12:13" x14ac:dyDescent="0.35">
      <c r="L494" s="4">
        <v>45673</v>
      </c>
      <c r="M494" s="25">
        <v>19074.23</v>
      </c>
    </row>
    <row r="495" spans="12:13" x14ac:dyDescent="0.35">
      <c r="L495" s="4">
        <v>45674</v>
      </c>
      <c r="M495" s="25">
        <v>15404.8</v>
      </c>
    </row>
    <row r="496" spans="12:13" x14ac:dyDescent="0.35">
      <c r="L496" s="4">
        <v>45675</v>
      </c>
      <c r="M496" s="25">
        <v>5967.7000000000007</v>
      </c>
    </row>
    <row r="497" spans="12:13" x14ac:dyDescent="0.35">
      <c r="L497" s="4">
        <v>45676</v>
      </c>
      <c r="M497" s="25">
        <v>7070.7699999999995</v>
      </c>
    </row>
    <row r="498" spans="12:13" x14ac:dyDescent="0.35">
      <c r="L498" s="4">
        <v>45677</v>
      </c>
      <c r="M498" s="25">
        <v>9013.7999999999993</v>
      </c>
    </row>
    <row r="499" spans="12:13" x14ac:dyDescent="0.35">
      <c r="L499" s="4">
        <v>45678</v>
      </c>
      <c r="M499" s="25">
        <v>4597.37</v>
      </c>
    </row>
    <row r="500" spans="12:13" x14ac:dyDescent="0.35">
      <c r="L500" s="4">
        <v>45680</v>
      </c>
      <c r="M500" s="25">
        <v>3091.75</v>
      </c>
    </row>
    <row r="501" spans="12:13" x14ac:dyDescent="0.35">
      <c r="L501" s="4">
        <v>45681</v>
      </c>
      <c r="M501" s="25">
        <v>10674.63</v>
      </c>
    </row>
    <row r="502" spans="12:13" x14ac:dyDescent="0.35">
      <c r="L502" s="4">
        <v>45682</v>
      </c>
      <c r="M502" s="25">
        <v>4208.1000000000004</v>
      </c>
    </row>
    <row r="503" spans="12:13" x14ac:dyDescent="0.35">
      <c r="L503" s="4">
        <v>45683</v>
      </c>
      <c r="M503" s="25">
        <v>21677.11</v>
      </c>
    </row>
    <row r="504" spans="12:13" x14ac:dyDescent="0.35">
      <c r="L504" s="4">
        <v>45684</v>
      </c>
      <c r="M504" s="25">
        <v>14254.42</v>
      </c>
    </row>
    <row r="505" spans="12:13" x14ac:dyDescent="0.35">
      <c r="L505" s="4">
        <v>45685</v>
      </c>
      <c r="M505" s="25">
        <v>18203.560000000001</v>
      </c>
    </row>
    <row r="506" spans="12:13" x14ac:dyDescent="0.35">
      <c r="L506" s="4">
        <v>45686</v>
      </c>
      <c r="M506" s="25">
        <v>14823.8</v>
      </c>
    </row>
    <row r="507" spans="12:13" x14ac:dyDescent="0.35">
      <c r="L507" s="4">
        <v>45687</v>
      </c>
      <c r="M507" s="25">
        <v>1516.41</v>
      </c>
    </row>
    <row r="508" spans="12:13" x14ac:dyDescent="0.35">
      <c r="L508" s="4">
        <v>45688</v>
      </c>
      <c r="M508" s="25">
        <v>6913.07</v>
      </c>
    </row>
    <row r="509" spans="12:13" x14ac:dyDescent="0.35">
      <c r="L509" s="4">
        <v>45689</v>
      </c>
      <c r="M509" s="25">
        <v>6441.63</v>
      </c>
    </row>
    <row r="510" spans="12:13" x14ac:dyDescent="0.35">
      <c r="L510" s="4">
        <v>45690</v>
      </c>
      <c r="M510" s="25">
        <v>5337.73</v>
      </c>
    </row>
    <row r="511" spans="12:13" x14ac:dyDescent="0.35">
      <c r="L511" s="4">
        <v>45691</v>
      </c>
      <c r="M511" s="25">
        <v>30245.200000000001</v>
      </c>
    </row>
    <row r="512" spans="12:13" x14ac:dyDescent="0.35">
      <c r="L512" s="4">
        <v>45692</v>
      </c>
      <c r="M512" s="25">
        <v>10956.83</v>
      </c>
    </row>
    <row r="513" spans="12:13" x14ac:dyDescent="0.35">
      <c r="L513" s="4">
        <v>45693</v>
      </c>
      <c r="M513" s="25">
        <v>4558.3600000000006</v>
      </c>
    </row>
    <row r="514" spans="12:13" x14ac:dyDescent="0.35">
      <c r="L514" s="4">
        <v>45694</v>
      </c>
      <c r="M514" s="25">
        <v>11097.1</v>
      </c>
    </row>
    <row r="515" spans="12:13" x14ac:dyDescent="0.35">
      <c r="L515" s="4">
        <v>45695</v>
      </c>
      <c r="M515" s="25">
        <v>2725.7200000000003</v>
      </c>
    </row>
    <row r="516" spans="12:13" x14ac:dyDescent="0.35">
      <c r="L516" s="4">
        <v>45696</v>
      </c>
      <c r="M516" s="25">
        <v>5678.03</v>
      </c>
    </row>
    <row r="517" spans="12:13" x14ac:dyDescent="0.35">
      <c r="L517" s="4">
        <v>45697</v>
      </c>
      <c r="M517" s="25">
        <v>23381.1</v>
      </c>
    </row>
    <row r="518" spans="12:13" x14ac:dyDescent="0.35">
      <c r="L518" s="4">
        <v>45698</v>
      </c>
      <c r="M518" s="25">
        <v>10023.91</v>
      </c>
    </row>
    <row r="519" spans="12:13" x14ac:dyDescent="0.35">
      <c r="L519" s="4">
        <v>45699</v>
      </c>
      <c r="M519" s="25">
        <v>10922.8</v>
      </c>
    </row>
    <row r="520" spans="12:13" x14ac:dyDescent="0.35">
      <c r="L520" s="4">
        <v>45700</v>
      </c>
      <c r="M520" s="25">
        <v>1646.72</v>
      </c>
    </row>
    <row r="521" spans="12:13" x14ac:dyDescent="0.35">
      <c r="L521" s="4">
        <v>45701</v>
      </c>
      <c r="M521" s="25">
        <v>4047.08</v>
      </c>
    </row>
    <row r="522" spans="12:13" x14ac:dyDescent="0.35">
      <c r="L522" s="4">
        <v>45702</v>
      </c>
      <c r="M522" s="25">
        <v>9772.42</v>
      </c>
    </row>
    <row r="523" spans="12:13" x14ac:dyDescent="0.35">
      <c r="L523" s="4">
        <v>45703</v>
      </c>
      <c r="M523" s="25">
        <v>10022.25</v>
      </c>
    </row>
    <row r="524" spans="12:13" x14ac:dyDescent="0.35">
      <c r="L524" s="4">
        <v>45704</v>
      </c>
      <c r="M524" s="25">
        <v>7565.45</v>
      </c>
    </row>
    <row r="525" spans="12:13" x14ac:dyDescent="0.35">
      <c r="L525" s="4">
        <v>45705</v>
      </c>
      <c r="M525" s="25">
        <v>15827.27</v>
      </c>
    </row>
    <row r="526" spans="12:13" x14ac:dyDescent="0.35">
      <c r="L526" s="4">
        <v>45706</v>
      </c>
      <c r="M526" s="25">
        <v>5473.02</v>
      </c>
    </row>
    <row r="527" spans="12:13" x14ac:dyDescent="0.35">
      <c r="L527" s="4">
        <v>45707</v>
      </c>
      <c r="M527" s="25">
        <v>6792.7199999999993</v>
      </c>
    </row>
    <row r="528" spans="12:13" x14ac:dyDescent="0.35">
      <c r="L528" s="4">
        <v>45708</v>
      </c>
      <c r="M528" s="25">
        <v>1167.81</v>
      </c>
    </row>
    <row r="529" spans="12:13" x14ac:dyDescent="0.35">
      <c r="L529" s="4">
        <v>45709</v>
      </c>
      <c r="M529" s="25">
        <v>12757.93</v>
      </c>
    </row>
    <row r="530" spans="12:13" x14ac:dyDescent="0.35">
      <c r="L530" s="4">
        <v>45710</v>
      </c>
      <c r="M530" s="25">
        <v>5934.5</v>
      </c>
    </row>
    <row r="531" spans="12:13" x14ac:dyDescent="0.35">
      <c r="L531" s="4">
        <v>45711</v>
      </c>
      <c r="M531" s="25">
        <v>9702.7000000000007</v>
      </c>
    </row>
    <row r="532" spans="12:13" x14ac:dyDescent="0.35">
      <c r="L532" s="4">
        <v>45712</v>
      </c>
      <c r="M532" s="25">
        <v>2626.12</v>
      </c>
    </row>
    <row r="533" spans="12:13" x14ac:dyDescent="0.35">
      <c r="L533" s="4">
        <v>45713</v>
      </c>
      <c r="M533" s="25">
        <v>4682.0300000000007</v>
      </c>
    </row>
    <row r="534" spans="12:13" x14ac:dyDescent="0.35">
      <c r="L534" s="4">
        <v>45714</v>
      </c>
      <c r="M534" s="25">
        <v>13304.9</v>
      </c>
    </row>
    <row r="535" spans="12:13" x14ac:dyDescent="0.35">
      <c r="L535" s="4">
        <v>45715</v>
      </c>
      <c r="M535" s="25">
        <v>8846.14</v>
      </c>
    </row>
    <row r="536" spans="12:13" x14ac:dyDescent="0.35">
      <c r="L536" s="4">
        <v>45716</v>
      </c>
      <c r="M536" s="25">
        <v>5426.54</v>
      </c>
    </row>
    <row r="537" spans="12:13" x14ac:dyDescent="0.35">
      <c r="L537" s="4">
        <v>45717</v>
      </c>
      <c r="M537" s="25">
        <v>13783.81</v>
      </c>
    </row>
    <row r="538" spans="12:13" x14ac:dyDescent="0.35">
      <c r="L538" s="4">
        <v>45718</v>
      </c>
      <c r="M538" s="25">
        <v>1496.49</v>
      </c>
    </row>
    <row r="539" spans="12:13" x14ac:dyDescent="0.35">
      <c r="L539" s="4">
        <v>45719</v>
      </c>
      <c r="M539" s="25">
        <v>3743.3</v>
      </c>
    </row>
    <row r="540" spans="12:13" x14ac:dyDescent="0.35">
      <c r="L540" s="4">
        <v>45720</v>
      </c>
      <c r="M540" s="25">
        <v>9505.16</v>
      </c>
    </row>
    <row r="541" spans="12:13" x14ac:dyDescent="0.35">
      <c r="L541" s="4">
        <v>45721</v>
      </c>
      <c r="M541" s="25">
        <v>1590.28</v>
      </c>
    </row>
    <row r="542" spans="12:13" x14ac:dyDescent="0.35">
      <c r="L542" s="4">
        <v>45722</v>
      </c>
      <c r="M542" s="25">
        <v>6879.869999999999</v>
      </c>
    </row>
    <row r="543" spans="12:13" x14ac:dyDescent="0.35">
      <c r="L543" s="4">
        <v>45723</v>
      </c>
      <c r="M543" s="25">
        <v>8096.65</v>
      </c>
    </row>
    <row r="544" spans="12:13" x14ac:dyDescent="0.35">
      <c r="L544" s="4">
        <v>45724</v>
      </c>
      <c r="M544" s="25">
        <v>25393.019999999997</v>
      </c>
    </row>
    <row r="545" spans="12:13" x14ac:dyDescent="0.35">
      <c r="L545" s="4">
        <v>45725</v>
      </c>
      <c r="M545" s="25">
        <v>9448.7200000000012</v>
      </c>
    </row>
    <row r="546" spans="12:13" x14ac:dyDescent="0.35">
      <c r="L546" s="4">
        <v>45726</v>
      </c>
      <c r="M546" s="25">
        <v>4189.01</v>
      </c>
    </row>
    <row r="547" spans="12:13" x14ac:dyDescent="0.35">
      <c r="L547" s="4">
        <v>45727</v>
      </c>
      <c r="M547" s="25">
        <v>2279.1799999999998</v>
      </c>
    </row>
    <row r="548" spans="12:13" x14ac:dyDescent="0.35">
      <c r="L548" s="4">
        <v>45728</v>
      </c>
      <c r="M548" s="25">
        <v>10860.55</v>
      </c>
    </row>
    <row r="549" spans="12:13" x14ac:dyDescent="0.35">
      <c r="L549" s="4">
        <v>45729</v>
      </c>
      <c r="M549" s="25">
        <v>18468.330000000002</v>
      </c>
    </row>
    <row r="550" spans="12:13" x14ac:dyDescent="0.35">
      <c r="L550" s="4">
        <v>45730</v>
      </c>
      <c r="M550" s="25">
        <v>13927.4</v>
      </c>
    </row>
    <row r="551" spans="12:13" x14ac:dyDescent="0.35">
      <c r="L551" s="4">
        <v>45731</v>
      </c>
      <c r="M551" s="25">
        <v>9705.19</v>
      </c>
    </row>
    <row r="552" spans="12:13" x14ac:dyDescent="0.35">
      <c r="L552" s="4">
        <v>45732</v>
      </c>
      <c r="M552" s="25">
        <v>11677.27</v>
      </c>
    </row>
    <row r="553" spans="12:13" x14ac:dyDescent="0.35">
      <c r="L553" s="4">
        <v>45733</v>
      </c>
      <c r="M553" s="25">
        <v>5804.19</v>
      </c>
    </row>
    <row r="554" spans="12:13" x14ac:dyDescent="0.35">
      <c r="L554" s="4">
        <v>45734</v>
      </c>
      <c r="M554" s="25">
        <v>10426.460000000001</v>
      </c>
    </row>
    <row r="555" spans="12:13" x14ac:dyDescent="0.35">
      <c r="L555" s="4">
        <v>45735</v>
      </c>
      <c r="M555" s="25">
        <v>25793.08</v>
      </c>
    </row>
    <row r="556" spans="12:13" x14ac:dyDescent="0.35">
      <c r="L556" s="4">
        <v>45736</v>
      </c>
      <c r="M556" s="25">
        <v>17940.449999999997</v>
      </c>
    </row>
    <row r="557" spans="12:13" x14ac:dyDescent="0.35">
      <c r="L557" s="4">
        <v>45737</v>
      </c>
      <c r="M557" s="25">
        <v>15303.539999999997</v>
      </c>
    </row>
    <row r="558" spans="12:13" x14ac:dyDescent="0.35">
      <c r="L558" s="4">
        <v>45738</v>
      </c>
      <c r="M558" s="25">
        <v>19926.64</v>
      </c>
    </row>
    <row r="559" spans="12:13" x14ac:dyDescent="0.35">
      <c r="L559" s="4">
        <v>45739</v>
      </c>
      <c r="M559" s="25">
        <v>24382.080000000002</v>
      </c>
    </row>
    <row r="560" spans="12:13" x14ac:dyDescent="0.35">
      <c r="L560" s="4">
        <v>45740</v>
      </c>
      <c r="M560" s="25">
        <v>12690.7</v>
      </c>
    </row>
    <row r="561" spans="12:13" x14ac:dyDescent="0.35">
      <c r="L561" s="4">
        <v>45741</v>
      </c>
      <c r="M561" s="25">
        <v>21246.34</v>
      </c>
    </row>
    <row r="562" spans="12:13" x14ac:dyDescent="0.35">
      <c r="L562" s="4">
        <v>45742</v>
      </c>
      <c r="M562" s="25">
        <v>7110.6100000000006</v>
      </c>
    </row>
    <row r="563" spans="12:13" x14ac:dyDescent="0.35">
      <c r="L563" s="4">
        <v>45743</v>
      </c>
      <c r="M563" s="25">
        <v>8401.2599999999984</v>
      </c>
    </row>
    <row r="564" spans="12:13" x14ac:dyDescent="0.35">
      <c r="L564" s="4">
        <v>45744</v>
      </c>
      <c r="M564" s="25">
        <v>4075.2999999999997</v>
      </c>
    </row>
    <row r="565" spans="12:13" x14ac:dyDescent="0.35">
      <c r="L565" s="4">
        <v>45745</v>
      </c>
      <c r="M565" s="25">
        <v>22996.81</v>
      </c>
    </row>
    <row r="566" spans="12:13" x14ac:dyDescent="0.35">
      <c r="L566" s="4">
        <v>45746</v>
      </c>
      <c r="M566" s="25">
        <v>13431.06</v>
      </c>
    </row>
    <row r="567" spans="12:13" x14ac:dyDescent="0.35">
      <c r="L567" s="4">
        <v>45747</v>
      </c>
      <c r="M567" s="25">
        <v>17908.079999999998</v>
      </c>
    </row>
    <row r="568" spans="12:13" x14ac:dyDescent="0.35">
      <c r="L568" s="4">
        <v>45748</v>
      </c>
      <c r="M568" s="25">
        <v>187.58</v>
      </c>
    </row>
    <row r="569" spans="12:13" x14ac:dyDescent="0.35">
      <c r="L569" s="4">
        <v>45749</v>
      </c>
      <c r="M569" s="25">
        <v>14653.650000000001</v>
      </c>
    </row>
    <row r="570" spans="12:13" x14ac:dyDescent="0.35">
      <c r="L570" s="4">
        <v>45750</v>
      </c>
      <c r="M570" s="25">
        <v>8939.1</v>
      </c>
    </row>
    <row r="571" spans="12:13" x14ac:dyDescent="0.35">
      <c r="L571" s="4">
        <v>45751</v>
      </c>
      <c r="M571" s="25">
        <v>3223.72</v>
      </c>
    </row>
    <row r="572" spans="12:13" x14ac:dyDescent="0.35">
      <c r="L572" s="4">
        <v>45752</v>
      </c>
      <c r="M572" s="25">
        <v>5741.94</v>
      </c>
    </row>
    <row r="573" spans="12:13" x14ac:dyDescent="0.35">
      <c r="L573" s="4">
        <v>45753</v>
      </c>
      <c r="M573" s="25">
        <v>8359.76</v>
      </c>
    </row>
    <row r="574" spans="12:13" x14ac:dyDescent="0.35">
      <c r="L574" s="4">
        <v>45754</v>
      </c>
      <c r="M574" s="25">
        <v>9137.4700000000012</v>
      </c>
    </row>
    <row r="575" spans="12:13" x14ac:dyDescent="0.35">
      <c r="L575" s="4">
        <v>45755</v>
      </c>
      <c r="M575" s="25">
        <v>6399.3</v>
      </c>
    </row>
    <row r="576" spans="12:13" x14ac:dyDescent="0.35">
      <c r="L576" s="4">
        <v>45756</v>
      </c>
      <c r="M576" s="25">
        <v>11096.27</v>
      </c>
    </row>
    <row r="577" spans="12:13" x14ac:dyDescent="0.35">
      <c r="L577" s="4">
        <v>45757</v>
      </c>
      <c r="M577" s="25">
        <v>18709.03</v>
      </c>
    </row>
    <row r="578" spans="12:13" x14ac:dyDescent="0.35">
      <c r="L578" s="4">
        <v>45758</v>
      </c>
      <c r="M578" s="25">
        <v>9559.11</v>
      </c>
    </row>
    <row r="579" spans="12:13" x14ac:dyDescent="0.35">
      <c r="L579" s="4">
        <v>45759</v>
      </c>
      <c r="M579" s="25">
        <v>14995.61</v>
      </c>
    </row>
    <row r="580" spans="12:13" x14ac:dyDescent="0.35">
      <c r="L580" s="4">
        <v>45760</v>
      </c>
      <c r="M580" s="25">
        <v>6903.11</v>
      </c>
    </row>
    <row r="581" spans="12:13" x14ac:dyDescent="0.35">
      <c r="L581" s="4">
        <v>45761</v>
      </c>
      <c r="M581" s="25">
        <v>9206.36</v>
      </c>
    </row>
    <row r="582" spans="12:13" x14ac:dyDescent="0.35">
      <c r="L582" s="4">
        <v>45762</v>
      </c>
      <c r="M582" s="25">
        <v>4709.42</v>
      </c>
    </row>
    <row r="583" spans="12:13" x14ac:dyDescent="0.35">
      <c r="L583" s="4">
        <v>45763</v>
      </c>
      <c r="M583" s="25">
        <v>19112.41</v>
      </c>
    </row>
    <row r="584" spans="12:13" x14ac:dyDescent="0.35">
      <c r="L584" s="4">
        <v>45764</v>
      </c>
      <c r="M584" s="25">
        <v>6830.9</v>
      </c>
    </row>
    <row r="585" spans="12:13" x14ac:dyDescent="0.35">
      <c r="L585" s="4">
        <v>45765</v>
      </c>
      <c r="M585" s="25">
        <v>9953.36</v>
      </c>
    </row>
    <row r="586" spans="12:13" x14ac:dyDescent="0.35">
      <c r="L586" s="4">
        <v>45766</v>
      </c>
      <c r="M586" s="25">
        <v>2460.9499999999998</v>
      </c>
    </row>
    <row r="587" spans="12:13" x14ac:dyDescent="0.35">
      <c r="L587" s="4">
        <v>45767</v>
      </c>
      <c r="M587" s="25">
        <v>24065.85</v>
      </c>
    </row>
    <row r="588" spans="12:13" x14ac:dyDescent="0.35">
      <c r="L588" s="4">
        <v>45768</v>
      </c>
      <c r="M588" s="25">
        <v>10956.83</v>
      </c>
    </row>
    <row r="589" spans="12:13" x14ac:dyDescent="0.35">
      <c r="L589" s="4">
        <v>45769</v>
      </c>
      <c r="M589" s="25">
        <v>25594.71</v>
      </c>
    </row>
    <row r="590" spans="12:13" x14ac:dyDescent="0.35">
      <c r="L590" s="4">
        <v>45770</v>
      </c>
      <c r="M590" s="25">
        <v>15059.52</v>
      </c>
    </row>
    <row r="591" spans="12:13" x14ac:dyDescent="0.35">
      <c r="L591" s="4">
        <v>45771</v>
      </c>
      <c r="M591" s="25">
        <v>15954.259999999998</v>
      </c>
    </row>
    <row r="592" spans="12:13" x14ac:dyDescent="0.35">
      <c r="L592" s="4">
        <v>45772</v>
      </c>
      <c r="M592" s="25">
        <v>5821.62</v>
      </c>
    </row>
    <row r="593" spans="12:13" x14ac:dyDescent="0.35">
      <c r="L593" s="4">
        <v>45773</v>
      </c>
      <c r="M593" s="25">
        <v>10532.699999999999</v>
      </c>
    </row>
    <row r="594" spans="12:13" x14ac:dyDescent="0.35">
      <c r="L594" s="4">
        <v>45774</v>
      </c>
      <c r="M594" s="25">
        <v>4911.9399999999996</v>
      </c>
    </row>
    <row r="595" spans="12:13" x14ac:dyDescent="0.35">
      <c r="L595" s="4">
        <v>45775</v>
      </c>
      <c r="M595" s="25">
        <v>12655.01</v>
      </c>
    </row>
    <row r="596" spans="12:13" x14ac:dyDescent="0.35">
      <c r="L596" s="4">
        <v>45776</v>
      </c>
      <c r="M596" s="25">
        <v>17708.88</v>
      </c>
    </row>
    <row r="597" spans="12:13" x14ac:dyDescent="0.35">
      <c r="L597" s="4">
        <v>45777</v>
      </c>
      <c r="M597" s="25">
        <v>4882.8900000000003</v>
      </c>
    </row>
    <row r="598" spans="12:13" x14ac:dyDescent="0.35">
      <c r="L598" s="4">
        <v>45778</v>
      </c>
      <c r="M598" s="25">
        <v>7668.37</v>
      </c>
    </row>
    <row r="599" spans="12:13" x14ac:dyDescent="0.35">
      <c r="L599" s="4">
        <v>45779</v>
      </c>
      <c r="M599" s="25">
        <v>13489.990000000002</v>
      </c>
    </row>
    <row r="600" spans="12:13" x14ac:dyDescent="0.35">
      <c r="L600" s="4">
        <v>45780</v>
      </c>
      <c r="M600" s="25">
        <v>2159.66</v>
      </c>
    </row>
    <row r="601" spans="12:13" x14ac:dyDescent="0.35">
      <c r="L601" s="4">
        <v>45781</v>
      </c>
      <c r="M601" s="25">
        <v>546.97</v>
      </c>
    </row>
    <row r="602" spans="12:13" x14ac:dyDescent="0.35">
      <c r="L602" s="4">
        <v>45782</v>
      </c>
      <c r="M602" s="25">
        <v>2283.33</v>
      </c>
    </row>
    <row r="603" spans="12:13" x14ac:dyDescent="0.35">
      <c r="L603" s="4">
        <v>45783</v>
      </c>
      <c r="M603" s="25">
        <v>11761.93</v>
      </c>
    </row>
    <row r="604" spans="12:13" x14ac:dyDescent="0.35">
      <c r="L604" s="4">
        <v>45784</v>
      </c>
      <c r="M604" s="25">
        <v>17479.8</v>
      </c>
    </row>
    <row r="605" spans="12:13" x14ac:dyDescent="0.35">
      <c r="L605" s="4">
        <v>45785</v>
      </c>
      <c r="M605" s="25">
        <v>9637.1299999999992</v>
      </c>
    </row>
    <row r="606" spans="12:13" x14ac:dyDescent="0.35">
      <c r="L606" s="4">
        <v>45786</v>
      </c>
      <c r="M606" s="25">
        <v>19063.439999999999</v>
      </c>
    </row>
    <row r="607" spans="12:13" x14ac:dyDescent="0.35">
      <c r="L607" s="4">
        <v>45787</v>
      </c>
      <c r="M607" s="25">
        <v>6084.7300000000005</v>
      </c>
    </row>
    <row r="608" spans="12:13" x14ac:dyDescent="0.35">
      <c r="L608" s="4">
        <v>45788</v>
      </c>
      <c r="M608" s="25">
        <v>5611.63</v>
      </c>
    </row>
    <row r="609" spans="12:13" x14ac:dyDescent="0.35">
      <c r="L609" s="4">
        <v>45789</v>
      </c>
      <c r="M609" s="25">
        <v>8018.6299999999992</v>
      </c>
    </row>
    <row r="610" spans="12:13" x14ac:dyDescent="0.35">
      <c r="L610" s="4">
        <v>45790</v>
      </c>
      <c r="M610" s="25">
        <v>8803.8100000000013</v>
      </c>
    </row>
    <row r="611" spans="12:13" x14ac:dyDescent="0.35">
      <c r="L611" s="4">
        <v>45791</v>
      </c>
      <c r="M611" s="25">
        <v>1766.24</v>
      </c>
    </row>
    <row r="612" spans="12:13" x14ac:dyDescent="0.35">
      <c r="L612" s="4">
        <v>45792</v>
      </c>
      <c r="M612" s="25">
        <v>1322.19</v>
      </c>
    </row>
    <row r="613" spans="12:13" x14ac:dyDescent="0.35">
      <c r="L613" s="4">
        <v>45793</v>
      </c>
      <c r="M613" s="25">
        <v>11666.48</v>
      </c>
    </row>
    <row r="614" spans="12:13" x14ac:dyDescent="0.35">
      <c r="L614" s="4">
        <v>45794</v>
      </c>
      <c r="M614" s="25">
        <v>20297.650000000001</v>
      </c>
    </row>
    <row r="615" spans="12:13" x14ac:dyDescent="0.35">
      <c r="L615" s="4">
        <v>45795</v>
      </c>
      <c r="M615" s="25">
        <v>8074.24</v>
      </c>
    </row>
    <row r="616" spans="12:13" x14ac:dyDescent="0.35">
      <c r="L616" s="4">
        <v>45796</v>
      </c>
      <c r="M616" s="25">
        <v>13133.92</v>
      </c>
    </row>
    <row r="617" spans="12:13" x14ac:dyDescent="0.35">
      <c r="L617" s="4">
        <v>45797</v>
      </c>
      <c r="M617" s="25">
        <v>2317.36</v>
      </c>
    </row>
    <row r="618" spans="12:13" x14ac:dyDescent="0.35">
      <c r="L618" s="4">
        <v>45798</v>
      </c>
      <c r="M618" s="25">
        <v>7248.3899999999994</v>
      </c>
    </row>
    <row r="619" spans="12:13" x14ac:dyDescent="0.35">
      <c r="L619" s="4">
        <v>45799</v>
      </c>
      <c r="M619" s="25">
        <v>3325.8100000000004</v>
      </c>
    </row>
    <row r="620" spans="12:13" x14ac:dyDescent="0.35">
      <c r="L620" s="4">
        <v>45800</v>
      </c>
      <c r="M620" s="25">
        <v>429.11</v>
      </c>
    </row>
    <row r="621" spans="12:13" x14ac:dyDescent="0.35">
      <c r="L621" s="4">
        <v>45801</v>
      </c>
      <c r="M621" s="25">
        <v>10511.119999999999</v>
      </c>
    </row>
    <row r="622" spans="12:13" x14ac:dyDescent="0.35">
      <c r="L622" s="4">
        <v>45802</v>
      </c>
      <c r="M622" s="25">
        <v>7084.0499999999993</v>
      </c>
    </row>
    <row r="623" spans="12:13" x14ac:dyDescent="0.35">
      <c r="L623" s="4">
        <v>45803</v>
      </c>
      <c r="M623" s="25">
        <v>7269.97</v>
      </c>
    </row>
    <row r="624" spans="12:13" x14ac:dyDescent="0.35">
      <c r="L624" s="4">
        <v>45804</v>
      </c>
      <c r="M624" s="25">
        <v>11600.91</v>
      </c>
    </row>
    <row r="625" spans="12:13" x14ac:dyDescent="0.35">
      <c r="L625" s="4">
        <v>45805</v>
      </c>
      <c r="M625" s="25">
        <v>3934.2</v>
      </c>
    </row>
    <row r="626" spans="12:13" x14ac:dyDescent="0.35">
      <c r="L626" s="4">
        <v>45806</v>
      </c>
      <c r="M626" s="25">
        <v>22272.22</v>
      </c>
    </row>
    <row r="627" spans="12:13" x14ac:dyDescent="0.35">
      <c r="L627" s="4">
        <v>45807</v>
      </c>
      <c r="M627" s="25">
        <v>17571.93</v>
      </c>
    </row>
    <row r="628" spans="12:13" x14ac:dyDescent="0.35">
      <c r="L628" s="4">
        <v>45808</v>
      </c>
      <c r="M628" s="25">
        <v>751.15</v>
      </c>
    </row>
    <row r="629" spans="12:13" x14ac:dyDescent="0.35">
      <c r="L629" s="4">
        <v>45809</v>
      </c>
      <c r="M629" s="25">
        <v>6225</v>
      </c>
    </row>
    <row r="630" spans="12:13" x14ac:dyDescent="0.35">
      <c r="L630" s="4">
        <v>45810</v>
      </c>
      <c r="M630" s="25">
        <v>2850.22</v>
      </c>
    </row>
    <row r="631" spans="12:13" x14ac:dyDescent="0.35">
      <c r="L631" s="4">
        <v>45811</v>
      </c>
      <c r="M631" s="25">
        <v>12746.310000000001</v>
      </c>
    </row>
    <row r="632" spans="12:13" x14ac:dyDescent="0.35">
      <c r="L632" s="4">
        <v>45812</v>
      </c>
      <c r="M632" s="25">
        <v>12962.94</v>
      </c>
    </row>
    <row r="633" spans="12:13" x14ac:dyDescent="0.35">
      <c r="L633" s="4">
        <v>45813</v>
      </c>
      <c r="M633" s="25">
        <v>14768.189999999999</v>
      </c>
    </row>
    <row r="634" spans="12:13" x14ac:dyDescent="0.35">
      <c r="L634" s="4">
        <v>45814</v>
      </c>
      <c r="M634" s="25">
        <v>7999.54</v>
      </c>
    </row>
    <row r="635" spans="12:13" x14ac:dyDescent="0.35">
      <c r="L635" s="4">
        <v>45815</v>
      </c>
      <c r="M635" s="25">
        <v>4426.3899999999994</v>
      </c>
    </row>
    <row r="636" spans="12:13" x14ac:dyDescent="0.35">
      <c r="L636" s="4">
        <v>45816</v>
      </c>
      <c r="M636" s="25">
        <v>18392.8</v>
      </c>
    </row>
    <row r="637" spans="12:13" x14ac:dyDescent="0.35">
      <c r="L637" s="4">
        <v>45817</v>
      </c>
      <c r="M637" s="25">
        <v>14520.850000000002</v>
      </c>
    </row>
    <row r="638" spans="12:13" x14ac:dyDescent="0.35">
      <c r="L638" s="4">
        <v>45818</v>
      </c>
      <c r="M638" s="25">
        <v>6808.49</v>
      </c>
    </row>
    <row r="639" spans="12:13" x14ac:dyDescent="0.35">
      <c r="L639" s="4">
        <v>45819</v>
      </c>
      <c r="M639" s="25">
        <v>5192.4799999999996</v>
      </c>
    </row>
    <row r="640" spans="12:13" x14ac:dyDescent="0.35">
      <c r="L640" s="4">
        <v>45820</v>
      </c>
      <c r="M640" s="25">
        <v>9649.58</v>
      </c>
    </row>
    <row r="641" spans="12:13" x14ac:dyDescent="0.35">
      <c r="L641" s="4">
        <v>45821</v>
      </c>
      <c r="M641" s="25">
        <v>379.31</v>
      </c>
    </row>
    <row r="642" spans="12:13" x14ac:dyDescent="0.35">
      <c r="L642" s="4">
        <v>45822</v>
      </c>
      <c r="M642" s="25">
        <v>13091.59</v>
      </c>
    </row>
    <row r="643" spans="12:13" x14ac:dyDescent="0.35">
      <c r="L643" s="4">
        <v>45823</v>
      </c>
      <c r="M643" s="25">
        <v>18699.07</v>
      </c>
    </row>
    <row r="644" spans="12:13" x14ac:dyDescent="0.35">
      <c r="L644" s="4">
        <v>45824</v>
      </c>
      <c r="M644" s="25">
        <v>3056.89</v>
      </c>
    </row>
    <row r="645" spans="12:13" x14ac:dyDescent="0.35">
      <c r="L645" s="4">
        <v>45825</v>
      </c>
      <c r="M645" s="25">
        <v>14335.759999999998</v>
      </c>
    </row>
    <row r="646" spans="12:13" x14ac:dyDescent="0.35">
      <c r="L646" s="4">
        <v>45826</v>
      </c>
      <c r="M646" s="25">
        <v>5605.82</v>
      </c>
    </row>
    <row r="647" spans="12:13" x14ac:dyDescent="0.35">
      <c r="L647" s="4">
        <v>45827</v>
      </c>
      <c r="M647" s="25">
        <v>9340.82</v>
      </c>
    </row>
    <row r="648" spans="12:13" x14ac:dyDescent="0.35">
      <c r="L648" s="4">
        <v>45828</v>
      </c>
      <c r="M648" s="25">
        <v>3869.46</v>
      </c>
    </row>
    <row r="649" spans="12:13" x14ac:dyDescent="0.35">
      <c r="L649" s="4">
        <v>45829</v>
      </c>
      <c r="M649" s="25">
        <v>3845.39</v>
      </c>
    </row>
    <row r="650" spans="12:13" x14ac:dyDescent="0.35">
      <c r="L650" s="4">
        <v>45830</v>
      </c>
      <c r="M650" s="25">
        <v>13125.62</v>
      </c>
    </row>
    <row r="651" spans="12:13" x14ac:dyDescent="0.35">
      <c r="L651" s="4">
        <v>45831</v>
      </c>
      <c r="M651" s="25">
        <v>1792.8</v>
      </c>
    </row>
    <row r="652" spans="12:13" x14ac:dyDescent="0.35">
      <c r="L652" s="4">
        <v>45832</v>
      </c>
      <c r="M652" s="25">
        <v>8448.57</v>
      </c>
    </row>
    <row r="653" spans="12:13" x14ac:dyDescent="0.35">
      <c r="L653" s="4">
        <v>45833</v>
      </c>
      <c r="M653" s="25">
        <v>11785.17</v>
      </c>
    </row>
    <row r="654" spans="12:13" x14ac:dyDescent="0.35">
      <c r="L654" s="4">
        <v>45834</v>
      </c>
      <c r="M654" s="25">
        <v>3029.5</v>
      </c>
    </row>
    <row r="655" spans="12:13" x14ac:dyDescent="0.35">
      <c r="L655" s="4">
        <v>45835</v>
      </c>
      <c r="M655" s="25">
        <v>3518.37</v>
      </c>
    </row>
    <row r="656" spans="12:13" x14ac:dyDescent="0.35">
      <c r="L656" s="4">
        <v>45836</v>
      </c>
      <c r="M656" s="25">
        <v>959.48</v>
      </c>
    </row>
    <row r="657" spans="12:13" x14ac:dyDescent="0.35">
      <c r="L657" s="4">
        <v>45838</v>
      </c>
      <c r="M657" s="25">
        <v>9277.74</v>
      </c>
    </row>
    <row r="658" spans="12:13" x14ac:dyDescent="0.35">
      <c r="L658" s="4">
        <v>45839</v>
      </c>
      <c r="M658" s="25">
        <v>9086.0099999999984</v>
      </c>
    </row>
    <row r="659" spans="12:13" x14ac:dyDescent="0.35">
      <c r="L659" s="4">
        <v>45840</v>
      </c>
      <c r="M659" s="25">
        <v>2383.7600000000002</v>
      </c>
    </row>
    <row r="660" spans="12:13" x14ac:dyDescent="0.35">
      <c r="L660" s="4">
        <v>45841</v>
      </c>
      <c r="M660" s="25">
        <v>3360.67</v>
      </c>
    </row>
    <row r="661" spans="12:13" x14ac:dyDescent="0.35">
      <c r="L661" s="4">
        <v>45842</v>
      </c>
      <c r="M661" s="25">
        <v>4444.6499999999996</v>
      </c>
    </row>
    <row r="662" spans="12:13" x14ac:dyDescent="0.35">
      <c r="L662" s="4">
        <v>45843</v>
      </c>
      <c r="M662" s="25">
        <v>19379.669999999998</v>
      </c>
    </row>
    <row r="663" spans="12:13" x14ac:dyDescent="0.35">
      <c r="L663" s="4">
        <v>45844</v>
      </c>
      <c r="M663" s="25">
        <v>14110.829999999998</v>
      </c>
    </row>
    <row r="664" spans="12:13" x14ac:dyDescent="0.35">
      <c r="L664" s="4">
        <v>45845</v>
      </c>
      <c r="M664" s="25">
        <v>9195.57</v>
      </c>
    </row>
    <row r="665" spans="12:13" x14ac:dyDescent="0.35">
      <c r="L665" s="4">
        <v>45846</v>
      </c>
      <c r="M665" s="25">
        <v>8925.82</v>
      </c>
    </row>
    <row r="666" spans="12:13" x14ac:dyDescent="0.35">
      <c r="L666" s="4">
        <v>45847</v>
      </c>
      <c r="M666" s="25">
        <v>5249.75</v>
      </c>
    </row>
    <row r="667" spans="12:13" x14ac:dyDescent="0.35">
      <c r="L667" s="4">
        <v>45848</v>
      </c>
      <c r="M667" s="25">
        <v>16621.580000000002</v>
      </c>
    </row>
    <row r="668" spans="12:13" x14ac:dyDescent="0.35">
      <c r="L668" s="4">
        <v>45850</v>
      </c>
      <c r="M668" s="25">
        <v>6122.08</v>
      </c>
    </row>
    <row r="669" spans="12:13" x14ac:dyDescent="0.35">
      <c r="L669" s="4">
        <v>45851</v>
      </c>
      <c r="M669" s="25">
        <v>1702.33</v>
      </c>
    </row>
    <row r="670" spans="12:13" x14ac:dyDescent="0.35">
      <c r="L670" s="4">
        <v>45852</v>
      </c>
      <c r="M670" s="25">
        <v>12324.67</v>
      </c>
    </row>
    <row r="671" spans="12:13" x14ac:dyDescent="0.35">
      <c r="L671" s="4">
        <v>45853</v>
      </c>
      <c r="M671" s="25">
        <v>2340.6</v>
      </c>
    </row>
    <row r="672" spans="12:13" x14ac:dyDescent="0.35">
      <c r="L672" s="4">
        <v>45854</v>
      </c>
      <c r="M672" s="25">
        <v>8965.66</v>
      </c>
    </row>
    <row r="673" spans="12:13" x14ac:dyDescent="0.35">
      <c r="L673" s="4">
        <v>45855</v>
      </c>
      <c r="M673" s="25">
        <v>14974.029999999999</v>
      </c>
    </row>
    <row r="674" spans="12:13" x14ac:dyDescent="0.35">
      <c r="L674" s="4">
        <v>45856</v>
      </c>
      <c r="M674" s="25">
        <v>2504.11</v>
      </c>
    </row>
    <row r="675" spans="12:13" x14ac:dyDescent="0.35">
      <c r="L675" s="4">
        <v>45857</v>
      </c>
      <c r="M675" s="25">
        <v>18742.23</v>
      </c>
    </row>
    <row r="676" spans="12:13" x14ac:dyDescent="0.35">
      <c r="L676" s="4">
        <v>45858</v>
      </c>
      <c r="M676" s="25">
        <v>14934.19</v>
      </c>
    </row>
    <row r="677" spans="12:13" x14ac:dyDescent="0.35">
      <c r="L677" s="4">
        <v>45859</v>
      </c>
      <c r="M677" s="25">
        <v>3974.04</v>
      </c>
    </row>
    <row r="678" spans="12:13" x14ac:dyDescent="0.35">
      <c r="L678" s="4">
        <v>45860</v>
      </c>
      <c r="M678" s="25">
        <v>3566.51</v>
      </c>
    </row>
    <row r="679" spans="12:13" x14ac:dyDescent="0.35">
      <c r="L679" s="4">
        <v>45861</v>
      </c>
      <c r="M679" s="25">
        <v>7814.4500000000007</v>
      </c>
    </row>
    <row r="680" spans="12:13" x14ac:dyDescent="0.35">
      <c r="L680" s="4">
        <v>45862</v>
      </c>
      <c r="M680" s="25">
        <v>3247.7900000000004</v>
      </c>
    </row>
    <row r="681" spans="12:13" x14ac:dyDescent="0.35">
      <c r="L681" s="4">
        <v>45863</v>
      </c>
      <c r="M681" s="25">
        <v>5699.6100000000006</v>
      </c>
    </row>
    <row r="682" spans="12:13" x14ac:dyDescent="0.35">
      <c r="L682" s="4">
        <v>45864</v>
      </c>
      <c r="M682" s="25">
        <v>8854.44</v>
      </c>
    </row>
    <row r="683" spans="12:13" x14ac:dyDescent="0.35">
      <c r="L683" s="4">
        <v>45865</v>
      </c>
      <c r="M683" s="25">
        <v>1630.95</v>
      </c>
    </row>
    <row r="684" spans="12:13" x14ac:dyDescent="0.35">
      <c r="L684" s="4">
        <v>45866</v>
      </c>
      <c r="M684" s="25">
        <v>15711.07</v>
      </c>
    </row>
    <row r="685" spans="12:13" x14ac:dyDescent="0.35">
      <c r="L685" s="4">
        <v>45867</v>
      </c>
      <c r="M685" s="25">
        <v>5313.66</v>
      </c>
    </row>
    <row r="686" spans="12:13" x14ac:dyDescent="0.35">
      <c r="L686" s="4">
        <v>45868</v>
      </c>
      <c r="M686" s="25">
        <v>7213.53</v>
      </c>
    </row>
    <row r="687" spans="12:13" x14ac:dyDescent="0.35">
      <c r="L687" s="4">
        <v>45869</v>
      </c>
      <c r="M687" s="25">
        <v>13640.22</v>
      </c>
    </row>
    <row r="688" spans="12:13" x14ac:dyDescent="0.35">
      <c r="L688" s="4">
        <v>45870</v>
      </c>
      <c r="M688" s="25">
        <v>11677.27</v>
      </c>
    </row>
    <row r="689" spans="12:13" x14ac:dyDescent="0.35">
      <c r="L689" s="4">
        <v>45871</v>
      </c>
      <c r="M689" s="25">
        <v>2096.58</v>
      </c>
    </row>
    <row r="690" spans="12:13" x14ac:dyDescent="0.35">
      <c r="L690" s="4">
        <v>45873</v>
      </c>
      <c r="M690" s="25">
        <v>7613.59</v>
      </c>
    </row>
    <row r="691" spans="12:13" x14ac:dyDescent="0.35">
      <c r="L691" s="4">
        <v>45874</v>
      </c>
      <c r="M691" s="25">
        <v>7954.7199999999993</v>
      </c>
    </row>
    <row r="692" spans="12:13" x14ac:dyDescent="0.35">
      <c r="L692" s="4" t="s">
        <v>1128</v>
      </c>
      <c r="M692" s="25">
        <v>6809096.7299999967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0BC3-9F4C-4C7E-9A7B-62A0D737FC72}">
  <dimension ref="D6:P45"/>
  <sheetViews>
    <sheetView showGridLines="0" tabSelected="1" zoomScale="55" zoomScaleNormal="264" workbookViewId="0">
      <selection activeCell="Z26" sqref="Z2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sheetData>
    <row r="6" spans="4:4" ht="15" thickBot="1" x14ac:dyDescent="0.4"/>
    <row r="7" spans="4:4" ht="18.5" thickTop="1" thickBot="1" x14ac:dyDescent="0.4">
      <c r="D7" s="16" t="s">
        <v>1116</v>
      </c>
    </row>
    <row r="8" spans="4:4" ht="15.5" thickTop="1" thickBot="1" x14ac:dyDescent="0.4">
      <c r="D8" s="18" t="s">
        <v>6</v>
      </c>
    </row>
    <row r="9" spans="4:4" ht="15.5" thickTop="1" thickBot="1" x14ac:dyDescent="0.4">
      <c r="D9" s="18" t="s">
        <v>34</v>
      </c>
    </row>
    <row r="10" spans="4:4" ht="15.5" thickTop="1" thickBot="1" x14ac:dyDescent="0.4">
      <c r="D10" s="18" t="s">
        <v>11</v>
      </c>
    </row>
    <row r="11" spans="4:4" ht="15.5" thickTop="1" thickBot="1" x14ac:dyDescent="0.4">
      <c r="D11" s="18" t="s">
        <v>4</v>
      </c>
    </row>
    <row r="12" spans="4:4" ht="15.5" thickTop="1" thickBot="1" x14ac:dyDescent="0.4">
      <c r="D12" s="18" t="s">
        <v>24</v>
      </c>
    </row>
    <row r="13" spans="4:4" ht="15.5" thickTop="1" thickBot="1" x14ac:dyDescent="0.4">
      <c r="D13" s="18" t="s">
        <v>16</v>
      </c>
    </row>
    <row r="14" spans="4:4" ht="15.5" thickTop="1" thickBot="1" x14ac:dyDescent="0.4">
      <c r="D14" s="18" t="s">
        <v>17</v>
      </c>
    </row>
    <row r="15" spans="4:4" ht="15.5" thickTop="1" thickBot="1" x14ac:dyDescent="0.4">
      <c r="D15" s="18" t="s">
        <v>23</v>
      </c>
    </row>
    <row r="16" spans="4:4" ht="15.5" thickTop="1" thickBot="1" x14ac:dyDescent="0.4">
      <c r="D16" s="18" t="s">
        <v>27</v>
      </c>
    </row>
    <row r="17" spans="4:4" ht="15.5" thickTop="1" thickBot="1" x14ac:dyDescent="0.4">
      <c r="D17" s="18" t="s">
        <v>1</v>
      </c>
    </row>
    <row r="18" spans="4:4" ht="15.5" thickTop="1" thickBot="1" x14ac:dyDescent="0.4">
      <c r="D18" s="18" t="s">
        <v>9</v>
      </c>
    </row>
    <row r="19" spans="4:4" ht="15" thickTop="1" x14ac:dyDescent="0.35"/>
    <row r="45" spans="16:16" x14ac:dyDescent="0.35">
      <c r="P45" s="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FA0C21-26F6-46EE-B8B7-B28ADCF65E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Sheet1</vt:lpstr>
      <vt:lpstr>Sheet2</vt:lpstr>
      <vt:lpstr>sales_dashborad</vt:lpstr>
      <vt:lpstr>chain</vt:lpstr>
      <vt:lpstr>gc</vt:lpstr>
      <vt:lpstr>gcd</vt:lpstr>
      <vt:lpstr>gcds</vt:lpstr>
      <vt:lpstr>grocery</vt:lpstr>
      <vt:lpstr>j</vt:lpstr>
      <vt:lpstr>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jagruthigovindaraj@gmail.com</cp:lastModifiedBy>
  <dcterms:created xsi:type="dcterms:W3CDTF">2026-03-07T12:55:42Z</dcterms:created>
  <dcterms:modified xsi:type="dcterms:W3CDTF">2026-03-09T15:43:53Z</dcterms:modified>
</cp:coreProperties>
</file>